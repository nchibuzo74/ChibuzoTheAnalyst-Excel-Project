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RZO\Desktop\"/>
    </mc:Choice>
  </mc:AlternateContent>
  <xr:revisionPtr revIDLastSave="0" documentId="13_ncr:1_{E1456B93-E622-48AC-A666-8ABCF700C8CF}" xr6:coauthVersionLast="47" xr6:coauthVersionMax="47" xr10:uidLastSave="{00000000-0000-0000-0000-000000000000}"/>
  <bookViews>
    <workbookView xWindow="-108" yWindow="-108" windowWidth="23256" windowHeight="12456" tabRatio="747" firstSheet="1" activeTab="1" xr2:uid="{D3487892-19BB-4F04-823D-1567E495D790}"/>
  </bookViews>
  <sheets>
    <sheet name="Groups" sheetId="4" state="hidden" r:id="rId1"/>
    <sheet name="Full Automated Hybrid" sheetId="10" r:id="rId2"/>
  </sheets>
  <definedNames>
    <definedName name="_xlnm._FilterDatabase" localSheetId="1" hidden="1">'Full Automated Hybrid'!$A$4:$AM$450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5" i="10" l="1" a="1"/>
  <c r="G445" i="10" s="1"/>
  <c r="G437" i="10" a="1"/>
  <c r="G437" i="10" s="1"/>
  <c r="G429" i="10" a="1"/>
  <c r="G429" i="10" s="1"/>
  <c r="G421" i="10" a="1"/>
  <c r="G421" i="10" s="1"/>
  <c r="G413" i="10" a="1"/>
  <c r="G413" i="10" s="1"/>
  <c r="G405" i="10" a="1"/>
  <c r="G405" i="10" s="1"/>
  <c r="G397" i="10" a="1"/>
  <c r="G397" i="10" s="1"/>
  <c r="G389" i="10" a="1"/>
  <c r="G389" i="10" s="1"/>
  <c r="G381" i="10" a="1"/>
  <c r="G381" i="10" s="1"/>
  <c r="G373" i="10" a="1"/>
  <c r="G373" i="10" s="1"/>
  <c r="G365" i="10" a="1"/>
  <c r="G365" i="10" s="1"/>
  <c r="G357" i="10" a="1"/>
  <c r="G357" i="10" s="1"/>
  <c r="G349" i="10" a="1"/>
  <c r="G349" i="10" s="1"/>
  <c r="G341" i="10" a="1"/>
  <c r="G341" i="10" s="1"/>
  <c r="G333" i="10" a="1"/>
  <c r="G333" i="10" s="1"/>
  <c r="G325" i="10" a="1"/>
  <c r="G325" i="10" s="1"/>
  <c r="G317" i="10" a="1"/>
  <c r="G317" i="10" s="1"/>
  <c r="G309" i="10" a="1"/>
  <c r="G309" i="10" s="1"/>
  <c r="G301" i="10" a="1"/>
  <c r="G301" i="10" s="1"/>
  <c r="G293" i="10" a="1"/>
  <c r="G293" i="10" s="1"/>
  <c r="G285" i="10" a="1"/>
  <c r="G285" i="10" s="1"/>
  <c r="G277" i="10" a="1"/>
  <c r="G277" i="10" s="1"/>
  <c r="G269" i="10" a="1"/>
  <c r="G269" i="10" s="1"/>
  <c r="G261" i="10" a="1"/>
  <c r="G261" i="10" s="1"/>
  <c r="G253" i="10" a="1"/>
  <c r="G253" i="10" s="1"/>
  <c r="G245" i="10" a="1"/>
  <c r="G245" i="10" s="1"/>
  <c r="G237" i="10" a="1"/>
  <c r="G237" i="10" s="1"/>
  <c r="G229" i="10" a="1"/>
  <c r="G229" i="10" s="1"/>
  <c r="G221" i="10" a="1"/>
  <c r="G221" i="10" s="1"/>
  <c r="G213" i="10" a="1"/>
  <c r="G213" i="10" s="1"/>
  <c r="G205" i="10" a="1"/>
  <c r="G205" i="10" s="1"/>
  <c r="G197" i="10" a="1"/>
  <c r="G197" i="10" s="1"/>
  <c r="G189" i="10" a="1"/>
  <c r="G189" i="10" s="1"/>
  <c r="G181" i="10" a="1"/>
  <c r="G181" i="10" s="1"/>
  <c r="G173" i="10" a="1"/>
  <c r="G173" i="10" s="1"/>
  <c r="G165" i="10" a="1"/>
  <c r="G165" i="10" s="1"/>
  <c r="G157" i="10" a="1"/>
  <c r="G157" i="10" s="1"/>
  <c r="G149" i="10" a="1"/>
  <c r="G149" i="10" s="1"/>
  <c r="G141" i="10" a="1"/>
  <c r="G141" i="10" s="1"/>
  <c r="G133" i="10" a="1"/>
  <c r="G133" i="10" s="1"/>
  <c r="G125" i="10" a="1"/>
  <c r="G125" i="10" s="1"/>
  <c r="G117" i="10" a="1"/>
  <c r="G117" i="10" s="1"/>
  <c r="G109" i="10" a="1"/>
  <c r="G109" i="10" s="1"/>
  <c r="G101" i="10" a="1"/>
  <c r="G101" i="10" s="1"/>
  <c r="G93" i="10" a="1"/>
  <c r="G93" i="10" s="1"/>
  <c r="G85" i="10" a="1"/>
  <c r="G85" i="10" s="1"/>
  <c r="G77" i="10" a="1"/>
  <c r="G77" i="10" s="1"/>
  <c r="G69" i="10" a="1"/>
  <c r="G69" i="10" s="1"/>
  <c r="G61" i="10" a="1"/>
  <c r="G61" i="10" s="1"/>
  <c r="G53" i="10" a="1"/>
  <c r="G53" i="10" s="1"/>
  <c r="G45" i="10" a="1"/>
  <c r="G45" i="10" s="1"/>
  <c r="G37" i="10" a="1"/>
  <c r="G37" i="10" s="1"/>
  <c r="G29" i="10" a="1"/>
  <c r="G29" i="10" s="1"/>
  <c r="G21" i="10" a="1"/>
  <c r="G21" i="10" s="1"/>
  <c r="G13" i="10" a="1"/>
  <c r="G13" i="10" s="1"/>
  <c r="G5" i="10" a="1"/>
  <c r="G5" i="10" s="1"/>
  <c r="H445" i="10" a="1"/>
  <c r="H445" i="10" s="1"/>
  <c r="H437" i="10" a="1"/>
  <c r="H437" i="10" s="1"/>
  <c r="H429" i="10" a="1"/>
  <c r="H429" i="10" s="1"/>
  <c r="H421" i="10" a="1"/>
  <c r="H421" i="10" s="1"/>
  <c r="H413" i="10" a="1"/>
  <c r="H413" i="10" s="1"/>
  <c r="H405" i="10" a="1"/>
  <c r="H405" i="10" s="1"/>
  <c r="H397" i="10" a="1"/>
  <c r="H397" i="10" s="1"/>
  <c r="H389" i="10" a="1"/>
  <c r="H389" i="10" s="1"/>
  <c r="H381" i="10" a="1"/>
  <c r="H381" i="10" s="1"/>
  <c r="H373" i="10" a="1"/>
  <c r="H373" i="10" s="1"/>
  <c r="H365" i="10" a="1"/>
  <c r="H365" i="10" s="1"/>
  <c r="H357" i="10" a="1"/>
  <c r="H357" i="10" s="1"/>
  <c r="H349" i="10" a="1"/>
  <c r="H349" i="10" s="1"/>
  <c r="H341" i="10" a="1"/>
  <c r="H341" i="10" s="1"/>
  <c r="H333" i="10" a="1"/>
  <c r="H333" i="10" s="1"/>
  <c r="H325" i="10" a="1"/>
  <c r="H325" i="10" s="1"/>
  <c r="H317" i="10" a="1"/>
  <c r="H317" i="10" s="1"/>
  <c r="H309" i="10" a="1"/>
  <c r="H309" i="10" s="1"/>
  <c r="H301" i="10" a="1"/>
  <c r="H301" i="10" s="1"/>
  <c r="H293" i="10" a="1"/>
  <c r="H293" i="10" s="1"/>
  <c r="H285" i="10" a="1"/>
  <c r="H285" i="10" s="1"/>
  <c r="H277" i="10" a="1"/>
  <c r="H277" i="10" s="1"/>
  <c r="H269" i="10" a="1"/>
  <c r="H269" i="10" s="1"/>
  <c r="H261" i="10" a="1"/>
  <c r="H261" i="10" s="1"/>
  <c r="H253" i="10" a="1"/>
  <c r="H253" i="10" s="1"/>
  <c r="H245" i="10" a="1"/>
  <c r="H245" i="10" s="1"/>
  <c r="H237" i="10" a="1"/>
  <c r="H237" i="10" s="1"/>
  <c r="H229" i="10" a="1"/>
  <c r="H229" i="10" s="1"/>
  <c r="H221" i="10" a="1"/>
  <c r="H221" i="10" s="1"/>
  <c r="H213" i="10" a="1"/>
  <c r="H213" i="10" s="1"/>
  <c r="H205" i="10" a="1"/>
  <c r="H205" i="10" s="1"/>
  <c r="H197" i="10" a="1"/>
  <c r="H197" i="10" s="1"/>
  <c r="H189" i="10" a="1"/>
  <c r="H189" i="10" s="1"/>
  <c r="H181" i="10" a="1"/>
  <c r="H181" i="10" s="1"/>
  <c r="H173" i="10" a="1"/>
  <c r="H173" i="10" s="1"/>
  <c r="H165" i="10" a="1"/>
  <c r="H165" i="10" s="1"/>
  <c r="H157" i="10" a="1"/>
  <c r="H157" i="10" s="1"/>
  <c r="H149" i="10" a="1"/>
  <c r="H149" i="10" s="1"/>
  <c r="H141" i="10" a="1"/>
  <c r="H141" i="10" s="1"/>
  <c r="H133" i="10" a="1"/>
  <c r="H133" i="10" s="1"/>
  <c r="H125" i="10" a="1"/>
  <c r="H125" i="10" s="1"/>
  <c r="H117" i="10" a="1"/>
  <c r="H117" i="10" s="1"/>
  <c r="H109" i="10" a="1"/>
  <c r="H109" i="10" s="1"/>
  <c r="H101" i="10" a="1"/>
  <c r="H101" i="10" s="1"/>
  <c r="H93" i="10" a="1"/>
  <c r="H93" i="10" s="1"/>
  <c r="H85" i="10" a="1"/>
  <c r="H85" i="10" s="1"/>
  <c r="H77" i="10" a="1"/>
  <c r="H77" i="10" s="1"/>
  <c r="H69" i="10" a="1"/>
  <c r="H69" i="10" s="1"/>
  <c r="H61" i="10" a="1"/>
  <c r="H61" i="10" s="1"/>
  <c r="H53" i="10" a="1"/>
  <c r="H53" i="10" s="1"/>
  <c r="H45" i="10" a="1"/>
  <c r="H45" i="10" s="1"/>
  <c r="H37" i="10" a="1"/>
  <c r="H37" i="10" s="1"/>
  <c r="H29" i="10" a="1"/>
  <c r="H29" i="10" s="1"/>
  <c r="H21" i="10" a="1"/>
  <c r="H21" i="10" s="1"/>
  <c r="H13" i="10" a="1"/>
  <c r="H13" i="10" s="1"/>
  <c r="H5" i="10" a="1"/>
  <c r="H5" i="10" s="1"/>
  <c r="I451" i="10"/>
  <c r="I452" i="10"/>
  <c r="J451" i="10"/>
  <c r="J452" i="10"/>
  <c r="C450" i="10"/>
  <c r="B450" i="10"/>
  <c r="A450" i="10"/>
  <c r="I450" i="10" s="1"/>
  <c r="C449" i="10"/>
  <c r="B449" i="10"/>
  <c r="A449" i="10"/>
  <c r="J449" i="10" s="1"/>
  <c r="C448" i="10"/>
  <c r="B448" i="10"/>
  <c r="A448" i="10"/>
  <c r="J448" i="10" s="1"/>
  <c r="C447" i="10"/>
  <c r="B447" i="10"/>
  <c r="A447" i="10"/>
  <c r="J447" i="10" s="1"/>
  <c r="C446" i="10"/>
  <c r="B446" i="10"/>
  <c r="A446" i="10"/>
  <c r="I446" i="10" s="1"/>
  <c r="C445" i="10"/>
  <c r="B445" i="10"/>
  <c r="A445" i="10"/>
  <c r="J445" i="10" s="1"/>
  <c r="C444" i="10"/>
  <c r="B444" i="10"/>
  <c r="A444" i="10"/>
  <c r="I444" i="10" s="1"/>
  <c r="C443" i="10"/>
  <c r="B443" i="10"/>
  <c r="A443" i="10"/>
  <c r="C442" i="10"/>
  <c r="B442" i="10"/>
  <c r="A442" i="10"/>
  <c r="C441" i="10"/>
  <c r="B441" i="10"/>
  <c r="A441" i="10"/>
  <c r="J441" i="10" s="1"/>
  <c r="C440" i="10"/>
  <c r="B440" i="10"/>
  <c r="A440" i="10"/>
  <c r="J440" i="10" s="1"/>
  <c r="C439" i="10"/>
  <c r="B439" i="10"/>
  <c r="A439" i="10"/>
  <c r="J439" i="10" s="1"/>
  <c r="C438" i="10"/>
  <c r="B438" i="10"/>
  <c r="A438" i="10"/>
  <c r="I438" i="10" s="1"/>
  <c r="C437" i="10"/>
  <c r="B437" i="10"/>
  <c r="A437" i="10"/>
  <c r="J437" i="10" s="1"/>
  <c r="C436" i="10"/>
  <c r="B436" i="10"/>
  <c r="A436" i="10"/>
  <c r="J436" i="10" s="1"/>
  <c r="C435" i="10"/>
  <c r="B435" i="10"/>
  <c r="A435" i="10"/>
  <c r="C434" i="10"/>
  <c r="B434" i="10"/>
  <c r="A434" i="10"/>
  <c r="C433" i="10"/>
  <c r="B433" i="10"/>
  <c r="A433" i="10"/>
  <c r="J433" i="10" s="1"/>
  <c r="C432" i="10"/>
  <c r="B432" i="10"/>
  <c r="A432" i="10"/>
  <c r="I432" i="10" s="1"/>
  <c r="C431" i="10"/>
  <c r="B431" i="10"/>
  <c r="A431" i="10"/>
  <c r="J431" i="10" s="1"/>
  <c r="C430" i="10"/>
  <c r="B430" i="10"/>
  <c r="A430" i="10"/>
  <c r="J430" i="10" s="1"/>
  <c r="C429" i="10"/>
  <c r="B429" i="10"/>
  <c r="A429" i="10"/>
  <c r="J429" i="10" s="1"/>
  <c r="C428" i="10"/>
  <c r="B428" i="10"/>
  <c r="A428" i="10"/>
  <c r="J428" i="10" s="1"/>
  <c r="C427" i="10"/>
  <c r="B427" i="10"/>
  <c r="A427" i="10"/>
  <c r="C426" i="10"/>
  <c r="B426" i="10"/>
  <c r="A426" i="10"/>
  <c r="C425" i="10"/>
  <c r="B425" i="10"/>
  <c r="A425" i="10"/>
  <c r="J425" i="10" s="1"/>
  <c r="C424" i="10"/>
  <c r="B424" i="10"/>
  <c r="A424" i="10"/>
  <c r="C423" i="10"/>
  <c r="B423" i="10"/>
  <c r="A423" i="10"/>
  <c r="J423" i="10" s="1"/>
  <c r="C422" i="10"/>
  <c r="B422" i="10"/>
  <c r="A422" i="10"/>
  <c r="C421" i="10"/>
  <c r="B421" i="10"/>
  <c r="A421" i="10"/>
  <c r="J421" i="10" s="1"/>
  <c r="C420" i="10"/>
  <c r="B420" i="10"/>
  <c r="A420" i="10"/>
  <c r="C419" i="10"/>
  <c r="B419" i="10"/>
  <c r="A419" i="10"/>
  <c r="C418" i="10"/>
  <c r="B418" i="10"/>
  <c r="A418" i="10"/>
  <c r="C417" i="10"/>
  <c r="B417" i="10"/>
  <c r="A417" i="10"/>
  <c r="C416" i="10"/>
  <c r="B416" i="10"/>
  <c r="A416" i="10"/>
  <c r="C415" i="10"/>
  <c r="B415" i="10"/>
  <c r="A415" i="10"/>
  <c r="C414" i="10"/>
  <c r="B414" i="10"/>
  <c r="A414" i="10"/>
  <c r="C413" i="10"/>
  <c r="B413" i="10"/>
  <c r="A413" i="10"/>
  <c r="C412" i="10"/>
  <c r="B412" i="10"/>
  <c r="A412" i="10"/>
  <c r="C411" i="10"/>
  <c r="B411" i="10"/>
  <c r="A411" i="10"/>
  <c r="C410" i="10"/>
  <c r="B410" i="10"/>
  <c r="A410" i="10"/>
  <c r="C409" i="10"/>
  <c r="B409" i="10"/>
  <c r="A409" i="10"/>
  <c r="C408" i="10"/>
  <c r="B408" i="10"/>
  <c r="A408" i="10"/>
  <c r="C407" i="10"/>
  <c r="B407" i="10"/>
  <c r="A407" i="10"/>
  <c r="C406" i="10"/>
  <c r="B406" i="10"/>
  <c r="A406" i="10"/>
  <c r="C405" i="10"/>
  <c r="B405" i="10"/>
  <c r="A405" i="10"/>
  <c r="C404" i="10"/>
  <c r="B404" i="10"/>
  <c r="A404" i="10"/>
  <c r="C403" i="10"/>
  <c r="B403" i="10"/>
  <c r="A403" i="10"/>
  <c r="C402" i="10"/>
  <c r="B402" i="10"/>
  <c r="A402" i="10"/>
  <c r="C401" i="10"/>
  <c r="B401" i="10"/>
  <c r="A401" i="10"/>
  <c r="C400" i="10"/>
  <c r="B400" i="10"/>
  <c r="A400" i="10"/>
  <c r="C399" i="10"/>
  <c r="B399" i="10"/>
  <c r="A399" i="10"/>
  <c r="C398" i="10"/>
  <c r="B398" i="10"/>
  <c r="A398" i="10"/>
  <c r="C397" i="10"/>
  <c r="B397" i="10"/>
  <c r="A397" i="10"/>
  <c r="C396" i="10"/>
  <c r="B396" i="10"/>
  <c r="A396" i="10"/>
  <c r="C395" i="10"/>
  <c r="B395" i="10"/>
  <c r="A395" i="10"/>
  <c r="C394" i="10"/>
  <c r="B394" i="10"/>
  <c r="A394" i="10"/>
  <c r="C393" i="10"/>
  <c r="B393" i="10"/>
  <c r="A393" i="10"/>
  <c r="C392" i="10"/>
  <c r="B392" i="10"/>
  <c r="A392" i="10"/>
  <c r="C391" i="10"/>
  <c r="B391" i="10"/>
  <c r="A391" i="10"/>
  <c r="C390" i="10"/>
  <c r="B390" i="10"/>
  <c r="A390" i="10"/>
  <c r="C389" i="10"/>
  <c r="B389" i="10"/>
  <c r="A389" i="10"/>
  <c r="C388" i="10"/>
  <c r="B388" i="10"/>
  <c r="A388" i="10"/>
  <c r="C387" i="10"/>
  <c r="B387" i="10"/>
  <c r="A387" i="10"/>
  <c r="C386" i="10"/>
  <c r="B386" i="10"/>
  <c r="A386" i="10"/>
  <c r="C385" i="10"/>
  <c r="B385" i="10"/>
  <c r="A385" i="10"/>
  <c r="C384" i="10"/>
  <c r="B384" i="10"/>
  <c r="A384" i="10"/>
  <c r="C383" i="10"/>
  <c r="B383" i="10"/>
  <c r="A383" i="10"/>
  <c r="C382" i="10"/>
  <c r="B382" i="10"/>
  <c r="A382" i="10"/>
  <c r="C381" i="10"/>
  <c r="B381" i="10"/>
  <c r="A381" i="10"/>
  <c r="C380" i="10"/>
  <c r="B380" i="10"/>
  <c r="A380" i="10"/>
  <c r="C379" i="10"/>
  <c r="B379" i="10"/>
  <c r="A379" i="10"/>
  <c r="C378" i="10"/>
  <c r="B378" i="10"/>
  <c r="A378" i="10"/>
  <c r="C377" i="10"/>
  <c r="B377" i="10"/>
  <c r="A377" i="10"/>
  <c r="C376" i="10"/>
  <c r="B376" i="10"/>
  <c r="A376" i="10"/>
  <c r="C375" i="10"/>
  <c r="B375" i="10"/>
  <c r="A375" i="10"/>
  <c r="C374" i="10"/>
  <c r="B374" i="10"/>
  <c r="A374" i="10"/>
  <c r="C373" i="10"/>
  <c r="B373" i="10"/>
  <c r="A373" i="10"/>
  <c r="C372" i="10"/>
  <c r="B372" i="10"/>
  <c r="A372" i="10"/>
  <c r="C371" i="10"/>
  <c r="B371" i="10"/>
  <c r="A371" i="10"/>
  <c r="C370" i="10"/>
  <c r="B370" i="10"/>
  <c r="A370" i="10"/>
  <c r="C369" i="10"/>
  <c r="B369" i="10"/>
  <c r="A369" i="10"/>
  <c r="C368" i="10"/>
  <c r="B368" i="10"/>
  <c r="A368" i="10"/>
  <c r="C367" i="10"/>
  <c r="B367" i="10"/>
  <c r="A367" i="10"/>
  <c r="C366" i="10"/>
  <c r="B366" i="10"/>
  <c r="A366" i="10"/>
  <c r="C365" i="10"/>
  <c r="B365" i="10"/>
  <c r="A365" i="10"/>
  <c r="C364" i="10"/>
  <c r="B364" i="10"/>
  <c r="A364" i="10"/>
  <c r="C363" i="10"/>
  <c r="B363" i="10"/>
  <c r="A363" i="10"/>
  <c r="C362" i="10"/>
  <c r="B362" i="10"/>
  <c r="A362" i="10"/>
  <c r="C361" i="10"/>
  <c r="B361" i="10"/>
  <c r="A361" i="10"/>
  <c r="C360" i="10"/>
  <c r="B360" i="10"/>
  <c r="A360" i="10"/>
  <c r="C359" i="10"/>
  <c r="B359" i="10"/>
  <c r="A359" i="10"/>
  <c r="C358" i="10"/>
  <c r="B358" i="10"/>
  <c r="A358" i="10"/>
  <c r="C357" i="10"/>
  <c r="B357" i="10"/>
  <c r="A357" i="10"/>
  <c r="C356" i="10"/>
  <c r="B356" i="10"/>
  <c r="A356" i="10"/>
  <c r="C355" i="10"/>
  <c r="B355" i="10"/>
  <c r="A355" i="10"/>
  <c r="C354" i="10"/>
  <c r="B354" i="10"/>
  <c r="A354" i="10"/>
  <c r="C353" i="10"/>
  <c r="B353" i="10"/>
  <c r="A353" i="10"/>
  <c r="C352" i="10"/>
  <c r="B352" i="10"/>
  <c r="A352" i="10"/>
  <c r="C351" i="10"/>
  <c r="B351" i="10"/>
  <c r="A351" i="10"/>
  <c r="C350" i="10"/>
  <c r="B350" i="10"/>
  <c r="A350" i="10"/>
  <c r="C349" i="10"/>
  <c r="B349" i="10"/>
  <c r="A349" i="10"/>
  <c r="C348" i="10"/>
  <c r="B348" i="10"/>
  <c r="A348" i="10"/>
  <c r="C347" i="10"/>
  <c r="B347" i="10"/>
  <c r="A347" i="10"/>
  <c r="C346" i="10"/>
  <c r="B346" i="10"/>
  <c r="A346" i="10"/>
  <c r="C345" i="10"/>
  <c r="B345" i="10"/>
  <c r="A345" i="10"/>
  <c r="C344" i="10"/>
  <c r="B344" i="10"/>
  <c r="A344" i="10"/>
  <c r="C343" i="10"/>
  <c r="B343" i="10"/>
  <c r="A343" i="10"/>
  <c r="C342" i="10"/>
  <c r="B342" i="10"/>
  <c r="A342" i="10"/>
  <c r="C341" i="10"/>
  <c r="B341" i="10"/>
  <c r="A341" i="10"/>
  <c r="C340" i="10"/>
  <c r="B340" i="10"/>
  <c r="A340" i="10"/>
  <c r="C339" i="10"/>
  <c r="B339" i="10"/>
  <c r="A339" i="10"/>
  <c r="C338" i="10"/>
  <c r="B338" i="10"/>
  <c r="A338" i="10"/>
  <c r="C337" i="10"/>
  <c r="B337" i="10"/>
  <c r="A337" i="10"/>
  <c r="C336" i="10"/>
  <c r="B336" i="10"/>
  <c r="A336" i="10"/>
  <c r="C335" i="10"/>
  <c r="B335" i="10"/>
  <c r="A335" i="10"/>
  <c r="C334" i="10"/>
  <c r="B334" i="10"/>
  <c r="A334" i="10"/>
  <c r="C333" i="10"/>
  <c r="B333" i="10"/>
  <c r="A333" i="10"/>
  <c r="C332" i="10"/>
  <c r="B332" i="10"/>
  <c r="A332" i="10"/>
  <c r="C331" i="10"/>
  <c r="B331" i="10"/>
  <c r="A331" i="10"/>
  <c r="C330" i="10"/>
  <c r="B330" i="10"/>
  <c r="A330" i="10"/>
  <c r="C329" i="10"/>
  <c r="B329" i="10"/>
  <c r="A329" i="10"/>
  <c r="C328" i="10"/>
  <c r="B328" i="10"/>
  <c r="A328" i="10"/>
  <c r="C327" i="10"/>
  <c r="B327" i="10"/>
  <c r="A327" i="10"/>
  <c r="C326" i="10"/>
  <c r="B326" i="10"/>
  <c r="A326" i="10"/>
  <c r="C325" i="10"/>
  <c r="B325" i="10"/>
  <c r="A325" i="10"/>
  <c r="C324" i="10"/>
  <c r="B324" i="10"/>
  <c r="A324" i="10"/>
  <c r="C323" i="10"/>
  <c r="B323" i="10"/>
  <c r="A323" i="10"/>
  <c r="C322" i="10"/>
  <c r="B322" i="10"/>
  <c r="A322" i="10"/>
  <c r="C321" i="10"/>
  <c r="B321" i="10"/>
  <c r="A321" i="10"/>
  <c r="C320" i="10"/>
  <c r="B320" i="10"/>
  <c r="A320" i="10"/>
  <c r="C319" i="10"/>
  <c r="B319" i="10"/>
  <c r="A319" i="10"/>
  <c r="C318" i="10"/>
  <c r="B318" i="10"/>
  <c r="A318" i="10"/>
  <c r="C317" i="10"/>
  <c r="B317" i="10"/>
  <c r="A317" i="10"/>
  <c r="C316" i="10"/>
  <c r="B316" i="10"/>
  <c r="A316" i="10"/>
  <c r="C315" i="10"/>
  <c r="B315" i="10"/>
  <c r="A315" i="10"/>
  <c r="C314" i="10"/>
  <c r="B314" i="10"/>
  <c r="A314" i="10"/>
  <c r="C313" i="10"/>
  <c r="B313" i="10"/>
  <c r="A313" i="10"/>
  <c r="C312" i="10"/>
  <c r="B312" i="10"/>
  <c r="A312" i="10"/>
  <c r="C311" i="10"/>
  <c r="B311" i="10"/>
  <c r="A311" i="10"/>
  <c r="C310" i="10"/>
  <c r="B310" i="10"/>
  <c r="A310" i="10"/>
  <c r="C309" i="10"/>
  <c r="B309" i="10"/>
  <c r="A309" i="10"/>
  <c r="C308" i="10"/>
  <c r="B308" i="10"/>
  <c r="A308" i="10"/>
  <c r="C307" i="10"/>
  <c r="B307" i="10"/>
  <c r="A307" i="10"/>
  <c r="C306" i="10"/>
  <c r="B306" i="10"/>
  <c r="A306" i="10"/>
  <c r="C305" i="10"/>
  <c r="B305" i="10"/>
  <c r="A305" i="10"/>
  <c r="C304" i="10"/>
  <c r="B304" i="10"/>
  <c r="A304" i="10"/>
  <c r="C303" i="10"/>
  <c r="B303" i="10"/>
  <c r="A303" i="10"/>
  <c r="C302" i="10"/>
  <c r="B302" i="10"/>
  <c r="A302" i="10"/>
  <c r="C301" i="10"/>
  <c r="B301" i="10"/>
  <c r="A301" i="10"/>
  <c r="C300" i="10"/>
  <c r="B300" i="10"/>
  <c r="A300" i="10"/>
  <c r="C299" i="10"/>
  <c r="B299" i="10"/>
  <c r="A299" i="10"/>
  <c r="C298" i="10"/>
  <c r="B298" i="10"/>
  <c r="A298" i="10"/>
  <c r="C297" i="10"/>
  <c r="B297" i="10"/>
  <c r="A297" i="10"/>
  <c r="C296" i="10"/>
  <c r="B296" i="10"/>
  <c r="A296" i="10"/>
  <c r="C295" i="10"/>
  <c r="B295" i="10"/>
  <c r="A295" i="10"/>
  <c r="C294" i="10"/>
  <c r="B294" i="10"/>
  <c r="A294" i="10"/>
  <c r="C293" i="10"/>
  <c r="B293" i="10"/>
  <c r="A293" i="10"/>
  <c r="C292" i="10"/>
  <c r="B292" i="10"/>
  <c r="A292" i="10"/>
  <c r="C291" i="10"/>
  <c r="B291" i="10"/>
  <c r="A291" i="10"/>
  <c r="C290" i="10"/>
  <c r="B290" i="10"/>
  <c r="A290" i="10"/>
  <c r="C289" i="10"/>
  <c r="B289" i="10"/>
  <c r="A289" i="10"/>
  <c r="C288" i="10"/>
  <c r="B288" i="10"/>
  <c r="A288" i="10"/>
  <c r="C287" i="10"/>
  <c r="B287" i="10"/>
  <c r="A287" i="10"/>
  <c r="C286" i="10"/>
  <c r="B286" i="10"/>
  <c r="A286" i="10"/>
  <c r="C285" i="10"/>
  <c r="B285" i="10"/>
  <c r="A285" i="10"/>
  <c r="C284" i="10"/>
  <c r="B284" i="10"/>
  <c r="A284" i="10"/>
  <c r="C283" i="10"/>
  <c r="B283" i="10"/>
  <c r="A283" i="10"/>
  <c r="C282" i="10"/>
  <c r="B282" i="10"/>
  <c r="A282" i="10"/>
  <c r="C281" i="10"/>
  <c r="B281" i="10"/>
  <c r="A281" i="10"/>
  <c r="C280" i="10"/>
  <c r="B280" i="10"/>
  <c r="A280" i="10"/>
  <c r="C279" i="10"/>
  <c r="B279" i="10"/>
  <c r="A279" i="10"/>
  <c r="C278" i="10"/>
  <c r="B278" i="10"/>
  <c r="A278" i="10"/>
  <c r="C277" i="10"/>
  <c r="B277" i="10"/>
  <c r="A277" i="10"/>
  <c r="C276" i="10"/>
  <c r="B276" i="10"/>
  <c r="A276" i="10"/>
  <c r="C275" i="10"/>
  <c r="B275" i="10"/>
  <c r="A275" i="10"/>
  <c r="C274" i="10"/>
  <c r="B274" i="10"/>
  <c r="A274" i="10"/>
  <c r="C273" i="10"/>
  <c r="B273" i="10"/>
  <c r="A273" i="10"/>
  <c r="C272" i="10"/>
  <c r="B272" i="10"/>
  <c r="A272" i="10"/>
  <c r="C271" i="10"/>
  <c r="B271" i="10"/>
  <c r="A271" i="10"/>
  <c r="C270" i="10"/>
  <c r="B270" i="10"/>
  <c r="A270" i="10"/>
  <c r="C269" i="10"/>
  <c r="B269" i="10"/>
  <c r="A269" i="10"/>
  <c r="C268" i="10"/>
  <c r="B268" i="10"/>
  <c r="A268" i="10"/>
  <c r="C267" i="10"/>
  <c r="B267" i="10"/>
  <c r="A267" i="10"/>
  <c r="C266" i="10"/>
  <c r="B266" i="10"/>
  <c r="A266" i="10"/>
  <c r="C265" i="10"/>
  <c r="B265" i="10"/>
  <c r="A265" i="10"/>
  <c r="C264" i="10"/>
  <c r="B264" i="10"/>
  <c r="A264" i="10"/>
  <c r="C263" i="10"/>
  <c r="B263" i="10"/>
  <c r="A263" i="10"/>
  <c r="C262" i="10"/>
  <c r="B262" i="10"/>
  <c r="A262" i="10"/>
  <c r="C261" i="10"/>
  <c r="B261" i="10"/>
  <c r="A261" i="10"/>
  <c r="C260" i="10"/>
  <c r="B260" i="10"/>
  <c r="A260" i="10"/>
  <c r="C259" i="10"/>
  <c r="B259" i="10"/>
  <c r="A259" i="10"/>
  <c r="C258" i="10"/>
  <c r="B258" i="10"/>
  <c r="A258" i="10"/>
  <c r="C257" i="10"/>
  <c r="B257" i="10"/>
  <c r="A257" i="10"/>
  <c r="C256" i="10"/>
  <c r="B256" i="10"/>
  <c r="A256" i="10"/>
  <c r="C255" i="10"/>
  <c r="B255" i="10"/>
  <c r="A255" i="10"/>
  <c r="C254" i="10"/>
  <c r="B254" i="10"/>
  <c r="A254" i="10"/>
  <c r="C253" i="10"/>
  <c r="B253" i="10"/>
  <c r="A253" i="10"/>
  <c r="C252" i="10"/>
  <c r="B252" i="10"/>
  <c r="A252" i="10"/>
  <c r="C251" i="10"/>
  <c r="B251" i="10"/>
  <c r="A251" i="10"/>
  <c r="C250" i="10"/>
  <c r="B250" i="10"/>
  <c r="A250" i="10"/>
  <c r="C249" i="10"/>
  <c r="B249" i="10"/>
  <c r="A249" i="10"/>
  <c r="C248" i="10"/>
  <c r="B248" i="10"/>
  <c r="A248" i="10"/>
  <c r="C247" i="10"/>
  <c r="B247" i="10"/>
  <c r="A247" i="10"/>
  <c r="C246" i="10"/>
  <c r="B246" i="10"/>
  <c r="A246" i="10"/>
  <c r="C245" i="10"/>
  <c r="B245" i="10"/>
  <c r="A245" i="10"/>
  <c r="C244" i="10"/>
  <c r="B244" i="10"/>
  <c r="A244" i="10"/>
  <c r="C243" i="10"/>
  <c r="B243" i="10"/>
  <c r="A243" i="10"/>
  <c r="C242" i="10"/>
  <c r="B242" i="10"/>
  <c r="A242" i="10"/>
  <c r="C241" i="10"/>
  <c r="B241" i="10"/>
  <c r="A241" i="10"/>
  <c r="C240" i="10"/>
  <c r="B240" i="10"/>
  <c r="A240" i="10"/>
  <c r="C239" i="10"/>
  <c r="B239" i="10"/>
  <c r="A239" i="10"/>
  <c r="C238" i="10"/>
  <c r="B238" i="10"/>
  <c r="A238" i="10"/>
  <c r="C237" i="10"/>
  <c r="B237" i="10"/>
  <c r="A237" i="10"/>
  <c r="C236" i="10"/>
  <c r="B236" i="10"/>
  <c r="A236" i="10"/>
  <c r="C235" i="10"/>
  <c r="B235" i="10"/>
  <c r="A235" i="10"/>
  <c r="C234" i="10"/>
  <c r="B234" i="10"/>
  <c r="A234" i="10"/>
  <c r="C233" i="10"/>
  <c r="B233" i="10"/>
  <c r="A233" i="10"/>
  <c r="C232" i="10"/>
  <c r="B232" i="10"/>
  <c r="A232" i="10"/>
  <c r="C231" i="10"/>
  <c r="B231" i="10"/>
  <c r="A231" i="10"/>
  <c r="C230" i="10"/>
  <c r="B230" i="10"/>
  <c r="A230" i="10"/>
  <c r="C229" i="10"/>
  <c r="B229" i="10"/>
  <c r="A229" i="10"/>
  <c r="C228" i="10"/>
  <c r="B228" i="10"/>
  <c r="A228" i="10"/>
  <c r="C227" i="10"/>
  <c r="B227" i="10"/>
  <c r="A227" i="10"/>
  <c r="C226" i="10"/>
  <c r="B226" i="10"/>
  <c r="A226" i="10"/>
  <c r="C225" i="10"/>
  <c r="B225" i="10"/>
  <c r="A225" i="10"/>
  <c r="C224" i="10"/>
  <c r="B224" i="10"/>
  <c r="A224" i="10"/>
  <c r="C223" i="10"/>
  <c r="B223" i="10"/>
  <c r="A223" i="10"/>
  <c r="C222" i="10"/>
  <c r="B222" i="10"/>
  <c r="A222" i="10"/>
  <c r="C221" i="10"/>
  <c r="B221" i="10"/>
  <c r="A221" i="10"/>
  <c r="C220" i="10"/>
  <c r="B220" i="10"/>
  <c r="A220" i="10"/>
  <c r="C219" i="10"/>
  <c r="B219" i="10"/>
  <c r="A219" i="10"/>
  <c r="C218" i="10"/>
  <c r="B218" i="10"/>
  <c r="A218" i="10"/>
  <c r="C217" i="10"/>
  <c r="B217" i="10"/>
  <c r="A217" i="10"/>
  <c r="C216" i="10"/>
  <c r="B216" i="10"/>
  <c r="A216" i="10"/>
  <c r="C215" i="10"/>
  <c r="B215" i="10"/>
  <c r="A215" i="10"/>
  <c r="C214" i="10"/>
  <c r="B214" i="10"/>
  <c r="A214" i="10"/>
  <c r="C213" i="10"/>
  <c r="B213" i="10"/>
  <c r="A213" i="10"/>
  <c r="C212" i="10"/>
  <c r="B212" i="10"/>
  <c r="A212" i="10"/>
  <c r="C211" i="10"/>
  <c r="B211" i="10"/>
  <c r="A211" i="10"/>
  <c r="C210" i="10"/>
  <c r="B210" i="10"/>
  <c r="A210" i="10"/>
  <c r="C209" i="10"/>
  <c r="B209" i="10"/>
  <c r="A209" i="10"/>
  <c r="C208" i="10"/>
  <c r="B208" i="10"/>
  <c r="A208" i="10"/>
  <c r="C207" i="10"/>
  <c r="B207" i="10"/>
  <c r="A207" i="10"/>
  <c r="C206" i="10"/>
  <c r="B206" i="10"/>
  <c r="A206" i="10"/>
  <c r="C205" i="10"/>
  <c r="B205" i="10"/>
  <c r="A205" i="10"/>
  <c r="C204" i="10"/>
  <c r="B204" i="10"/>
  <c r="A204" i="10"/>
  <c r="C203" i="10"/>
  <c r="B203" i="10"/>
  <c r="A203" i="10"/>
  <c r="C202" i="10"/>
  <c r="B202" i="10"/>
  <c r="A202" i="10"/>
  <c r="C201" i="10"/>
  <c r="B201" i="10"/>
  <c r="A201" i="10"/>
  <c r="C200" i="10"/>
  <c r="B200" i="10"/>
  <c r="A200" i="10"/>
  <c r="C199" i="10"/>
  <c r="B199" i="10"/>
  <c r="A199" i="10"/>
  <c r="C198" i="10"/>
  <c r="B198" i="10"/>
  <c r="A198" i="10"/>
  <c r="C197" i="10"/>
  <c r="B197" i="10"/>
  <c r="A197" i="10"/>
  <c r="C196" i="10"/>
  <c r="B196" i="10"/>
  <c r="A196" i="10"/>
  <c r="C195" i="10"/>
  <c r="B195" i="10"/>
  <c r="A195" i="10"/>
  <c r="C194" i="10"/>
  <c r="B194" i="10"/>
  <c r="A194" i="10"/>
  <c r="C193" i="10"/>
  <c r="B193" i="10"/>
  <c r="A193" i="10"/>
  <c r="C192" i="10"/>
  <c r="B192" i="10"/>
  <c r="A192" i="10"/>
  <c r="C191" i="10"/>
  <c r="B191" i="10"/>
  <c r="A191" i="10"/>
  <c r="C190" i="10"/>
  <c r="B190" i="10"/>
  <c r="A190" i="10"/>
  <c r="C189" i="10"/>
  <c r="B189" i="10"/>
  <c r="A189" i="10"/>
  <c r="C188" i="10"/>
  <c r="B188" i="10"/>
  <c r="A188" i="10"/>
  <c r="C187" i="10"/>
  <c r="B187" i="10"/>
  <c r="A187" i="10"/>
  <c r="C186" i="10"/>
  <c r="B186" i="10"/>
  <c r="A186" i="10"/>
  <c r="C185" i="10"/>
  <c r="B185" i="10"/>
  <c r="A185" i="10"/>
  <c r="C184" i="10"/>
  <c r="B184" i="10"/>
  <c r="A184" i="10"/>
  <c r="C183" i="10"/>
  <c r="B183" i="10"/>
  <c r="A183" i="10"/>
  <c r="C182" i="10"/>
  <c r="B182" i="10"/>
  <c r="A182" i="10"/>
  <c r="C181" i="10"/>
  <c r="B181" i="10"/>
  <c r="A181" i="10"/>
  <c r="C180" i="10"/>
  <c r="B180" i="10"/>
  <c r="A180" i="10"/>
  <c r="C179" i="10"/>
  <c r="B179" i="10"/>
  <c r="A179" i="10"/>
  <c r="C178" i="10"/>
  <c r="B178" i="10"/>
  <c r="A178" i="10"/>
  <c r="C177" i="10"/>
  <c r="B177" i="10"/>
  <c r="A177" i="10"/>
  <c r="C176" i="10"/>
  <c r="B176" i="10"/>
  <c r="A176" i="10"/>
  <c r="C175" i="10"/>
  <c r="B175" i="10"/>
  <c r="A175" i="10"/>
  <c r="C174" i="10"/>
  <c r="B174" i="10"/>
  <c r="A174" i="10"/>
  <c r="C173" i="10"/>
  <c r="B173" i="10"/>
  <c r="A173" i="10"/>
  <c r="C172" i="10"/>
  <c r="B172" i="10"/>
  <c r="A172" i="10"/>
  <c r="C171" i="10"/>
  <c r="B171" i="10"/>
  <c r="A171" i="10"/>
  <c r="C170" i="10"/>
  <c r="B170" i="10"/>
  <c r="A170" i="10"/>
  <c r="C169" i="10"/>
  <c r="B169" i="10"/>
  <c r="A169" i="10"/>
  <c r="C168" i="10"/>
  <c r="B168" i="10"/>
  <c r="A168" i="10"/>
  <c r="C167" i="10"/>
  <c r="B167" i="10"/>
  <c r="A167" i="10"/>
  <c r="C166" i="10"/>
  <c r="B166" i="10"/>
  <c r="A166" i="10"/>
  <c r="C165" i="10"/>
  <c r="B165" i="10"/>
  <c r="A165" i="10"/>
  <c r="C164" i="10"/>
  <c r="B164" i="10"/>
  <c r="A164" i="10"/>
  <c r="C163" i="10"/>
  <c r="B163" i="10"/>
  <c r="A163" i="10"/>
  <c r="C162" i="10"/>
  <c r="B162" i="10"/>
  <c r="A162" i="10"/>
  <c r="C161" i="10"/>
  <c r="B161" i="10"/>
  <c r="A161" i="10"/>
  <c r="C160" i="10"/>
  <c r="B160" i="10"/>
  <c r="A160" i="10"/>
  <c r="C159" i="10"/>
  <c r="B159" i="10"/>
  <c r="A159" i="10"/>
  <c r="C158" i="10"/>
  <c r="B158" i="10"/>
  <c r="A158" i="10"/>
  <c r="C157" i="10"/>
  <c r="B157" i="10"/>
  <c r="A157" i="10"/>
  <c r="C156" i="10"/>
  <c r="B156" i="10"/>
  <c r="A156" i="10"/>
  <c r="C155" i="10"/>
  <c r="B155" i="10"/>
  <c r="A155" i="10"/>
  <c r="C154" i="10"/>
  <c r="B154" i="10"/>
  <c r="A154" i="10"/>
  <c r="C153" i="10"/>
  <c r="B153" i="10"/>
  <c r="A153" i="10"/>
  <c r="C152" i="10"/>
  <c r="B152" i="10"/>
  <c r="A152" i="10"/>
  <c r="C151" i="10"/>
  <c r="B151" i="10"/>
  <c r="A151" i="10"/>
  <c r="C150" i="10"/>
  <c r="B150" i="10"/>
  <c r="A150" i="10"/>
  <c r="C149" i="10"/>
  <c r="B149" i="10"/>
  <c r="A149" i="10"/>
  <c r="C148" i="10"/>
  <c r="B148" i="10"/>
  <c r="A148" i="10"/>
  <c r="C147" i="10"/>
  <c r="B147" i="10"/>
  <c r="A147" i="10"/>
  <c r="C146" i="10"/>
  <c r="B146" i="10"/>
  <c r="A146" i="10"/>
  <c r="C145" i="10"/>
  <c r="B145" i="10"/>
  <c r="A145" i="10"/>
  <c r="C144" i="10"/>
  <c r="B144" i="10"/>
  <c r="A144" i="10"/>
  <c r="C143" i="10"/>
  <c r="B143" i="10"/>
  <c r="A143" i="10"/>
  <c r="C142" i="10"/>
  <c r="B142" i="10"/>
  <c r="A142" i="10"/>
  <c r="C141" i="10"/>
  <c r="B141" i="10"/>
  <c r="A141" i="10"/>
  <c r="C140" i="10"/>
  <c r="B140" i="10"/>
  <c r="A140" i="10"/>
  <c r="C139" i="10"/>
  <c r="B139" i="10"/>
  <c r="A139" i="10"/>
  <c r="C138" i="10"/>
  <c r="B138" i="10"/>
  <c r="A138" i="10"/>
  <c r="C137" i="10"/>
  <c r="B137" i="10"/>
  <c r="A137" i="10"/>
  <c r="C136" i="10"/>
  <c r="B136" i="10"/>
  <c r="A136" i="10"/>
  <c r="C135" i="10"/>
  <c r="B135" i="10"/>
  <c r="A135" i="10"/>
  <c r="C134" i="10"/>
  <c r="B134" i="10"/>
  <c r="A134" i="10"/>
  <c r="C133" i="10"/>
  <c r="B133" i="10"/>
  <c r="A133" i="10"/>
  <c r="C132" i="10"/>
  <c r="B132" i="10"/>
  <c r="A132" i="10"/>
  <c r="C131" i="10"/>
  <c r="B131" i="10"/>
  <c r="A131" i="10"/>
  <c r="C130" i="10"/>
  <c r="B130" i="10"/>
  <c r="A130" i="10"/>
  <c r="C129" i="10"/>
  <c r="B129" i="10"/>
  <c r="A129" i="10"/>
  <c r="C128" i="10"/>
  <c r="B128" i="10"/>
  <c r="A128" i="10"/>
  <c r="C127" i="10"/>
  <c r="B127" i="10"/>
  <c r="A127" i="10"/>
  <c r="C126" i="10"/>
  <c r="B126" i="10"/>
  <c r="A126" i="10"/>
  <c r="C125" i="10"/>
  <c r="B125" i="10"/>
  <c r="A125" i="10"/>
  <c r="C124" i="10"/>
  <c r="B124" i="10"/>
  <c r="A124" i="10"/>
  <c r="C123" i="10"/>
  <c r="B123" i="10"/>
  <c r="A123" i="10"/>
  <c r="C122" i="10"/>
  <c r="B122" i="10"/>
  <c r="A122" i="10"/>
  <c r="C121" i="10"/>
  <c r="B121" i="10"/>
  <c r="A121" i="10"/>
  <c r="C120" i="10"/>
  <c r="B120" i="10"/>
  <c r="A120" i="10"/>
  <c r="C119" i="10"/>
  <c r="B119" i="10"/>
  <c r="A119" i="10"/>
  <c r="C118" i="10"/>
  <c r="B118" i="10"/>
  <c r="A118" i="10"/>
  <c r="C117" i="10"/>
  <c r="B117" i="10"/>
  <c r="A117" i="10"/>
  <c r="C116" i="10"/>
  <c r="B116" i="10"/>
  <c r="A116" i="10"/>
  <c r="C115" i="10"/>
  <c r="B115" i="10"/>
  <c r="A115" i="10"/>
  <c r="C114" i="10"/>
  <c r="B114" i="10"/>
  <c r="A114" i="10"/>
  <c r="C113" i="10"/>
  <c r="B113" i="10"/>
  <c r="A113" i="10"/>
  <c r="C112" i="10"/>
  <c r="B112" i="10"/>
  <c r="A112" i="10"/>
  <c r="C111" i="10"/>
  <c r="B111" i="10"/>
  <c r="A111" i="10"/>
  <c r="C110" i="10"/>
  <c r="B110" i="10"/>
  <c r="A110" i="10"/>
  <c r="C109" i="10"/>
  <c r="B109" i="10"/>
  <c r="A109" i="10"/>
  <c r="C108" i="10"/>
  <c r="B108" i="10"/>
  <c r="A108" i="10"/>
  <c r="C107" i="10"/>
  <c r="B107" i="10"/>
  <c r="A107" i="10"/>
  <c r="C106" i="10"/>
  <c r="B106" i="10"/>
  <c r="A106" i="10"/>
  <c r="C105" i="10"/>
  <c r="B105" i="10"/>
  <c r="A105" i="10"/>
  <c r="C104" i="10"/>
  <c r="B104" i="10"/>
  <c r="A104" i="10"/>
  <c r="C103" i="10"/>
  <c r="B103" i="10"/>
  <c r="A103" i="10"/>
  <c r="C102" i="10"/>
  <c r="B102" i="10"/>
  <c r="A102" i="10"/>
  <c r="C101" i="10"/>
  <c r="B101" i="10"/>
  <c r="A101" i="10"/>
  <c r="C100" i="10"/>
  <c r="B100" i="10"/>
  <c r="A100" i="10"/>
  <c r="C99" i="10"/>
  <c r="B99" i="10"/>
  <c r="A99" i="10"/>
  <c r="C98" i="10"/>
  <c r="B98" i="10"/>
  <c r="A98" i="10"/>
  <c r="C97" i="10"/>
  <c r="B97" i="10"/>
  <c r="A97" i="10"/>
  <c r="C96" i="10"/>
  <c r="B96" i="10"/>
  <c r="A96" i="10"/>
  <c r="C95" i="10"/>
  <c r="B95" i="10"/>
  <c r="A95" i="10"/>
  <c r="C94" i="10"/>
  <c r="B94" i="10"/>
  <c r="A94" i="10"/>
  <c r="C93" i="10"/>
  <c r="B93" i="10"/>
  <c r="A93" i="10"/>
  <c r="C92" i="10"/>
  <c r="B92" i="10"/>
  <c r="A92" i="10"/>
  <c r="C91" i="10"/>
  <c r="B91" i="10"/>
  <c r="A91" i="10"/>
  <c r="C90" i="10"/>
  <c r="B90" i="10"/>
  <c r="A90" i="10"/>
  <c r="C89" i="10"/>
  <c r="B89" i="10"/>
  <c r="A89" i="10"/>
  <c r="C88" i="10"/>
  <c r="B88" i="10"/>
  <c r="A88" i="10"/>
  <c r="C87" i="10"/>
  <c r="B87" i="10"/>
  <c r="A87" i="10"/>
  <c r="C86" i="10"/>
  <c r="B86" i="10"/>
  <c r="A86" i="10"/>
  <c r="C85" i="10"/>
  <c r="B85" i="10"/>
  <c r="A85" i="10"/>
  <c r="C84" i="10"/>
  <c r="B84" i="10"/>
  <c r="A84" i="10"/>
  <c r="C83" i="10"/>
  <c r="B83" i="10"/>
  <c r="A83" i="10"/>
  <c r="C82" i="10"/>
  <c r="B82" i="10"/>
  <c r="A82" i="10"/>
  <c r="C81" i="10"/>
  <c r="B81" i="10"/>
  <c r="A81" i="10"/>
  <c r="C80" i="10"/>
  <c r="B80" i="10"/>
  <c r="A80" i="10"/>
  <c r="C79" i="10"/>
  <c r="B79" i="10"/>
  <c r="A79" i="10"/>
  <c r="C78" i="10"/>
  <c r="B78" i="10"/>
  <c r="A78" i="10"/>
  <c r="C77" i="10"/>
  <c r="B77" i="10"/>
  <c r="A77" i="10"/>
  <c r="C76" i="10"/>
  <c r="B76" i="10"/>
  <c r="A76" i="10"/>
  <c r="C75" i="10"/>
  <c r="B75" i="10"/>
  <c r="A75" i="10"/>
  <c r="C74" i="10"/>
  <c r="B74" i="10"/>
  <c r="A74" i="10"/>
  <c r="C73" i="10"/>
  <c r="B73" i="10"/>
  <c r="A73" i="10"/>
  <c r="C72" i="10"/>
  <c r="B72" i="10"/>
  <c r="A72" i="10"/>
  <c r="C71" i="10"/>
  <c r="B71" i="10"/>
  <c r="A71" i="10"/>
  <c r="C70" i="10"/>
  <c r="B70" i="10"/>
  <c r="A70" i="10"/>
  <c r="C69" i="10"/>
  <c r="B69" i="10"/>
  <c r="A69" i="10"/>
  <c r="C68" i="10"/>
  <c r="B68" i="10"/>
  <c r="A68" i="10"/>
  <c r="C67" i="10"/>
  <c r="B67" i="10"/>
  <c r="A67" i="10"/>
  <c r="C66" i="10"/>
  <c r="B66" i="10"/>
  <c r="A66" i="10"/>
  <c r="C65" i="10"/>
  <c r="B65" i="10"/>
  <c r="A65" i="10"/>
  <c r="C64" i="10"/>
  <c r="B64" i="10"/>
  <c r="A64" i="10"/>
  <c r="C63" i="10"/>
  <c r="B63" i="10"/>
  <c r="A63" i="10"/>
  <c r="C62" i="10"/>
  <c r="B62" i="10"/>
  <c r="A62" i="10"/>
  <c r="C61" i="10"/>
  <c r="B61" i="10"/>
  <c r="A61" i="10"/>
  <c r="C60" i="10"/>
  <c r="B60" i="10"/>
  <c r="A60" i="10"/>
  <c r="C59" i="10"/>
  <c r="B59" i="10"/>
  <c r="A59" i="10"/>
  <c r="C58" i="10"/>
  <c r="B58" i="10"/>
  <c r="A58" i="10"/>
  <c r="C57" i="10"/>
  <c r="B57" i="10"/>
  <c r="A57" i="10"/>
  <c r="C56" i="10"/>
  <c r="B56" i="10"/>
  <c r="A56" i="10"/>
  <c r="C55" i="10"/>
  <c r="B55" i="10"/>
  <c r="A55" i="10"/>
  <c r="C54" i="10"/>
  <c r="B54" i="10"/>
  <c r="A54" i="10"/>
  <c r="C53" i="10"/>
  <c r="B53" i="10"/>
  <c r="A53" i="10"/>
  <c r="C52" i="10"/>
  <c r="B52" i="10"/>
  <c r="A52" i="10"/>
  <c r="C51" i="10"/>
  <c r="B51" i="10"/>
  <c r="A51" i="10"/>
  <c r="C50" i="10"/>
  <c r="B50" i="10"/>
  <c r="A50" i="10"/>
  <c r="C49" i="10"/>
  <c r="B49" i="10"/>
  <c r="A49" i="10"/>
  <c r="C48" i="10"/>
  <c r="B48" i="10"/>
  <c r="A48" i="10"/>
  <c r="C47" i="10"/>
  <c r="B47" i="10"/>
  <c r="A47" i="10"/>
  <c r="C46" i="10"/>
  <c r="B46" i="10"/>
  <c r="A46" i="10"/>
  <c r="C45" i="10"/>
  <c r="B45" i="10"/>
  <c r="A45" i="10"/>
  <c r="C44" i="10"/>
  <c r="B44" i="10"/>
  <c r="A44" i="10"/>
  <c r="C43" i="10"/>
  <c r="B43" i="10"/>
  <c r="A43" i="10"/>
  <c r="C42" i="10"/>
  <c r="B42" i="10"/>
  <c r="A42" i="10"/>
  <c r="C41" i="10"/>
  <c r="B41" i="10"/>
  <c r="A41" i="10"/>
  <c r="C40" i="10"/>
  <c r="B40" i="10"/>
  <c r="A40" i="10"/>
  <c r="C39" i="10"/>
  <c r="B39" i="10"/>
  <c r="A39" i="10"/>
  <c r="C38" i="10"/>
  <c r="B38" i="10"/>
  <c r="A38" i="10"/>
  <c r="C37" i="10"/>
  <c r="B37" i="10"/>
  <c r="A37" i="10"/>
  <c r="AM36" i="10"/>
  <c r="C36" i="10"/>
  <c r="B36" i="10"/>
  <c r="A36" i="10"/>
  <c r="C35" i="10"/>
  <c r="B35" i="10"/>
  <c r="A35" i="10"/>
  <c r="C34" i="10"/>
  <c r="B34" i="10"/>
  <c r="A34" i="10"/>
  <c r="C33" i="10"/>
  <c r="B33" i="10"/>
  <c r="A33" i="10"/>
  <c r="C32" i="10"/>
  <c r="B32" i="10"/>
  <c r="A32" i="10"/>
  <c r="C31" i="10"/>
  <c r="B31" i="10"/>
  <c r="A31" i="10"/>
  <c r="C30" i="10"/>
  <c r="B30" i="10"/>
  <c r="A30" i="10"/>
  <c r="C29" i="10"/>
  <c r="B29" i="10"/>
  <c r="A29" i="10"/>
  <c r="C28" i="10"/>
  <c r="B28" i="10"/>
  <c r="A28" i="10"/>
  <c r="C27" i="10"/>
  <c r="B27" i="10"/>
  <c r="A27" i="10"/>
  <c r="AM26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C18" i="10"/>
  <c r="B18" i="10"/>
  <c r="A18" i="10"/>
  <c r="C17" i="10"/>
  <c r="B17" i="10"/>
  <c r="A17" i="10"/>
  <c r="C16" i="10"/>
  <c r="B16" i="10"/>
  <c r="A16" i="10"/>
  <c r="C15" i="10"/>
  <c r="B15" i="10"/>
  <c r="A15" i="10"/>
  <c r="C14" i="10"/>
  <c r="B14" i="10"/>
  <c r="A14" i="10"/>
  <c r="C13" i="10"/>
  <c r="B13" i="10"/>
  <c r="A13" i="10"/>
  <c r="C12" i="10"/>
  <c r="B12" i="10"/>
  <c r="A12" i="10"/>
  <c r="C11" i="10"/>
  <c r="B11" i="10"/>
  <c r="A11" i="10"/>
  <c r="C10" i="10"/>
  <c r="B10" i="10"/>
  <c r="A10" i="10"/>
  <c r="C9" i="10"/>
  <c r="B9" i="10"/>
  <c r="A9" i="10"/>
  <c r="C8" i="10"/>
  <c r="B8" i="10"/>
  <c r="A8" i="10"/>
  <c r="C7" i="10"/>
  <c r="B7" i="10"/>
  <c r="A7" i="10"/>
  <c r="C6" i="10"/>
  <c r="B6" i="10"/>
  <c r="A6" i="10"/>
  <c r="C5" i="10"/>
  <c r="B5" i="10"/>
  <c r="A5" i="10"/>
  <c r="I5" i="10" s="1"/>
  <c r="AO4" i="10"/>
  <c r="AO361" i="10" s="1"/>
  <c r="AN4" i="10"/>
  <c r="AN56" i="10" s="1"/>
  <c r="AM4" i="10"/>
  <c r="AM18" i="10" s="1"/>
  <c r="AL4" i="10"/>
  <c r="AK4" i="10"/>
  <c r="AJ4" i="10"/>
  <c r="AJ445" i="10" s="1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AM3" i="10"/>
  <c r="AF3" i="10"/>
  <c r="Y3" i="10"/>
  <c r="R3" i="10"/>
  <c r="K3" i="10"/>
  <c r="B2" i="10"/>
  <c r="AL1" i="10"/>
  <c r="AE1" i="10"/>
  <c r="X1" i="10"/>
  <c r="Q1" i="10"/>
  <c r="B1" i="10"/>
  <c r="AM10" i="10" l="1"/>
  <c r="AJ447" i="10"/>
  <c r="AM28" i="10"/>
  <c r="AG411" i="10"/>
  <c r="AG419" i="10"/>
  <c r="Y427" i="10"/>
  <c r="Y435" i="10"/>
  <c r="Y443" i="10"/>
  <c r="AK445" i="10"/>
  <c r="AM44" i="10"/>
  <c r="AO67" i="10"/>
  <c r="AF409" i="10"/>
  <c r="AF417" i="10"/>
  <c r="AK439" i="10"/>
  <c r="AM52" i="10"/>
  <c r="AO65" i="10"/>
  <c r="AK437" i="10"/>
  <c r="AN22" i="10"/>
  <c r="AG415" i="10"/>
  <c r="AK431" i="10"/>
  <c r="AN7" i="10"/>
  <c r="S434" i="10"/>
  <c r="Z442" i="10"/>
  <c r="AK429" i="10"/>
  <c r="AN5" i="10"/>
  <c r="AF413" i="10"/>
  <c r="AK447" i="10"/>
  <c r="AK421" i="10"/>
  <c r="AF27" i="10"/>
  <c r="AF121" i="10"/>
  <c r="AF257" i="10"/>
  <c r="AF361" i="10"/>
  <c r="AF377" i="10"/>
  <c r="AF401" i="10"/>
  <c r="AF25" i="10"/>
  <c r="AF35" i="10"/>
  <c r="AF45" i="10"/>
  <c r="AG58" i="10"/>
  <c r="AF348" i="10"/>
  <c r="AF356" i="10"/>
  <c r="AF364" i="10"/>
  <c r="AF372" i="10"/>
  <c r="AF380" i="10"/>
  <c r="AF388" i="10"/>
  <c r="AF396" i="10"/>
  <c r="AF404" i="10"/>
  <c r="AF412" i="10"/>
  <c r="J420" i="10"/>
  <c r="AJ439" i="10"/>
  <c r="AJ437" i="10"/>
  <c r="AJ433" i="10"/>
  <c r="AJ431" i="10"/>
  <c r="AJ429" i="10"/>
  <c r="AJ421" i="10"/>
  <c r="AF129" i="10"/>
  <c r="AF177" i="10"/>
  <c r="AF193" i="10"/>
  <c r="AF209" i="10"/>
  <c r="AF321" i="10"/>
  <c r="AF369" i="10"/>
  <c r="AG10" i="10"/>
  <c r="AF15" i="10"/>
  <c r="AG30" i="10"/>
  <c r="AF43" i="10"/>
  <c r="AF53" i="10"/>
  <c r="AF61" i="10"/>
  <c r="AG66" i="10"/>
  <c r="AF71" i="10"/>
  <c r="AF79" i="10"/>
  <c r="AF87" i="10"/>
  <c r="AF95" i="10"/>
  <c r="AF103" i="10"/>
  <c r="AF111" i="10"/>
  <c r="AF119" i="10"/>
  <c r="AF127" i="10"/>
  <c r="AF135" i="10"/>
  <c r="AF143" i="10"/>
  <c r="AF151" i="10"/>
  <c r="AF159" i="10"/>
  <c r="AF167" i="10"/>
  <c r="AF175" i="10"/>
  <c r="AF183" i="10"/>
  <c r="AF191" i="10"/>
  <c r="AF199" i="10"/>
  <c r="AF207" i="10"/>
  <c r="AF215" i="10"/>
  <c r="AF223" i="10"/>
  <c r="AF231" i="10"/>
  <c r="AF239" i="10"/>
  <c r="AF247" i="10"/>
  <c r="AF255" i="10"/>
  <c r="AF263" i="10"/>
  <c r="AF271" i="10"/>
  <c r="AF279" i="10"/>
  <c r="AF287" i="10"/>
  <c r="AF295" i="10"/>
  <c r="AF303" i="10"/>
  <c r="AF311" i="10"/>
  <c r="AF319" i="10"/>
  <c r="AF327" i="10"/>
  <c r="AF335" i="10"/>
  <c r="AF343" i="10"/>
  <c r="AG351" i="10"/>
  <c r="AG359" i="10"/>
  <c r="AG367" i="10"/>
  <c r="AG375" i="10"/>
  <c r="AG383" i="10"/>
  <c r="AG391" i="10"/>
  <c r="AG399" i="10"/>
  <c r="AG407" i="10"/>
  <c r="AI447" i="10"/>
  <c r="AI445" i="10"/>
  <c r="AI439" i="10"/>
  <c r="AI437" i="10"/>
  <c r="AI431" i="10"/>
  <c r="AI429" i="10"/>
  <c r="AI421" i="10"/>
  <c r="AF55" i="10"/>
  <c r="AF201" i="10"/>
  <c r="AF217" i="10"/>
  <c r="AF249" i="10"/>
  <c r="AF265" i="10"/>
  <c r="AF281" i="10"/>
  <c r="AF297" i="10"/>
  <c r="AF313" i="10"/>
  <c r="AF329" i="10"/>
  <c r="AF393" i="10"/>
  <c r="AG18" i="10"/>
  <c r="AF23" i="10"/>
  <c r="AF33" i="10"/>
  <c r="AG38" i="10"/>
  <c r="AF51" i="10"/>
  <c r="AG74" i="10"/>
  <c r="AG82" i="10"/>
  <c r="AG90" i="10"/>
  <c r="AG98" i="10"/>
  <c r="AG106" i="10"/>
  <c r="AG114" i="10"/>
  <c r="AG122" i="10"/>
  <c r="AG130" i="10"/>
  <c r="AG138" i="10"/>
  <c r="AG146" i="10"/>
  <c r="AG154" i="10"/>
  <c r="AG162" i="10"/>
  <c r="AG170" i="10"/>
  <c r="AG178" i="10"/>
  <c r="AG186" i="10"/>
  <c r="AG194" i="10"/>
  <c r="AG202" i="10"/>
  <c r="AG210" i="10"/>
  <c r="AG218" i="10"/>
  <c r="AG226" i="10"/>
  <c r="AG234" i="10"/>
  <c r="AG242" i="10"/>
  <c r="AG250" i="10"/>
  <c r="AG258" i="10"/>
  <c r="AG266" i="10"/>
  <c r="AG274" i="10"/>
  <c r="AG282" i="10"/>
  <c r="AG290" i="10"/>
  <c r="AG298" i="10"/>
  <c r="AG306" i="10"/>
  <c r="AG314" i="10"/>
  <c r="AG322" i="10"/>
  <c r="AG330" i="10"/>
  <c r="AG338" i="10"/>
  <c r="AF346" i="10"/>
  <c r="AF354" i="10"/>
  <c r="AF362" i="10"/>
  <c r="AF370" i="10"/>
  <c r="AF378" i="10"/>
  <c r="AF386" i="10"/>
  <c r="AF394" i="10"/>
  <c r="AF402" i="10"/>
  <c r="AF410" i="10"/>
  <c r="S418" i="10"/>
  <c r="S426" i="10"/>
  <c r="AH447" i="10"/>
  <c r="AH445" i="10"/>
  <c r="AH441" i="10"/>
  <c r="AH439" i="10"/>
  <c r="AH437" i="10"/>
  <c r="AH431" i="10"/>
  <c r="AH429" i="10"/>
  <c r="AK423" i="10"/>
  <c r="AH421" i="10"/>
  <c r="AF17" i="10"/>
  <c r="AF73" i="10"/>
  <c r="AF153" i="10"/>
  <c r="AF169" i="10"/>
  <c r="AF225" i="10"/>
  <c r="AF273" i="10"/>
  <c r="AF345" i="10"/>
  <c r="AF13" i="10"/>
  <c r="AF21" i="10"/>
  <c r="AG26" i="10"/>
  <c r="AF41" i="10"/>
  <c r="AG46" i="10"/>
  <c r="AF59" i="10"/>
  <c r="AF69" i="10"/>
  <c r="AF77" i="10"/>
  <c r="AF85" i="10"/>
  <c r="AF93" i="10"/>
  <c r="AF101" i="10"/>
  <c r="AF109" i="10"/>
  <c r="AF117" i="10"/>
  <c r="AF125" i="10"/>
  <c r="AF133" i="10"/>
  <c r="AF141" i="10"/>
  <c r="AF149" i="10"/>
  <c r="AF157" i="10"/>
  <c r="AF165" i="10"/>
  <c r="AF173" i="10"/>
  <c r="AF181" i="10"/>
  <c r="AF189" i="10"/>
  <c r="AF197" i="10"/>
  <c r="AF205" i="10"/>
  <c r="AF213" i="10"/>
  <c r="AF221" i="10"/>
  <c r="AF229" i="10"/>
  <c r="AF237" i="10"/>
  <c r="AF245" i="10"/>
  <c r="AF253" i="10"/>
  <c r="AG261" i="10"/>
  <c r="AG269" i="10"/>
  <c r="AG277" i="10"/>
  <c r="AG285" i="10"/>
  <c r="AG293" i="10"/>
  <c r="AG301" i="10"/>
  <c r="AG309" i="10"/>
  <c r="AG317" i="10"/>
  <c r="AG325" i="10"/>
  <c r="AG333" i="10"/>
  <c r="AG341" i="10"/>
  <c r="AF349" i="10"/>
  <c r="AF357" i="10"/>
  <c r="AF365" i="10"/>
  <c r="AF373" i="10"/>
  <c r="AF381" i="10"/>
  <c r="AF389" i="10"/>
  <c r="AF397" i="10"/>
  <c r="AF405" i="10"/>
  <c r="AK448" i="10"/>
  <c r="AK440" i="10"/>
  <c r="AK436" i="10"/>
  <c r="AK430" i="10"/>
  <c r="AJ423" i="10"/>
  <c r="AG6" i="10"/>
  <c r="AF31" i="10"/>
  <c r="AF49" i="10"/>
  <c r="AG54" i="10"/>
  <c r="AG62" i="10"/>
  <c r="AF67" i="10"/>
  <c r="AF352" i="10"/>
  <c r="AF360" i="10"/>
  <c r="AF368" i="10"/>
  <c r="AF376" i="10"/>
  <c r="AF384" i="10"/>
  <c r="AF392" i="10"/>
  <c r="AF400" i="10"/>
  <c r="AF408" i="10"/>
  <c r="J416" i="10"/>
  <c r="AD416" i="10" s="1"/>
  <c r="J424" i="10"/>
  <c r="AK424" i="10" s="1"/>
  <c r="AJ448" i="10"/>
  <c r="AJ440" i="10"/>
  <c r="AJ430" i="10"/>
  <c r="AI423" i="10"/>
  <c r="AG50" i="10"/>
  <c r="AF63" i="10"/>
  <c r="AF81" i="10"/>
  <c r="AF97" i="10"/>
  <c r="AF113" i="10"/>
  <c r="AF145" i="10"/>
  <c r="AF161" i="10"/>
  <c r="AF185" i="10"/>
  <c r="AF241" i="10"/>
  <c r="AF289" i="10"/>
  <c r="AF305" i="10"/>
  <c r="AF353" i="10"/>
  <c r="AF385" i="10"/>
  <c r="AF11" i="10"/>
  <c r="AF19" i="10"/>
  <c r="AG34" i="10"/>
  <c r="AF39" i="10"/>
  <c r="AF57" i="10"/>
  <c r="AF65" i="10"/>
  <c r="AF75" i="10"/>
  <c r="AF83" i="10"/>
  <c r="AF91" i="10"/>
  <c r="AF99" i="10"/>
  <c r="AF107" i="10"/>
  <c r="AF115" i="10"/>
  <c r="AF123" i="10"/>
  <c r="AF131" i="10"/>
  <c r="AF139" i="10"/>
  <c r="AF147" i="10"/>
  <c r="AF155" i="10"/>
  <c r="AF163" i="10"/>
  <c r="AF171" i="10"/>
  <c r="AF179" i="10"/>
  <c r="AF187" i="10"/>
  <c r="AF195" i="10"/>
  <c r="AF203" i="10"/>
  <c r="AF211" i="10"/>
  <c r="AF219" i="10"/>
  <c r="AF227" i="10"/>
  <c r="AF235" i="10"/>
  <c r="AF243" i="10"/>
  <c r="AF251" i="10"/>
  <c r="AF259" i="10"/>
  <c r="AF267" i="10"/>
  <c r="AF275" i="10"/>
  <c r="AF283" i="10"/>
  <c r="AF291" i="10"/>
  <c r="AF299" i="10"/>
  <c r="AF307" i="10"/>
  <c r="AF315" i="10"/>
  <c r="AF323" i="10"/>
  <c r="AF331" i="10"/>
  <c r="AF339" i="10"/>
  <c r="AG347" i="10"/>
  <c r="AG355" i="10"/>
  <c r="AG363" i="10"/>
  <c r="AG371" i="10"/>
  <c r="AG379" i="10"/>
  <c r="AG387" i="10"/>
  <c r="AG395" i="10"/>
  <c r="AG403" i="10"/>
  <c r="AI448" i="10"/>
  <c r="AI440" i="10"/>
  <c r="AI430" i="10"/>
  <c r="AH423" i="10"/>
  <c r="AF7" i="10"/>
  <c r="AF37" i="10"/>
  <c r="AF89" i="10"/>
  <c r="AF105" i="10"/>
  <c r="AF137" i="10"/>
  <c r="AF233" i="10"/>
  <c r="AF337" i="10"/>
  <c r="AF9" i="10"/>
  <c r="AG14" i="10"/>
  <c r="AG22" i="10"/>
  <c r="AF29" i="10"/>
  <c r="AG42" i="10"/>
  <c r="AF47" i="10"/>
  <c r="AG70" i="10"/>
  <c r="AG78" i="10"/>
  <c r="AG86" i="10"/>
  <c r="AG94" i="10"/>
  <c r="AG102" i="10"/>
  <c r="AG110" i="10"/>
  <c r="AG118" i="10"/>
  <c r="AG126" i="10"/>
  <c r="AG134" i="10"/>
  <c r="AG142" i="10"/>
  <c r="AG150" i="10"/>
  <c r="AG158" i="10"/>
  <c r="AG166" i="10"/>
  <c r="AG174" i="10"/>
  <c r="AG182" i="10"/>
  <c r="AG190" i="10"/>
  <c r="AG198" i="10"/>
  <c r="AG206" i="10"/>
  <c r="AG214" i="10"/>
  <c r="AG222" i="10"/>
  <c r="AG230" i="10"/>
  <c r="AG238" i="10"/>
  <c r="AG246" i="10"/>
  <c r="AG254" i="10"/>
  <c r="AG262" i="10"/>
  <c r="AG270" i="10"/>
  <c r="AG278" i="10"/>
  <c r="AG286" i="10"/>
  <c r="AG294" i="10"/>
  <c r="AG302" i="10"/>
  <c r="AG310" i="10"/>
  <c r="AG318" i="10"/>
  <c r="AG326" i="10"/>
  <c r="AG334" i="10"/>
  <c r="AG342" i="10"/>
  <c r="AF350" i="10"/>
  <c r="AF358" i="10"/>
  <c r="AF366" i="10"/>
  <c r="AF374" i="10"/>
  <c r="AF382" i="10"/>
  <c r="AF390" i="10"/>
  <c r="AF398" i="10"/>
  <c r="AF406" i="10"/>
  <c r="AF414" i="10"/>
  <c r="J422" i="10"/>
  <c r="AJ422" i="10" s="1"/>
  <c r="AH448" i="10"/>
  <c r="AH440" i="10"/>
  <c r="AH430" i="10"/>
  <c r="AH428" i="10"/>
  <c r="AF443" i="10"/>
  <c r="AF411" i="10"/>
  <c r="AF379" i="10"/>
  <c r="AF347" i="10"/>
  <c r="AF285" i="10"/>
  <c r="AG175" i="10"/>
  <c r="AF58" i="10"/>
  <c r="AF419" i="10"/>
  <c r="AF387" i="10"/>
  <c r="AF355" i="10"/>
  <c r="AF301" i="10"/>
  <c r="AG207" i="10"/>
  <c r="AG79" i="10"/>
  <c r="AF447" i="10"/>
  <c r="AF415" i="10"/>
  <c r="AF383" i="10"/>
  <c r="AF351" i="10"/>
  <c r="AF293" i="10"/>
  <c r="AG197" i="10"/>
  <c r="AG69" i="10"/>
  <c r="AF439" i="10"/>
  <c r="AF407" i="10"/>
  <c r="AF375" i="10"/>
  <c r="AF341" i="10"/>
  <c r="AF277" i="10"/>
  <c r="AG165" i="10"/>
  <c r="AG47" i="10"/>
  <c r="AF435" i="10"/>
  <c r="AF403" i="10"/>
  <c r="AF371" i="10"/>
  <c r="AF333" i="10"/>
  <c r="AF269" i="10"/>
  <c r="AG143" i="10"/>
  <c r="AG37" i="10"/>
  <c r="AF431" i="10"/>
  <c r="AF399" i="10"/>
  <c r="AF367" i="10"/>
  <c r="AF325" i="10"/>
  <c r="AF261" i="10"/>
  <c r="AG133" i="10"/>
  <c r="AF26" i="10"/>
  <c r="AF427" i="10"/>
  <c r="AF395" i="10"/>
  <c r="AF363" i="10"/>
  <c r="AF317" i="10"/>
  <c r="AG239" i="10"/>
  <c r="AG111" i="10"/>
  <c r="AG15" i="10"/>
  <c r="AF423" i="10"/>
  <c r="AF391" i="10"/>
  <c r="AF359" i="10"/>
  <c r="AF309" i="10"/>
  <c r="AG229" i="10"/>
  <c r="AG101" i="10"/>
  <c r="AF8" i="10"/>
  <c r="AG8" i="10"/>
  <c r="AF36" i="10"/>
  <c r="AG36" i="10"/>
  <c r="AG450" i="10"/>
  <c r="AG446" i="10"/>
  <c r="AG442" i="10"/>
  <c r="AG438" i="10"/>
  <c r="AG434" i="10"/>
  <c r="AG430" i="10"/>
  <c r="AG426" i="10"/>
  <c r="AG422" i="10"/>
  <c r="AG418" i="10"/>
  <c r="AG414" i="10"/>
  <c r="AG410" i="10"/>
  <c r="AG406" i="10"/>
  <c r="AG402" i="10"/>
  <c r="AG398" i="10"/>
  <c r="AG394" i="10"/>
  <c r="AG390" i="10"/>
  <c r="AG386" i="10"/>
  <c r="AG382" i="10"/>
  <c r="AG378" i="10"/>
  <c r="AG374" i="10"/>
  <c r="AG370" i="10"/>
  <c r="AG366" i="10"/>
  <c r="AG362" i="10"/>
  <c r="AG358" i="10"/>
  <c r="AG354" i="10"/>
  <c r="AG350" i="10"/>
  <c r="AG346" i="10"/>
  <c r="AG339" i="10"/>
  <c r="AG331" i="10"/>
  <c r="AG323" i="10"/>
  <c r="AG315" i="10"/>
  <c r="AG307" i="10"/>
  <c r="AG299" i="10"/>
  <c r="AG291" i="10"/>
  <c r="AG283" i="10"/>
  <c r="AG275" i="10"/>
  <c r="AG267" i="10"/>
  <c r="AG259" i="10"/>
  <c r="AG249" i="10"/>
  <c r="AF238" i="10"/>
  <c r="AG227" i="10"/>
  <c r="AG217" i="10"/>
  <c r="AF206" i="10"/>
  <c r="AG195" i="10"/>
  <c r="AG185" i="10"/>
  <c r="AF174" i="10"/>
  <c r="AG163" i="10"/>
  <c r="AG153" i="10"/>
  <c r="AF142" i="10"/>
  <c r="AG131" i="10"/>
  <c r="AG121" i="10"/>
  <c r="AF110" i="10"/>
  <c r="AG99" i="10"/>
  <c r="AG89" i="10"/>
  <c r="AF78" i="10"/>
  <c r="AG67" i="10"/>
  <c r="AG57" i="10"/>
  <c r="AF46" i="10"/>
  <c r="AG35" i="10"/>
  <c r="AG25" i="10"/>
  <c r="AF14" i="10"/>
  <c r="AF154" i="10"/>
  <c r="AF16" i="10"/>
  <c r="AG16" i="10"/>
  <c r="AF44" i="10"/>
  <c r="AG44" i="10"/>
  <c r="AF72" i="10"/>
  <c r="AG72" i="10"/>
  <c r="AF80" i="10"/>
  <c r="AG80" i="10"/>
  <c r="AF88" i="10"/>
  <c r="AG88" i="10"/>
  <c r="AF96" i="10"/>
  <c r="AG96" i="10"/>
  <c r="AF104" i="10"/>
  <c r="AG104" i="10"/>
  <c r="AF112" i="10"/>
  <c r="AG112" i="10"/>
  <c r="AF120" i="10"/>
  <c r="AG120" i="10"/>
  <c r="AF128" i="10"/>
  <c r="AG128" i="10"/>
  <c r="AF136" i="10"/>
  <c r="AG136" i="10"/>
  <c r="AF144" i="10"/>
  <c r="AG144" i="10"/>
  <c r="AF152" i="10"/>
  <c r="AG152" i="10"/>
  <c r="AF160" i="10"/>
  <c r="AG160" i="10"/>
  <c r="AF168" i="10"/>
  <c r="AG168" i="10"/>
  <c r="AF176" i="10"/>
  <c r="AG176" i="10"/>
  <c r="AF184" i="10"/>
  <c r="AG184" i="10"/>
  <c r="AF192" i="10"/>
  <c r="AG192" i="10"/>
  <c r="AF200" i="10"/>
  <c r="AG200" i="10"/>
  <c r="AF208" i="10"/>
  <c r="AG208" i="10"/>
  <c r="AF216" i="10"/>
  <c r="AG216" i="10"/>
  <c r="AF224" i="10"/>
  <c r="AG224" i="10"/>
  <c r="AF232" i="10"/>
  <c r="AG232" i="10"/>
  <c r="AF240" i="10"/>
  <c r="AG240" i="10"/>
  <c r="AF248" i="10"/>
  <c r="AG248" i="10"/>
  <c r="AF256" i="10"/>
  <c r="AG256" i="10"/>
  <c r="AF264" i="10"/>
  <c r="AG264" i="10"/>
  <c r="AF272" i="10"/>
  <c r="AG272" i="10"/>
  <c r="AF280" i="10"/>
  <c r="AG280" i="10"/>
  <c r="AF288" i="10"/>
  <c r="AG288" i="10"/>
  <c r="AF296" i="10"/>
  <c r="AG296" i="10"/>
  <c r="AF304" i="10"/>
  <c r="AG304" i="10"/>
  <c r="AF312" i="10"/>
  <c r="AG312" i="10"/>
  <c r="AF320" i="10"/>
  <c r="AG320" i="10"/>
  <c r="AF328" i="10"/>
  <c r="AG328" i="10"/>
  <c r="AF336" i="10"/>
  <c r="AG336" i="10"/>
  <c r="AF344" i="10"/>
  <c r="AG344" i="10"/>
  <c r="AF450" i="10"/>
  <c r="AF446" i="10"/>
  <c r="AF442" i="10"/>
  <c r="AF438" i="10"/>
  <c r="AF434" i="10"/>
  <c r="AF430" i="10"/>
  <c r="AF426" i="10"/>
  <c r="AF422" i="10"/>
  <c r="AF418" i="10"/>
  <c r="AF338" i="10"/>
  <c r="AF330" i="10"/>
  <c r="AF322" i="10"/>
  <c r="AF314" i="10"/>
  <c r="AF306" i="10"/>
  <c r="AF298" i="10"/>
  <c r="AF290" i="10"/>
  <c r="AF282" i="10"/>
  <c r="AF274" i="10"/>
  <c r="AF266" i="10"/>
  <c r="AF258" i="10"/>
  <c r="AG247" i="10"/>
  <c r="AG237" i="10"/>
  <c r="AF226" i="10"/>
  <c r="AG215" i="10"/>
  <c r="AG205" i="10"/>
  <c r="AF194" i="10"/>
  <c r="AG183" i="10"/>
  <c r="AG173" i="10"/>
  <c r="AF162" i="10"/>
  <c r="AG151" i="10"/>
  <c r="AG141" i="10"/>
  <c r="AF130" i="10"/>
  <c r="AG119" i="10"/>
  <c r="AG109" i="10"/>
  <c r="AF98" i="10"/>
  <c r="AG87" i="10"/>
  <c r="AG77" i="10"/>
  <c r="AF66" i="10"/>
  <c r="AG55" i="10"/>
  <c r="AG45" i="10"/>
  <c r="AF34" i="10"/>
  <c r="AG23" i="10"/>
  <c r="AG13" i="10"/>
  <c r="AF122" i="10"/>
  <c r="AF24" i="10"/>
  <c r="AG24" i="10"/>
  <c r="AF52" i="10"/>
  <c r="AG52" i="10"/>
  <c r="AG449" i="10"/>
  <c r="AG445" i="10"/>
  <c r="AG441" i="10"/>
  <c r="AG437" i="10"/>
  <c r="AG433" i="10"/>
  <c r="AG429" i="10"/>
  <c r="AG425" i="10"/>
  <c r="AG421" i="10"/>
  <c r="AG417" i="10"/>
  <c r="AG413" i="10"/>
  <c r="AG409" i="10"/>
  <c r="AG405" i="10"/>
  <c r="AG401" i="10"/>
  <c r="AG397" i="10"/>
  <c r="AG393" i="10"/>
  <c r="AG389" i="10"/>
  <c r="AG385" i="10"/>
  <c r="AG381" i="10"/>
  <c r="AG377" i="10"/>
  <c r="AG373" i="10"/>
  <c r="AG369" i="10"/>
  <c r="AG365" i="10"/>
  <c r="AG361" i="10"/>
  <c r="AG357" i="10"/>
  <c r="AG353" i="10"/>
  <c r="AG349" i="10"/>
  <c r="AG345" i="10"/>
  <c r="AG337" i="10"/>
  <c r="AG329" i="10"/>
  <c r="AG321" i="10"/>
  <c r="AG313" i="10"/>
  <c r="AG305" i="10"/>
  <c r="AG297" i="10"/>
  <c r="AG289" i="10"/>
  <c r="AG281" i="10"/>
  <c r="AG273" i="10"/>
  <c r="AG265" i="10"/>
  <c r="AG257" i="10"/>
  <c r="AF246" i="10"/>
  <c r="AG235" i="10"/>
  <c r="AG225" i="10"/>
  <c r="AF214" i="10"/>
  <c r="AG203" i="10"/>
  <c r="AG193" i="10"/>
  <c r="AF182" i="10"/>
  <c r="AG171" i="10"/>
  <c r="AG161" i="10"/>
  <c r="AF150" i="10"/>
  <c r="AG139" i="10"/>
  <c r="AG129" i="10"/>
  <c r="AF118" i="10"/>
  <c r="AG107" i="10"/>
  <c r="AG97" i="10"/>
  <c r="AF86" i="10"/>
  <c r="AG75" i="10"/>
  <c r="AG65" i="10"/>
  <c r="AF54" i="10"/>
  <c r="AG43" i="10"/>
  <c r="AG33" i="10"/>
  <c r="AF22" i="10"/>
  <c r="AG11" i="10"/>
  <c r="AF56" i="10"/>
  <c r="AG56" i="10"/>
  <c r="AF64" i="10"/>
  <c r="AG64" i="10"/>
  <c r="AF186" i="10"/>
  <c r="AF60" i="10"/>
  <c r="AG60" i="10"/>
  <c r="AF449" i="10"/>
  <c r="AF445" i="10"/>
  <c r="AF441" i="10"/>
  <c r="AF437" i="10"/>
  <c r="AF433" i="10"/>
  <c r="AF429" i="10"/>
  <c r="AF425" i="10"/>
  <c r="AF421" i="10"/>
  <c r="AG255" i="10"/>
  <c r="AG245" i="10"/>
  <c r="AF234" i="10"/>
  <c r="AG223" i="10"/>
  <c r="AG213" i="10"/>
  <c r="AF202" i="10"/>
  <c r="AG191" i="10"/>
  <c r="AG181" i="10"/>
  <c r="AF170" i="10"/>
  <c r="AG159" i="10"/>
  <c r="AG149" i="10"/>
  <c r="AF138" i="10"/>
  <c r="AG127" i="10"/>
  <c r="AG117" i="10"/>
  <c r="AF106" i="10"/>
  <c r="AG95" i="10"/>
  <c r="AG85" i="10"/>
  <c r="AF74" i="10"/>
  <c r="AG63" i="10"/>
  <c r="AG53" i="10"/>
  <c r="AF42" i="10"/>
  <c r="AG31" i="10"/>
  <c r="AG21" i="10"/>
  <c r="AF10" i="10"/>
  <c r="AF32" i="10"/>
  <c r="AG32" i="10"/>
  <c r="AG448" i="10"/>
  <c r="AG444" i="10"/>
  <c r="AG440" i="10"/>
  <c r="AG436" i="10"/>
  <c r="AG432" i="10"/>
  <c r="AG428" i="10"/>
  <c r="AG424" i="10"/>
  <c r="AG420" i="10"/>
  <c r="AG416" i="10"/>
  <c r="AG412" i="10"/>
  <c r="AG408" i="10"/>
  <c r="AG404" i="10"/>
  <c r="AG400" i="10"/>
  <c r="AG396" i="10"/>
  <c r="AG392" i="10"/>
  <c r="AG388" i="10"/>
  <c r="AG384" i="10"/>
  <c r="AG380" i="10"/>
  <c r="AG376" i="10"/>
  <c r="AG372" i="10"/>
  <c r="AG368" i="10"/>
  <c r="AG364" i="10"/>
  <c r="AG360" i="10"/>
  <c r="AG356" i="10"/>
  <c r="AG352" i="10"/>
  <c r="AG348" i="10"/>
  <c r="AG343" i="10"/>
  <c r="AG335" i="10"/>
  <c r="AG327" i="10"/>
  <c r="AG319" i="10"/>
  <c r="AG311" i="10"/>
  <c r="AG303" i="10"/>
  <c r="AG295" i="10"/>
  <c r="AG287" i="10"/>
  <c r="AG279" i="10"/>
  <c r="AG271" i="10"/>
  <c r="AG263" i="10"/>
  <c r="AF254" i="10"/>
  <c r="AG243" i="10"/>
  <c r="AG233" i="10"/>
  <c r="AF222" i="10"/>
  <c r="AG211" i="10"/>
  <c r="AG201" i="10"/>
  <c r="AF190" i="10"/>
  <c r="AG179" i="10"/>
  <c r="AG169" i="10"/>
  <c r="AF158" i="10"/>
  <c r="AG147" i="10"/>
  <c r="AG137" i="10"/>
  <c r="AF126" i="10"/>
  <c r="AG115" i="10"/>
  <c r="AG105" i="10"/>
  <c r="AF94" i="10"/>
  <c r="AG83" i="10"/>
  <c r="AG73" i="10"/>
  <c r="AF62" i="10"/>
  <c r="AG51" i="10"/>
  <c r="AG41" i="10"/>
  <c r="AF30" i="10"/>
  <c r="AG19" i="10"/>
  <c r="AG9" i="10"/>
  <c r="AF28" i="10"/>
  <c r="AG28" i="10"/>
  <c r="AF250" i="10"/>
  <c r="AF218" i="10"/>
  <c r="AF12" i="10"/>
  <c r="AG12" i="10"/>
  <c r="AF20" i="10"/>
  <c r="AG20" i="10"/>
  <c r="AF40" i="10"/>
  <c r="AG40" i="10"/>
  <c r="AF68" i="10"/>
  <c r="AG68" i="10"/>
  <c r="AF76" i="10"/>
  <c r="AG76" i="10"/>
  <c r="AF84" i="10"/>
  <c r="AG84" i="10"/>
  <c r="AF92" i="10"/>
  <c r="AG92" i="10"/>
  <c r="AF100" i="10"/>
  <c r="AG100" i="10"/>
  <c r="AF108" i="10"/>
  <c r="AG108" i="10"/>
  <c r="AF116" i="10"/>
  <c r="AG116" i="10"/>
  <c r="AF124" i="10"/>
  <c r="AG124" i="10"/>
  <c r="AF132" i="10"/>
  <c r="AG132" i="10"/>
  <c r="AF140" i="10"/>
  <c r="AG140" i="10"/>
  <c r="AF148" i="10"/>
  <c r="AG148" i="10"/>
  <c r="AF156" i="10"/>
  <c r="AG156" i="10"/>
  <c r="AF164" i="10"/>
  <c r="AG164" i="10"/>
  <c r="AF172" i="10"/>
  <c r="AG172" i="10"/>
  <c r="AF180" i="10"/>
  <c r="AG180" i="10"/>
  <c r="AF188" i="10"/>
  <c r="AG188" i="10"/>
  <c r="AF196" i="10"/>
  <c r="AG196" i="10"/>
  <c r="AF204" i="10"/>
  <c r="AG204" i="10"/>
  <c r="AF212" i="10"/>
  <c r="AG212" i="10"/>
  <c r="AF220" i="10"/>
  <c r="AG220" i="10"/>
  <c r="AF228" i="10"/>
  <c r="AG228" i="10"/>
  <c r="AF236" i="10"/>
  <c r="AG236" i="10"/>
  <c r="AF244" i="10"/>
  <c r="AG244" i="10"/>
  <c r="AF252" i="10"/>
  <c r="AG252" i="10"/>
  <c r="AF260" i="10"/>
  <c r="AG260" i="10"/>
  <c r="AF268" i="10"/>
  <c r="AG268" i="10"/>
  <c r="AF276" i="10"/>
  <c r="AG276" i="10"/>
  <c r="AF284" i="10"/>
  <c r="AG284" i="10"/>
  <c r="AF292" i="10"/>
  <c r="AG292" i="10"/>
  <c r="AF300" i="10"/>
  <c r="AG300" i="10"/>
  <c r="AF308" i="10"/>
  <c r="AG308" i="10"/>
  <c r="AF316" i="10"/>
  <c r="AG316" i="10"/>
  <c r="AF324" i="10"/>
  <c r="AG324" i="10"/>
  <c r="AF332" i="10"/>
  <c r="AG332" i="10"/>
  <c r="AF340" i="10"/>
  <c r="AG340" i="10"/>
  <c r="AF448" i="10"/>
  <c r="AF444" i="10"/>
  <c r="AF440" i="10"/>
  <c r="AF436" i="10"/>
  <c r="AF432" i="10"/>
  <c r="AF428" i="10"/>
  <c r="AF424" i="10"/>
  <c r="AF420" i="10"/>
  <c r="AF416" i="10"/>
  <c r="AF342" i="10"/>
  <c r="AF334" i="10"/>
  <c r="AF326" i="10"/>
  <c r="AF318" i="10"/>
  <c r="AF310" i="10"/>
  <c r="AF302" i="10"/>
  <c r="AF294" i="10"/>
  <c r="AF286" i="10"/>
  <c r="AF278" i="10"/>
  <c r="AF270" i="10"/>
  <c r="AF262" i="10"/>
  <c r="AG253" i="10"/>
  <c r="AF242" i="10"/>
  <c r="AG231" i="10"/>
  <c r="AG221" i="10"/>
  <c r="AF210" i="10"/>
  <c r="AG199" i="10"/>
  <c r="AG189" i="10"/>
  <c r="AF178" i="10"/>
  <c r="AG167" i="10"/>
  <c r="AG157" i="10"/>
  <c r="AF146" i="10"/>
  <c r="AG135" i="10"/>
  <c r="AG125" i="10"/>
  <c r="AF114" i="10"/>
  <c r="AG103" i="10"/>
  <c r="AG93" i="10"/>
  <c r="AF82" i="10"/>
  <c r="AG71" i="10"/>
  <c r="AG61" i="10"/>
  <c r="AF50" i="10"/>
  <c r="AG39" i="10"/>
  <c r="AG29" i="10"/>
  <c r="AF18" i="10"/>
  <c r="AG7" i="10"/>
  <c r="AF90" i="10"/>
  <c r="AF48" i="10"/>
  <c r="AG48" i="10"/>
  <c r="AG447" i="10"/>
  <c r="AG443" i="10"/>
  <c r="AG439" i="10"/>
  <c r="AG435" i="10"/>
  <c r="AG431" i="10"/>
  <c r="AG427" i="10"/>
  <c r="AG423" i="10"/>
  <c r="AG251" i="10"/>
  <c r="AG241" i="10"/>
  <c r="AF230" i="10"/>
  <c r="AG219" i="10"/>
  <c r="AG209" i="10"/>
  <c r="AF198" i="10"/>
  <c r="AG187" i="10"/>
  <c r="AG177" i="10"/>
  <c r="AF166" i="10"/>
  <c r="AG155" i="10"/>
  <c r="AG145" i="10"/>
  <c r="AF134" i="10"/>
  <c r="AG123" i="10"/>
  <c r="AG113" i="10"/>
  <c r="AF102" i="10"/>
  <c r="AG91" i="10"/>
  <c r="AG81" i="10"/>
  <c r="AF70" i="10"/>
  <c r="AG59" i="10"/>
  <c r="AG49" i="10"/>
  <c r="AF38" i="10"/>
  <c r="AG27" i="10"/>
  <c r="AG17" i="10"/>
  <c r="AF6" i="10"/>
  <c r="AA440" i="10"/>
  <c r="AF5" i="10"/>
  <c r="AA448" i="10"/>
  <c r="AG5" i="10"/>
  <c r="Y70" i="10"/>
  <c r="Y86" i="10"/>
  <c r="Y142" i="10"/>
  <c r="Y158" i="10"/>
  <c r="Y198" i="10"/>
  <c r="Y214" i="10"/>
  <c r="Y270" i="10"/>
  <c r="Z302" i="10"/>
  <c r="S358" i="10"/>
  <c r="S374" i="10"/>
  <c r="Y32" i="10"/>
  <c r="R353" i="10"/>
  <c r="R361" i="10"/>
  <c r="R369" i="10"/>
  <c r="R377" i="10"/>
  <c r="J385" i="10"/>
  <c r="AI385" i="10" s="1"/>
  <c r="J393" i="10"/>
  <c r="J401" i="10"/>
  <c r="J409" i="10"/>
  <c r="J417" i="10"/>
  <c r="AD447" i="10"/>
  <c r="AD445" i="10"/>
  <c r="AD441" i="10"/>
  <c r="AD439" i="10"/>
  <c r="AD437" i="10"/>
  <c r="AD431" i="10"/>
  <c r="AD429" i="10"/>
  <c r="AD423" i="10"/>
  <c r="AD421" i="10"/>
  <c r="Y78" i="10"/>
  <c r="Y94" i="10"/>
  <c r="Y166" i="10"/>
  <c r="Y246" i="10"/>
  <c r="Y286" i="10"/>
  <c r="S326" i="10"/>
  <c r="S366" i="10"/>
  <c r="J390" i="10"/>
  <c r="AI390" i="10" s="1"/>
  <c r="J406" i="10"/>
  <c r="AI406" i="10" s="1"/>
  <c r="I414" i="10"/>
  <c r="T414" i="10" s="1"/>
  <c r="Y12" i="10"/>
  <c r="Y20" i="10"/>
  <c r="Y40" i="10"/>
  <c r="Y68" i="10"/>
  <c r="Y76" i="10"/>
  <c r="Y84" i="10"/>
  <c r="Y92" i="10"/>
  <c r="Y100" i="10"/>
  <c r="Y108" i="10"/>
  <c r="Y116" i="10"/>
  <c r="Y124" i="10"/>
  <c r="Y132" i="10"/>
  <c r="Y140" i="10"/>
  <c r="Y148" i="10"/>
  <c r="Y156" i="10"/>
  <c r="Y164" i="10"/>
  <c r="Y172" i="10"/>
  <c r="Y180" i="10"/>
  <c r="Y188" i="10"/>
  <c r="Y196" i="10"/>
  <c r="Y204" i="10"/>
  <c r="Y212" i="10"/>
  <c r="Y220" i="10"/>
  <c r="Z228" i="10"/>
  <c r="Z236" i="10"/>
  <c r="Y244" i="10"/>
  <c r="Y252" i="10"/>
  <c r="Z260" i="10"/>
  <c r="Z268" i="10"/>
  <c r="Y276" i="10"/>
  <c r="Y284" i="10"/>
  <c r="Z292" i="10"/>
  <c r="R300" i="10"/>
  <c r="R308" i="10"/>
  <c r="R316" i="10"/>
  <c r="R324" i="10"/>
  <c r="R332" i="10"/>
  <c r="R340" i="10"/>
  <c r="R348" i="10"/>
  <c r="R356" i="10"/>
  <c r="R364" i="10"/>
  <c r="R372" i="10"/>
  <c r="J380" i="10"/>
  <c r="J388" i="10"/>
  <c r="J396" i="10"/>
  <c r="I404" i="10"/>
  <c r="J412" i="10"/>
  <c r="AC447" i="10"/>
  <c r="AC445" i="10"/>
  <c r="AC439" i="10"/>
  <c r="AC437" i="10"/>
  <c r="AC431" i="10"/>
  <c r="AC429" i="10"/>
  <c r="AC423" i="10"/>
  <c r="AC421" i="10"/>
  <c r="Y60" i="10"/>
  <c r="Y102" i="10"/>
  <c r="Y118" i="10"/>
  <c r="Y190" i="10"/>
  <c r="Y206" i="10"/>
  <c r="Y222" i="10"/>
  <c r="Y262" i="10"/>
  <c r="S334" i="10"/>
  <c r="J382" i="10"/>
  <c r="AH382" i="10" s="1"/>
  <c r="Y48" i="10"/>
  <c r="Y351" i="10"/>
  <c r="Y359" i="10"/>
  <c r="Y367" i="10"/>
  <c r="Y375" i="10"/>
  <c r="J383" i="10"/>
  <c r="J391" i="10"/>
  <c r="J399" i="10"/>
  <c r="AK399" i="10" s="1"/>
  <c r="J407" i="10"/>
  <c r="J415" i="10"/>
  <c r="AK415" i="10" s="1"/>
  <c r="AB447" i="10"/>
  <c r="AB445" i="10"/>
  <c r="AB439" i="10"/>
  <c r="AB437" i="10"/>
  <c r="AB431" i="10"/>
  <c r="AB429" i="10"/>
  <c r="AB423" i="10"/>
  <c r="AB421" i="10"/>
  <c r="Y134" i="10"/>
  <c r="Y182" i="10"/>
  <c r="Y230" i="10"/>
  <c r="Y254" i="10"/>
  <c r="Y278" i="10"/>
  <c r="Z310" i="10"/>
  <c r="S342" i="10"/>
  <c r="AA430" i="10"/>
  <c r="Y28" i="10"/>
  <c r="Y56" i="10"/>
  <c r="Y64" i="10"/>
  <c r="Y74" i="10"/>
  <c r="Y82" i="10"/>
  <c r="Y90" i="10"/>
  <c r="Y98" i="10"/>
  <c r="Y106" i="10"/>
  <c r="Y114" i="10"/>
  <c r="Y122" i="10"/>
  <c r="Y130" i="10"/>
  <c r="Y138" i="10"/>
  <c r="Y146" i="10"/>
  <c r="Y154" i="10"/>
  <c r="Y170" i="10"/>
  <c r="Y178" i="10"/>
  <c r="Y186" i="10"/>
  <c r="Y194" i="10"/>
  <c r="Y202" i="10"/>
  <c r="Y210" i="10"/>
  <c r="Y218" i="10"/>
  <c r="Y226" i="10"/>
  <c r="Y234" i="10"/>
  <c r="Y242" i="10"/>
  <c r="Y250" i="10"/>
  <c r="Y258" i="10"/>
  <c r="Y266" i="10"/>
  <c r="Y274" i="10"/>
  <c r="Y282" i="10"/>
  <c r="Y290" i="10"/>
  <c r="Y298" i="10"/>
  <c r="S322" i="10"/>
  <c r="S330" i="10"/>
  <c r="S338" i="10"/>
  <c r="S346" i="10"/>
  <c r="S354" i="10"/>
  <c r="S362" i="10"/>
  <c r="S370" i="10"/>
  <c r="S378" i="10"/>
  <c r="S386" i="10"/>
  <c r="S394" i="10"/>
  <c r="S402" i="10"/>
  <c r="S410" i="10"/>
  <c r="AA447" i="10"/>
  <c r="AA445" i="10"/>
  <c r="AA441" i="10"/>
  <c r="AA439" i="10"/>
  <c r="AA437" i="10"/>
  <c r="AA431" i="10"/>
  <c r="AA429" i="10"/>
  <c r="AA423" i="10"/>
  <c r="AA421" i="10"/>
  <c r="Y110" i="10"/>
  <c r="Y126" i="10"/>
  <c r="Y150" i="10"/>
  <c r="Y174" i="10"/>
  <c r="Y238" i="10"/>
  <c r="S350" i="10"/>
  <c r="J398" i="10"/>
  <c r="Y8" i="10"/>
  <c r="Y36" i="10"/>
  <c r="R349" i="10"/>
  <c r="R357" i="10"/>
  <c r="R365" i="10"/>
  <c r="R373" i="10"/>
  <c r="J381" i="10"/>
  <c r="J389" i="10"/>
  <c r="AJ389" i="10" s="1"/>
  <c r="J397" i="10"/>
  <c r="J405" i="10"/>
  <c r="AJ405" i="10" s="1"/>
  <c r="J413" i="10"/>
  <c r="AJ413" i="10" s="1"/>
  <c r="AD448" i="10"/>
  <c r="AD440" i="10"/>
  <c r="AD430" i="10"/>
  <c r="Y72" i="10"/>
  <c r="Y88" i="10"/>
  <c r="Y104" i="10"/>
  <c r="Y120" i="10"/>
  <c r="Y128" i="10"/>
  <c r="Y160" i="10"/>
  <c r="Y176" i="10"/>
  <c r="Y192" i="10"/>
  <c r="Y200" i="10"/>
  <c r="Y216" i="10"/>
  <c r="Y232" i="10"/>
  <c r="Y256" i="10"/>
  <c r="Y272" i="10"/>
  <c r="Y288" i="10"/>
  <c r="R296" i="10"/>
  <c r="R312" i="10"/>
  <c r="R328" i="10"/>
  <c r="R336" i="10"/>
  <c r="R344" i="10"/>
  <c r="R360" i="10"/>
  <c r="R368" i="10"/>
  <c r="J376" i="10"/>
  <c r="J384" i="10"/>
  <c r="AK384" i="10" s="1"/>
  <c r="I392" i="10"/>
  <c r="M392" i="10" s="1"/>
  <c r="J400" i="10"/>
  <c r="AK400" i="10" s="1"/>
  <c r="J408" i="10"/>
  <c r="AI408" i="10" s="1"/>
  <c r="AC448" i="10"/>
  <c r="AC440" i="10"/>
  <c r="AC430" i="10"/>
  <c r="Y16" i="10"/>
  <c r="Y44" i="10"/>
  <c r="Y80" i="10"/>
  <c r="Y96" i="10"/>
  <c r="Y112" i="10"/>
  <c r="Y136" i="10"/>
  <c r="Y144" i="10"/>
  <c r="Y152" i="10"/>
  <c r="Y168" i="10"/>
  <c r="Y184" i="10"/>
  <c r="Y208" i="10"/>
  <c r="Y224" i="10"/>
  <c r="Y240" i="10"/>
  <c r="Y248" i="10"/>
  <c r="Y264" i="10"/>
  <c r="Y280" i="10"/>
  <c r="R304" i="10"/>
  <c r="R320" i="10"/>
  <c r="R352" i="10"/>
  <c r="Y24" i="10"/>
  <c r="Y52" i="10"/>
  <c r="Y347" i="10"/>
  <c r="Y355" i="10"/>
  <c r="Y363" i="10"/>
  <c r="Y371" i="10"/>
  <c r="Y379" i="10"/>
  <c r="Y387" i="10"/>
  <c r="Y395" i="10"/>
  <c r="Y403" i="10"/>
  <c r="Y411" i="10"/>
  <c r="Y419" i="10"/>
  <c r="AB448" i="10"/>
  <c r="AB440" i="10"/>
  <c r="AB430" i="10"/>
  <c r="AB428" i="10"/>
  <c r="Z449" i="10"/>
  <c r="Y442" i="10"/>
  <c r="Y426" i="10"/>
  <c r="Z385" i="10"/>
  <c r="Z433" i="10"/>
  <c r="Y418" i="10"/>
  <c r="Z417" i="10"/>
  <c r="Y450" i="10"/>
  <c r="Z401" i="10"/>
  <c r="Z369" i="10"/>
  <c r="Y434" i="10"/>
  <c r="Z278" i="10"/>
  <c r="Y446" i="10"/>
  <c r="Y430" i="10"/>
  <c r="Y414" i="10"/>
  <c r="Y398" i="10"/>
  <c r="Y382" i="10"/>
  <c r="Z365" i="10"/>
  <c r="Y268" i="10"/>
  <c r="Z445" i="10"/>
  <c r="Z429" i="10"/>
  <c r="Z413" i="10"/>
  <c r="Z397" i="10"/>
  <c r="Z381" i="10"/>
  <c r="Z361" i="10"/>
  <c r="Z246" i="10"/>
  <c r="Y410" i="10"/>
  <c r="Y394" i="10"/>
  <c r="Y378" i="10"/>
  <c r="Z357" i="10"/>
  <c r="Y236" i="10"/>
  <c r="Z441" i="10"/>
  <c r="Z425" i="10"/>
  <c r="Z409" i="10"/>
  <c r="Z393" i="10"/>
  <c r="Z377" i="10"/>
  <c r="Z353" i="10"/>
  <c r="Y438" i="10"/>
  <c r="Y422" i="10"/>
  <c r="Y406" i="10"/>
  <c r="Y390" i="10"/>
  <c r="Y374" i="10"/>
  <c r="Z349" i="10"/>
  <c r="S442" i="10"/>
  <c r="Z437" i="10"/>
  <c r="Z421" i="10"/>
  <c r="Z405" i="10"/>
  <c r="Z389" i="10"/>
  <c r="Z373" i="10"/>
  <c r="Y402" i="10"/>
  <c r="Y386" i="10"/>
  <c r="Y370" i="10"/>
  <c r="Y300" i="10"/>
  <c r="Y54" i="10"/>
  <c r="Z54" i="10"/>
  <c r="Y18" i="10"/>
  <c r="Z18" i="10"/>
  <c r="Y23" i="10"/>
  <c r="Z23" i="10"/>
  <c r="Y33" i="10"/>
  <c r="Z33" i="10"/>
  <c r="Y38" i="10"/>
  <c r="Z38" i="10"/>
  <c r="Y51" i="10"/>
  <c r="Z51" i="10"/>
  <c r="R162" i="10"/>
  <c r="Y162" i="10"/>
  <c r="S306" i="10"/>
  <c r="Y306" i="10"/>
  <c r="S314" i="10"/>
  <c r="Y314" i="10"/>
  <c r="Z450" i="10"/>
  <c r="Z446" i="10"/>
  <c r="Z438" i="10"/>
  <c r="Z434" i="10"/>
  <c r="Z430" i="10"/>
  <c r="Z426" i="10"/>
  <c r="Z422" i="10"/>
  <c r="Z418" i="10"/>
  <c r="Z414" i="10"/>
  <c r="Z410" i="10"/>
  <c r="Z406" i="10"/>
  <c r="Z402" i="10"/>
  <c r="Z398" i="10"/>
  <c r="Z394" i="10"/>
  <c r="Z390" i="10"/>
  <c r="Z386" i="10"/>
  <c r="Z382" i="10"/>
  <c r="Z378" i="10"/>
  <c r="Z374" i="10"/>
  <c r="Z370" i="10"/>
  <c r="Z366" i="10"/>
  <c r="Z362" i="10"/>
  <c r="Z358" i="10"/>
  <c r="Z354" i="10"/>
  <c r="Z350" i="10"/>
  <c r="Z346" i="10"/>
  <c r="Z338" i="10"/>
  <c r="Z330" i="10"/>
  <c r="Z322" i="10"/>
  <c r="Z312" i="10"/>
  <c r="Y292" i="10"/>
  <c r="Z280" i="10"/>
  <c r="Z270" i="10"/>
  <c r="Y260" i="10"/>
  <c r="Z248" i="10"/>
  <c r="Z238" i="10"/>
  <c r="Y228" i="10"/>
  <c r="Z212" i="10"/>
  <c r="Z196" i="10"/>
  <c r="Z180" i="10"/>
  <c r="Z164" i="10"/>
  <c r="Z148" i="10"/>
  <c r="Z132" i="10"/>
  <c r="Z116" i="10"/>
  <c r="Z100" i="10"/>
  <c r="Z84" i="10"/>
  <c r="Z68" i="10"/>
  <c r="Z36" i="10"/>
  <c r="Y13" i="10"/>
  <c r="Z13" i="10"/>
  <c r="Y21" i="10"/>
  <c r="Z21" i="10"/>
  <c r="Y26" i="10"/>
  <c r="Z26" i="10"/>
  <c r="Y41" i="10"/>
  <c r="Z41" i="10"/>
  <c r="Y46" i="10"/>
  <c r="Z46" i="10"/>
  <c r="Y59" i="10"/>
  <c r="Z59" i="10"/>
  <c r="Y69" i="10"/>
  <c r="Z69" i="10"/>
  <c r="Y77" i="10"/>
  <c r="Z77" i="10"/>
  <c r="Y85" i="10"/>
  <c r="Z85" i="10"/>
  <c r="Y93" i="10"/>
  <c r="Z93" i="10"/>
  <c r="Y101" i="10"/>
  <c r="Z101" i="10"/>
  <c r="Y109" i="10"/>
  <c r="Z109" i="10"/>
  <c r="Y117" i="10"/>
  <c r="Z117" i="10"/>
  <c r="Y125" i="10"/>
  <c r="Z125" i="10"/>
  <c r="Y133" i="10"/>
  <c r="Z133" i="10"/>
  <c r="Y141" i="10"/>
  <c r="Z141" i="10"/>
  <c r="Y149" i="10"/>
  <c r="Z149" i="10"/>
  <c r="Y157" i="10"/>
  <c r="Z157" i="10"/>
  <c r="Y165" i="10"/>
  <c r="Z165" i="10"/>
  <c r="Y173" i="10"/>
  <c r="Z173" i="10"/>
  <c r="Y181" i="10"/>
  <c r="Z181" i="10"/>
  <c r="Y189" i="10"/>
  <c r="Z189" i="10"/>
  <c r="Y197" i="10"/>
  <c r="Z197" i="10"/>
  <c r="S205" i="10"/>
  <c r="Y205" i="10"/>
  <c r="Z205" i="10"/>
  <c r="S213" i="10"/>
  <c r="Y213" i="10"/>
  <c r="Z213" i="10"/>
  <c r="Y221" i="10"/>
  <c r="Z221" i="10"/>
  <c r="Y229" i="10"/>
  <c r="Z229" i="10"/>
  <c r="S237" i="10"/>
  <c r="Y237" i="10"/>
  <c r="Z237" i="10"/>
  <c r="S245" i="10"/>
  <c r="Y245" i="10"/>
  <c r="Z245" i="10"/>
  <c r="Y253" i="10"/>
  <c r="Z253" i="10"/>
  <c r="Y261" i="10"/>
  <c r="Z261" i="10"/>
  <c r="S269" i="10"/>
  <c r="Y269" i="10"/>
  <c r="Z269" i="10"/>
  <c r="R277" i="10"/>
  <c r="Y277" i="10"/>
  <c r="Z277" i="10"/>
  <c r="Y285" i="10"/>
  <c r="Z285" i="10"/>
  <c r="R293" i="10"/>
  <c r="Y293" i="10"/>
  <c r="Z293" i="10"/>
  <c r="R301" i="10"/>
  <c r="Y301" i="10"/>
  <c r="Z301" i="10"/>
  <c r="R309" i="10"/>
  <c r="Y309" i="10"/>
  <c r="Z309" i="10"/>
  <c r="R317" i="10"/>
  <c r="Y317" i="10"/>
  <c r="Z317" i="10"/>
  <c r="R325" i="10"/>
  <c r="Y325" i="10"/>
  <c r="Z325" i="10"/>
  <c r="R333" i="10"/>
  <c r="Y333" i="10"/>
  <c r="Z333" i="10"/>
  <c r="R341" i="10"/>
  <c r="Y341" i="10"/>
  <c r="Z341" i="10"/>
  <c r="Y366" i="10"/>
  <c r="Y362" i="10"/>
  <c r="Y358" i="10"/>
  <c r="Y354" i="10"/>
  <c r="Y350" i="10"/>
  <c r="Y346" i="10"/>
  <c r="Y338" i="10"/>
  <c r="Y330" i="10"/>
  <c r="Y322" i="10"/>
  <c r="Y312" i="10"/>
  <c r="Z300" i="10"/>
  <c r="Z290" i="10"/>
  <c r="Z258" i="10"/>
  <c r="Z226" i="10"/>
  <c r="Z210" i="10"/>
  <c r="Z194" i="10"/>
  <c r="Z178" i="10"/>
  <c r="Z162" i="10"/>
  <c r="Z146" i="10"/>
  <c r="Z130" i="10"/>
  <c r="Z114" i="10"/>
  <c r="Z98" i="10"/>
  <c r="Z82" i="10"/>
  <c r="Z64" i="10"/>
  <c r="Z32" i="10"/>
  <c r="Z336" i="10"/>
  <c r="Z328" i="10"/>
  <c r="Z288" i="10"/>
  <c r="Z256" i="10"/>
  <c r="Z224" i="10"/>
  <c r="Z208" i="10"/>
  <c r="Z192" i="10"/>
  <c r="Z176" i="10"/>
  <c r="Z160" i="10"/>
  <c r="Z144" i="10"/>
  <c r="Z128" i="10"/>
  <c r="Z112" i="10"/>
  <c r="Z96" i="10"/>
  <c r="Z80" i="10"/>
  <c r="Z60" i="10"/>
  <c r="Z28" i="10"/>
  <c r="Y11" i="10"/>
  <c r="Z11" i="10"/>
  <c r="Y19" i="10"/>
  <c r="Z19" i="10"/>
  <c r="Y34" i="10"/>
  <c r="Z34" i="10"/>
  <c r="Y39" i="10"/>
  <c r="Z39" i="10"/>
  <c r="Y57" i="10"/>
  <c r="Z57" i="10"/>
  <c r="Y65" i="10"/>
  <c r="Z65" i="10"/>
  <c r="Y75" i="10"/>
  <c r="Z75" i="10"/>
  <c r="Y83" i="10"/>
  <c r="Z83" i="10"/>
  <c r="S91" i="10"/>
  <c r="Y91" i="10"/>
  <c r="Z91" i="10"/>
  <c r="Y99" i="10"/>
  <c r="Z99" i="10"/>
  <c r="Y107" i="10"/>
  <c r="Z107" i="10"/>
  <c r="Y115" i="10"/>
  <c r="Z115" i="10"/>
  <c r="Y123" i="10"/>
  <c r="Z123" i="10"/>
  <c r="Y131" i="10"/>
  <c r="Z131" i="10"/>
  <c r="Y139" i="10"/>
  <c r="Z139" i="10"/>
  <c r="Y147" i="10"/>
  <c r="Z147" i="10"/>
  <c r="Y155" i="10"/>
  <c r="Z155" i="10"/>
  <c r="Y163" i="10"/>
  <c r="Z163" i="10"/>
  <c r="Y171" i="10"/>
  <c r="Z171" i="10"/>
  <c r="Y179" i="10"/>
  <c r="Z179" i="10"/>
  <c r="Y187" i="10"/>
  <c r="Z187" i="10"/>
  <c r="Y195" i="10"/>
  <c r="Z195" i="10"/>
  <c r="Y203" i="10"/>
  <c r="Z203" i="10"/>
  <c r="Y211" i="10"/>
  <c r="Z211" i="10"/>
  <c r="Y219" i="10"/>
  <c r="Z219" i="10"/>
  <c r="Y227" i="10"/>
  <c r="Z227" i="10"/>
  <c r="Y235" i="10"/>
  <c r="Z235" i="10"/>
  <c r="Y243" i="10"/>
  <c r="Z243" i="10"/>
  <c r="Y251" i="10"/>
  <c r="Z251" i="10"/>
  <c r="Y259" i="10"/>
  <c r="Z259" i="10"/>
  <c r="Y267" i="10"/>
  <c r="Z267" i="10"/>
  <c r="Y275" i="10"/>
  <c r="Z275" i="10"/>
  <c r="Y283" i="10"/>
  <c r="Z283" i="10"/>
  <c r="Y291" i="10"/>
  <c r="Z291" i="10"/>
  <c r="Y299" i="10"/>
  <c r="Z299" i="10"/>
  <c r="Y307" i="10"/>
  <c r="Z307" i="10"/>
  <c r="Y315" i="10"/>
  <c r="Z315" i="10"/>
  <c r="Y323" i="10"/>
  <c r="Z323" i="10"/>
  <c r="Y331" i="10"/>
  <c r="Z331" i="10"/>
  <c r="Y339" i="10"/>
  <c r="Z339" i="10"/>
  <c r="Y449" i="10"/>
  <c r="Y445" i="10"/>
  <c r="Y441" i="10"/>
  <c r="Y437" i="10"/>
  <c r="Y433" i="10"/>
  <c r="Y429" i="10"/>
  <c r="Y425" i="10"/>
  <c r="Y421" i="10"/>
  <c r="Y417" i="10"/>
  <c r="Y413" i="10"/>
  <c r="Y409" i="10"/>
  <c r="Y405" i="10"/>
  <c r="Y401" i="10"/>
  <c r="Y397" i="10"/>
  <c r="Y393" i="10"/>
  <c r="Y389" i="10"/>
  <c r="Y385" i="10"/>
  <c r="Y381" i="10"/>
  <c r="Y377" i="10"/>
  <c r="Y373" i="10"/>
  <c r="Y369" i="10"/>
  <c r="Y365" i="10"/>
  <c r="Y361" i="10"/>
  <c r="Y357" i="10"/>
  <c r="Y353" i="10"/>
  <c r="Y349" i="10"/>
  <c r="Y344" i="10"/>
  <c r="Y336" i="10"/>
  <c r="Y328" i="10"/>
  <c r="Y320" i="10"/>
  <c r="Z308" i="10"/>
  <c r="Z298" i="10"/>
  <c r="Z276" i="10"/>
  <c r="Z266" i="10"/>
  <c r="Z244" i="10"/>
  <c r="Z234" i="10"/>
  <c r="Z222" i="10"/>
  <c r="Z206" i="10"/>
  <c r="Z190" i="10"/>
  <c r="Z174" i="10"/>
  <c r="Z158" i="10"/>
  <c r="Z142" i="10"/>
  <c r="Z126" i="10"/>
  <c r="Z110" i="10"/>
  <c r="Z94" i="10"/>
  <c r="Z78" i="10"/>
  <c r="Z56" i="10"/>
  <c r="Z24" i="10"/>
  <c r="Y6" i="10"/>
  <c r="Z6" i="10"/>
  <c r="Z320" i="10"/>
  <c r="Y9" i="10"/>
  <c r="Z9" i="10"/>
  <c r="Y29" i="10"/>
  <c r="Z29" i="10"/>
  <c r="R294" i="10"/>
  <c r="Y294" i="10"/>
  <c r="S302" i="10"/>
  <c r="Y302" i="10"/>
  <c r="S310" i="10"/>
  <c r="Y310" i="10"/>
  <c r="S318" i="10"/>
  <c r="Y318" i="10"/>
  <c r="Z448" i="10"/>
  <c r="Z444" i="10"/>
  <c r="Z440" i="10"/>
  <c r="Z436" i="10"/>
  <c r="Z432" i="10"/>
  <c r="Z428" i="10"/>
  <c r="Z424" i="10"/>
  <c r="Z420" i="10"/>
  <c r="Z416" i="10"/>
  <c r="Z412" i="10"/>
  <c r="Z408" i="10"/>
  <c r="Z404" i="10"/>
  <c r="Z400" i="10"/>
  <c r="Z396" i="10"/>
  <c r="Z392" i="10"/>
  <c r="Z388" i="10"/>
  <c r="Z384" i="10"/>
  <c r="Z380" i="10"/>
  <c r="Z376" i="10"/>
  <c r="Z372" i="10"/>
  <c r="Z368" i="10"/>
  <c r="Z364" i="10"/>
  <c r="Z360" i="10"/>
  <c r="Z356" i="10"/>
  <c r="Z352" i="10"/>
  <c r="Z348" i="10"/>
  <c r="Z342" i="10"/>
  <c r="Z334" i="10"/>
  <c r="Z326" i="10"/>
  <c r="Z318" i="10"/>
  <c r="Y308" i="10"/>
  <c r="Z296" i="10"/>
  <c r="Z286" i="10"/>
  <c r="Z264" i="10"/>
  <c r="Z254" i="10"/>
  <c r="Z232" i="10"/>
  <c r="Z220" i="10"/>
  <c r="Z204" i="10"/>
  <c r="Z188" i="10"/>
  <c r="Z172" i="10"/>
  <c r="Z156" i="10"/>
  <c r="Z140" i="10"/>
  <c r="Z124" i="10"/>
  <c r="Z108" i="10"/>
  <c r="Z92" i="10"/>
  <c r="Z76" i="10"/>
  <c r="Z52" i="10"/>
  <c r="Z20" i="10"/>
  <c r="Y31" i="10"/>
  <c r="Z31" i="10"/>
  <c r="Y49" i="10"/>
  <c r="Z49" i="10"/>
  <c r="Y42" i="10"/>
  <c r="Z42" i="10"/>
  <c r="Y47" i="10"/>
  <c r="Z47" i="10"/>
  <c r="Y7" i="10"/>
  <c r="Z7" i="10"/>
  <c r="Y17" i="10"/>
  <c r="Z17" i="10"/>
  <c r="Y27" i="10"/>
  <c r="Z27" i="10"/>
  <c r="Y37" i="10"/>
  <c r="Z37" i="10"/>
  <c r="Y50" i="10"/>
  <c r="Z50" i="10"/>
  <c r="Y55" i="10"/>
  <c r="Z55" i="10"/>
  <c r="Y63" i="10"/>
  <c r="Z63" i="10"/>
  <c r="Y73" i="10"/>
  <c r="Z73" i="10"/>
  <c r="Y81" i="10"/>
  <c r="Z81" i="10"/>
  <c r="Y89" i="10"/>
  <c r="Z89" i="10"/>
  <c r="Y97" i="10"/>
  <c r="Z97" i="10"/>
  <c r="Y105" i="10"/>
  <c r="Z105" i="10"/>
  <c r="Y113" i="10"/>
  <c r="Z113" i="10"/>
  <c r="Y121" i="10"/>
  <c r="Z121" i="10"/>
  <c r="Y129" i="10"/>
  <c r="Z129" i="10"/>
  <c r="Y137" i="10"/>
  <c r="Z137" i="10"/>
  <c r="Y145" i="10"/>
  <c r="Z145" i="10"/>
  <c r="Y153" i="10"/>
  <c r="Z153" i="10"/>
  <c r="Y161" i="10"/>
  <c r="Z161" i="10"/>
  <c r="Y169" i="10"/>
  <c r="Z169" i="10"/>
  <c r="Y177" i="10"/>
  <c r="Z177" i="10"/>
  <c r="Y185" i="10"/>
  <c r="Z185" i="10"/>
  <c r="S193" i="10"/>
  <c r="Y193" i="10"/>
  <c r="Z193" i="10"/>
  <c r="Y201" i="10"/>
  <c r="Z201" i="10"/>
  <c r="S209" i="10"/>
  <c r="Y209" i="10"/>
  <c r="Z209" i="10"/>
  <c r="Y217" i="10"/>
  <c r="Z217" i="10"/>
  <c r="S225" i="10"/>
  <c r="Y225" i="10"/>
  <c r="Z225" i="10"/>
  <c r="Y233" i="10"/>
  <c r="Z233" i="10"/>
  <c r="Y241" i="10"/>
  <c r="Z241" i="10"/>
  <c r="Y249" i="10"/>
  <c r="Z249" i="10"/>
  <c r="S257" i="10"/>
  <c r="Y257" i="10"/>
  <c r="Z257" i="10"/>
  <c r="S265" i="10"/>
  <c r="Y265" i="10"/>
  <c r="Z265" i="10"/>
  <c r="Y273" i="10"/>
  <c r="Z273" i="10"/>
  <c r="Y281" i="10"/>
  <c r="Z281" i="10"/>
  <c r="R289" i="10"/>
  <c r="Y289" i="10"/>
  <c r="Z289" i="10"/>
  <c r="R297" i="10"/>
  <c r="Y297" i="10"/>
  <c r="Z297" i="10"/>
  <c r="R305" i="10"/>
  <c r="Y305" i="10"/>
  <c r="Z305" i="10"/>
  <c r="R313" i="10"/>
  <c r="Y313" i="10"/>
  <c r="Z313" i="10"/>
  <c r="R321" i="10"/>
  <c r="Y321" i="10"/>
  <c r="Z321" i="10"/>
  <c r="R329" i="10"/>
  <c r="Y329" i="10"/>
  <c r="Z329" i="10"/>
  <c r="R337" i="10"/>
  <c r="Y337" i="10"/>
  <c r="Z337" i="10"/>
  <c r="R345" i="10"/>
  <c r="Y345" i="10"/>
  <c r="Z345" i="10"/>
  <c r="Y448" i="10"/>
  <c r="Y444" i="10"/>
  <c r="Y440" i="10"/>
  <c r="Y436" i="10"/>
  <c r="Y432" i="10"/>
  <c r="Y428" i="10"/>
  <c r="Y424" i="10"/>
  <c r="Y420" i="10"/>
  <c r="Y416" i="10"/>
  <c r="Y412" i="10"/>
  <c r="Y408" i="10"/>
  <c r="Y404" i="10"/>
  <c r="Y400" i="10"/>
  <c r="Y396" i="10"/>
  <c r="Y392" i="10"/>
  <c r="Y388" i="10"/>
  <c r="Y384" i="10"/>
  <c r="Y380" i="10"/>
  <c r="Y376" i="10"/>
  <c r="Y372" i="10"/>
  <c r="Y368" i="10"/>
  <c r="Y364" i="10"/>
  <c r="Y360" i="10"/>
  <c r="Y356" i="10"/>
  <c r="Y352" i="10"/>
  <c r="Y348" i="10"/>
  <c r="Y342" i="10"/>
  <c r="Y334" i="10"/>
  <c r="Y326" i="10"/>
  <c r="Z316" i="10"/>
  <c r="Z306" i="10"/>
  <c r="Y296" i="10"/>
  <c r="Z284" i="10"/>
  <c r="Z274" i="10"/>
  <c r="Z252" i="10"/>
  <c r="Z242" i="10"/>
  <c r="Z218" i="10"/>
  <c r="Z202" i="10"/>
  <c r="Z186" i="10"/>
  <c r="Z170" i="10"/>
  <c r="Z154" i="10"/>
  <c r="Z138" i="10"/>
  <c r="Z122" i="10"/>
  <c r="Z106" i="10"/>
  <c r="Z90" i="10"/>
  <c r="Z74" i="10"/>
  <c r="Z48" i="10"/>
  <c r="Z16" i="10"/>
  <c r="Y62" i="10"/>
  <c r="Z62" i="10"/>
  <c r="Y14" i="10"/>
  <c r="Z14" i="10"/>
  <c r="Y22" i="10"/>
  <c r="Z22" i="10"/>
  <c r="Y25" i="10"/>
  <c r="Z25" i="10"/>
  <c r="Y35" i="10"/>
  <c r="Z35" i="10"/>
  <c r="Z447" i="10"/>
  <c r="Z443" i="10"/>
  <c r="Z439" i="10"/>
  <c r="Z435" i="10"/>
  <c r="Z431" i="10"/>
  <c r="Z427" i="10"/>
  <c r="Z423" i="10"/>
  <c r="Z419" i="10"/>
  <c r="Z415" i="10"/>
  <c r="Z411" i="10"/>
  <c r="Z407" i="10"/>
  <c r="Z403" i="10"/>
  <c r="Z399" i="10"/>
  <c r="Z395" i="10"/>
  <c r="Z391" i="10"/>
  <c r="Z387" i="10"/>
  <c r="Z383" i="10"/>
  <c r="Z379" i="10"/>
  <c r="Z375" i="10"/>
  <c r="Z371" i="10"/>
  <c r="Z367" i="10"/>
  <c r="Z363" i="10"/>
  <c r="Z359" i="10"/>
  <c r="Z355" i="10"/>
  <c r="Z351" i="10"/>
  <c r="Z347" i="10"/>
  <c r="Z340" i="10"/>
  <c r="Z332" i="10"/>
  <c r="Z324" i="10"/>
  <c r="Y316" i="10"/>
  <c r="Z304" i="10"/>
  <c r="Z294" i="10"/>
  <c r="Z272" i="10"/>
  <c r="Z262" i="10"/>
  <c r="Z240" i="10"/>
  <c r="Z230" i="10"/>
  <c r="Z216" i="10"/>
  <c r="Z200" i="10"/>
  <c r="Z184" i="10"/>
  <c r="Z168" i="10"/>
  <c r="Z152" i="10"/>
  <c r="Z136" i="10"/>
  <c r="Z120" i="10"/>
  <c r="Z104" i="10"/>
  <c r="Z88" i="10"/>
  <c r="Z72" i="10"/>
  <c r="Z44" i="10"/>
  <c r="Z12" i="10"/>
  <c r="Y67" i="10"/>
  <c r="Z67" i="10"/>
  <c r="Z344" i="10"/>
  <c r="Y45" i="10"/>
  <c r="Z45" i="10"/>
  <c r="Y58" i="10"/>
  <c r="Z58" i="10"/>
  <c r="Y10" i="10"/>
  <c r="Z10" i="10"/>
  <c r="Y15" i="10"/>
  <c r="Z15" i="10"/>
  <c r="Y30" i="10"/>
  <c r="Z30" i="10"/>
  <c r="Y43" i="10"/>
  <c r="Z43" i="10"/>
  <c r="Y53" i="10"/>
  <c r="Z53" i="10"/>
  <c r="Y61" i="10"/>
  <c r="Z61" i="10"/>
  <c r="Y66" i="10"/>
  <c r="Z66" i="10"/>
  <c r="Y71" i="10"/>
  <c r="Z71" i="10"/>
  <c r="Y79" i="10"/>
  <c r="Z79" i="10"/>
  <c r="Y87" i="10"/>
  <c r="Z87" i="10"/>
  <c r="Y95" i="10"/>
  <c r="Z95" i="10"/>
  <c r="Y103" i="10"/>
  <c r="Z103" i="10"/>
  <c r="Y111" i="10"/>
  <c r="Z111" i="10"/>
  <c r="Y119" i="10"/>
  <c r="Z119" i="10"/>
  <c r="Y127" i="10"/>
  <c r="Z127" i="10"/>
  <c r="Y135" i="10"/>
  <c r="Z135" i="10"/>
  <c r="Y143" i="10"/>
  <c r="Z143" i="10"/>
  <c r="Y151" i="10"/>
  <c r="Z151" i="10"/>
  <c r="Y159" i="10"/>
  <c r="Z159" i="10"/>
  <c r="Y167" i="10"/>
  <c r="Z167" i="10"/>
  <c r="Y175" i="10"/>
  <c r="Z175" i="10"/>
  <c r="Y183" i="10"/>
  <c r="Z183" i="10"/>
  <c r="Y191" i="10"/>
  <c r="Z191" i="10"/>
  <c r="Y199" i="10"/>
  <c r="Z199" i="10"/>
  <c r="Y207" i="10"/>
  <c r="Z207" i="10"/>
  <c r="Y215" i="10"/>
  <c r="Z215" i="10"/>
  <c r="Y223" i="10"/>
  <c r="Z223" i="10"/>
  <c r="Y231" i="10"/>
  <c r="Z231" i="10"/>
  <c r="Y239" i="10"/>
  <c r="Z239" i="10"/>
  <c r="Y247" i="10"/>
  <c r="Z247" i="10"/>
  <c r="Y255" i="10"/>
  <c r="Z255" i="10"/>
  <c r="Y263" i="10"/>
  <c r="Z263" i="10"/>
  <c r="Y271" i="10"/>
  <c r="Z271" i="10"/>
  <c r="Y279" i="10"/>
  <c r="Z279" i="10"/>
  <c r="Y287" i="10"/>
  <c r="Z287" i="10"/>
  <c r="Y295" i="10"/>
  <c r="Z295" i="10"/>
  <c r="Y303" i="10"/>
  <c r="Z303" i="10"/>
  <c r="Y311" i="10"/>
  <c r="Z311" i="10"/>
  <c r="Y319" i="10"/>
  <c r="Z319" i="10"/>
  <c r="Y327" i="10"/>
  <c r="Z327" i="10"/>
  <c r="Y335" i="10"/>
  <c r="Z335" i="10"/>
  <c r="Y343" i="10"/>
  <c r="Z343" i="10"/>
  <c r="S298" i="10"/>
  <c r="Y447" i="10"/>
  <c r="Y439" i="10"/>
  <c r="Y431" i="10"/>
  <c r="Y423" i="10"/>
  <c r="Y415" i="10"/>
  <c r="Y407" i="10"/>
  <c r="Y399" i="10"/>
  <c r="Y391" i="10"/>
  <c r="Y383" i="10"/>
  <c r="Y340" i="10"/>
  <c r="Y332" i="10"/>
  <c r="Y324" i="10"/>
  <c r="Z314" i="10"/>
  <c r="Y304" i="10"/>
  <c r="Z282" i="10"/>
  <c r="Z250" i="10"/>
  <c r="Z214" i="10"/>
  <c r="Z198" i="10"/>
  <c r="Z182" i="10"/>
  <c r="Z166" i="10"/>
  <c r="Z150" i="10"/>
  <c r="Z134" i="10"/>
  <c r="Z118" i="10"/>
  <c r="Z102" i="10"/>
  <c r="Z86" i="10"/>
  <c r="Z70" i="10"/>
  <c r="Z40" i="10"/>
  <c r="Z8" i="10"/>
  <c r="S438" i="10"/>
  <c r="S406" i="10"/>
  <c r="S382" i="10"/>
  <c r="W432" i="10"/>
  <c r="S430" i="10"/>
  <c r="S390" i="10"/>
  <c r="S450" i="10"/>
  <c r="S398" i="10"/>
  <c r="Y5" i="10"/>
  <c r="S414" i="10"/>
  <c r="S446" i="10"/>
  <c r="S422" i="10"/>
  <c r="Z5" i="10"/>
  <c r="R55" i="10"/>
  <c r="S55" i="10"/>
  <c r="R121" i="10"/>
  <c r="S121" i="10"/>
  <c r="R201" i="10"/>
  <c r="R217" i="10"/>
  <c r="R233" i="10"/>
  <c r="R196" i="10"/>
  <c r="S196" i="10"/>
  <c r="R204" i="10"/>
  <c r="S204" i="10"/>
  <c r="R212" i="10"/>
  <c r="S212" i="10"/>
  <c r="R220" i="10"/>
  <c r="S220" i="10"/>
  <c r="R228" i="10"/>
  <c r="S228" i="10"/>
  <c r="R236" i="10"/>
  <c r="S236" i="10"/>
  <c r="R244" i="10"/>
  <c r="S244" i="10"/>
  <c r="R252" i="10"/>
  <c r="S252" i="10"/>
  <c r="R260" i="10"/>
  <c r="S260" i="10"/>
  <c r="R268" i="10"/>
  <c r="S268" i="10"/>
  <c r="R276" i="10"/>
  <c r="S276" i="10"/>
  <c r="R284" i="10"/>
  <c r="S284" i="10"/>
  <c r="R292" i="10"/>
  <c r="S292" i="10"/>
  <c r="R450" i="10"/>
  <c r="R446" i="10"/>
  <c r="R442" i="10"/>
  <c r="R438" i="10"/>
  <c r="R434" i="10"/>
  <c r="V432" i="10"/>
  <c r="R430" i="10"/>
  <c r="R426" i="10"/>
  <c r="R422" i="10"/>
  <c r="R418" i="10"/>
  <c r="R414" i="10"/>
  <c r="R410" i="10"/>
  <c r="R406" i="10"/>
  <c r="R402" i="10"/>
  <c r="R398" i="10"/>
  <c r="R394" i="10"/>
  <c r="R390" i="10"/>
  <c r="R386" i="10"/>
  <c r="R382" i="10"/>
  <c r="R378" i="10"/>
  <c r="R374" i="10"/>
  <c r="R370" i="10"/>
  <c r="R366" i="10"/>
  <c r="R362" i="10"/>
  <c r="R358" i="10"/>
  <c r="R354" i="10"/>
  <c r="R350" i="10"/>
  <c r="R346" i="10"/>
  <c r="R342" i="10"/>
  <c r="R338" i="10"/>
  <c r="R334" i="10"/>
  <c r="R330" i="10"/>
  <c r="R326" i="10"/>
  <c r="R322" i="10"/>
  <c r="R318" i="10"/>
  <c r="R314" i="10"/>
  <c r="R310" i="10"/>
  <c r="R306" i="10"/>
  <c r="R302" i="10"/>
  <c r="R298" i="10"/>
  <c r="S293" i="10"/>
  <c r="S277" i="10"/>
  <c r="S63" i="10"/>
  <c r="R105" i="10"/>
  <c r="S105" i="10"/>
  <c r="R145" i="10"/>
  <c r="S145" i="10"/>
  <c r="R169" i="10"/>
  <c r="S169" i="10"/>
  <c r="R185" i="10"/>
  <c r="S185" i="10"/>
  <c r="R273" i="10"/>
  <c r="R25" i="10"/>
  <c r="S25" i="10"/>
  <c r="R35" i="10"/>
  <c r="S35" i="10"/>
  <c r="R68" i="10"/>
  <c r="S68" i="10"/>
  <c r="R116" i="10"/>
  <c r="S116" i="10"/>
  <c r="R140" i="10"/>
  <c r="S140" i="10"/>
  <c r="R164" i="10"/>
  <c r="S164" i="10"/>
  <c r="R30" i="10"/>
  <c r="S30" i="10"/>
  <c r="R43" i="10"/>
  <c r="S43" i="10"/>
  <c r="R53" i="10"/>
  <c r="S53" i="10"/>
  <c r="R61" i="10"/>
  <c r="S61" i="10"/>
  <c r="R66" i="10"/>
  <c r="S66" i="10"/>
  <c r="R71" i="10"/>
  <c r="S71" i="10"/>
  <c r="R79" i="10"/>
  <c r="S79" i="10"/>
  <c r="R87" i="10"/>
  <c r="S87" i="10"/>
  <c r="S95" i="10"/>
  <c r="R95" i="10"/>
  <c r="R103" i="10"/>
  <c r="S103" i="10"/>
  <c r="R111" i="10"/>
  <c r="S111" i="10"/>
  <c r="R119" i="10"/>
  <c r="S119" i="10"/>
  <c r="R127" i="10"/>
  <c r="S127" i="10"/>
  <c r="R135" i="10"/>
  <c r="S135" i="10"/>
  <c r="R143" i="10"/>
  <c r="S143" i="10"/>
  <c r="R151" i="10"/>
  <c r="S151" i="10"/>
  <c r="R159" i="10"/>
  <c r="S159" i="10"/>
  <c r="R167" i="10"/>
  <c r="S167" i="10"/>
  <c r="R175" i="10"/>
  <c r="S175" i="10"/>
  <c r="R183" i="10"/>
  <c r="S183" i="10"/>
  <c r="R191" i="10"/>
  <c r="S191" i="10"/>
  <c r="R199" i="10"/>
  <c r="S199" i="10"/>
  <c r="R207" i="10"/>
  <c r="S207" i="10"/>
  <c r="R215" i="10"/>
  <c r="S215" i="10"/>
  <c r="R223" i="10"/>
  <c r="S223" i="10"/>
  <c r="R231" i="10"/>
  <c r="S231" i="10"/>
  <c r="R239" i="10"/>
  <c r="S239" i="10"/>
  <c r="R247" i="10"/>
  <c r="S247" i="10"/>
  <c r="R255" i="10"/>
  <c r="S255" i="10"/>
  <c r="R263" i="10"/>
  <c r="S263" i="10"/>
  <c r="R271" i="10"/>
  <c r="S271" i="10"/>
  <c r="R279" i="10"/>
  <c r="S279" i="10"/>
  <c r="R287" i="10"/>
  <c r="S287" i="10"/>
  <c r="S447" i="10"/>
  <c r="S443" i="10"/>
  <c r="S439" i="10"/>
  <c r="S435" i="10"/>
  <c r="U432" i="10"/>
  <c r="S431" i="10"/>
  <c r="S427" i="10"/>
  <c r="S423" i="10"/>
  <c r="S419" i="10"/>
  <c r="S415" i="10"/>
  <c r="S411" i="10"/>
  <c r="S407" i="10"/>
  <c r="S403" i="10"/>
  <c r="S399" i="10"/>
  <c r="S395" i="10"/>
  <c r="S391" i="10"/>
  <c r="S387" i="10"/>
  <c r="S383" i="10"/>
  <c r="S379" i="10"/>
  <c r="S375" i="10"/>
  <c r="S371" i="10"/>
  <c r="S367" i="10"/>
  <c r="S363" i="10"/>
  <c r="S359" i="10"/>
  <c r="S355" i="10"/>
  <c r="S351" i="10"/>
  <c r="S347" i="10"/>
  <c r="S343" i="10"/>
  <c r="S339" i="10"/>
  <c r="S335" i="10"/>
  <c r="S331" i="10"/>
  <c r="S327" i="10"/>
  <c r="S323" i="10"/>
  <c r="S319" i="10"/>
  <c r="S315" i="10"/>
  <c r="S311" i="10"/>
  <c r="S307" i="10"/>
  <c r="S303" i="10"/>
  <c r="S299" i="10"/>
  <c r="S295" i="10"/>
  <c r="R7" i="10"/>
  <c r="S7" i="10"/>
  <c r="R27" i="10"/>
  <c r="S27" i="10"/>
  <c r="R50" i="10"/>
  <c r="S50" i="10"/>
  <c r="R89" i="10"/>
  <c r="S89" i="10"/>
  <c r="R113" i="10"/>
  <c r="S113" i="10"/>
  <c r="R177" i="10"/>
  <c r="S177" i="10"/>
  <c r="R225" i="10"/>
  <c r="R12" i="10"/>
  <c r="S12" i="10"/>
  <c r="R172" i="10"/>
  <c r="S172" i="10"/>
  <c r="R180" i="10"/>
  <c r="S180" i="10"/>
  <c r="R48" i="10"/>
  <c r="S48" i="10"/>
  <c r="R18" i="10"/>
  <c r="S18" i="10"/>
  <c r="R23" i="10"/>
  <c r="S23" i="10"/>
  <c r="R28" i="10"/>
  <c r="S28" i="10"/>
  <c r="R33" i="10"/>
  <c r="S33" i="10"/>
  <c r="R38" i="10"/>
  <c r="S38" i="10"/>
  <c r="R51" i="10"/>
  <c r="S51" i="10"/>
  <c r="R56" i="10"/>
  <c r="S56" i="10"/>
  <c r="R64" i="10"/>
  <c r="S64" i="10"/>
  <c r="R74" i="10"/>
  <c r="S74" i="10"/>
  <c r="R82" i="10"/>
  <c r="S82" i="10"/>
  <c r="R90" i="10"/>
  <c r="S90" i="10"/>
  <c r="R98" i="10"/>
  <c r="S98" i="10"/>
  <c r="R106" i="10"/>
  <c r="S106" i="10"/>
  <c r="R114" i="10"/>
  <c r="S114" i="10"/>
  <c r="S122" i="10"/>
  <c r="R122" i="10"/>
  <c r="S130" i="10"/>
  <c r="S138" i="10"/>
  <c r="R138" i="10"/>
  <c r="S146" i="10"/>
  <c r="S154" i="10"/>
  <c r="R154" i="10"/>
  <c r="S162" i="10"/>
  <c r="S170" i="10"/>
  <c r="R170" i="10"/>
  <c r="S178" i="10"/>
  <c r="S186" i="10"/>
  <c r="R186" i="10"/>
  <c r="R194" i="10"/>
  <c r="S194" i="10"/>
  <c r="R202" i="10"/>
  <c r="S202" i="10"/>
  <c r="R210" i="10"/>
  <c r="S210" i="10"/>
  <c r="R218" i="10"/>
  <c r="S218" i="10"/>
  <c r="R226" i="10"/>
  <c r="S226" i="10"/>
  <c r="R234" i="10"/>
  <c r="S234" i="10"/>
  <c r="R242" i="10"/>
  <c r="S242" i="10"/>
  <c r="R250" i="10"/>
  <c r="S250" i="10"/>
  <c r="R258" i="10"/>
  <c r="S258" i="10"/>
  <c r="R266" i="10"/>
  <c r="S266" i="10"/>
  <c r="R274" i="10"/>
  <c r="S274" i="10"/>
  <c r="R282" i="10"/>
  <c r="S282" i="10"/>
  <c r="R290" i="10"/>
  <c r="S290" i="10"/>
  <c r="R447" i="10"/>
  <c r="T444" i="10"/>
  <c r="R443" i="10"/>
  <c r="R439" i="10"/>
  <c r="R435" i="10"/>
  <c r="T432" i="10"/>
  <c r="R431" i="10"/>
  <c r="R427" i="10"/>
  <c r="R423" i="10"/>
  <c r="R419" i="10"/>
  <c r="R415" i="10"/>
  <c r="R411" i="10"/>
  <c r="R407" i="10"/>
  <c r="R403" i="10"/>
  <c r="R399" i="10"/>
  <c r="R395" i="10"/>
  <c r="R391" i="10"/>
  <c r="R387" i="10"/>
  <c r="R383" i="10"/>
  <c r="R379" i="10"/>
  <c r="R375" i="10"/>
  <c r="R371" i="10"/>
  <c r="R367" i="10"/>
  <c r="R363" i="10"/>
  <c r="R359" i="10"/>
  <c r="R355" i="10"/>
  <c r="R351" i="10"/>
  <c r="R347" i="10"/>
  <c r="R343" i="10"/>
  <c r="R339" i="10"/>
  <c r="R335" i="10"/>
  <c r="R331" i="10"/>
  <c r="R327" i="10"/>
  <c r="R323" i="10"/>
  <c r="R319" i="10"/>
  <c r="R315" i="10"/>
  <c r="R311" i="10"/>
  <c r="R307" i="10"/>
  <c r="R303" i="10"/>
  <c r="R299" i="10"/>
  <c r="R295" i="10"/>
  <c r="S281" i="10"/>
  <c r="S233" i="10"/>
  <c r="S201" i="10"/>
  <c r="R146" i="10"/>
  <c r="R137" i="10"/>
  <c r="S137" i="10"/>
  <c r="R193" i="10"/>
  <c r="R241" i="10"/>
  <c r="R40" i="10"/>
  <c r="S40" i="10"/>
  <c r="R108" i="10"/>
  <c r="S108" i="10"/>
  <c r="R156" i="10"/>
  <c r="S156" i="10"/>
  <c r="R188" i="10"/>
  <c r="S188" i="10"/>
  <c r="R10" i="10"/>
  <c r="S10" i="10"/>
  <c r="R15" i="10"/>
  <c r="S15" i="10"/>
  <c r="R8" i="10"/>
  <c r="S8" i="10"/>
  <c r="R13" i="10"/>
  <c r="S13" i="10"/>
  <c r="R21" i="10"/>
  <c r="S21" i="10"/>
  <c r="R26" i="10"/>
  <c r="S26" i="10"/>
  <c r="R36" i="10"/>
  <c r="S36" i="10"/>
  <c r="R41" i="10"/>
  <c r="S41" i="10"/>
  <c r="R46" i="10"/>
  <c r="S46" i="10"/>
  <c r="R59" i="10"/>
  <c r="S59" i="10"/>
  <c r="R69" i="10"/>
  <c r="S69" i="10"/>
  <c r="R77" i="10"/>
  <c r="S77" i="10"/>
  <c r="R85" i="10"/>
  <c r="S85" i="10"/>
  <c r="R93" i="10"/>
  <c r="S93" i="10"/>
  <c r="R101" i="10"/>
  <c r="S101" i="10"/>
  <c r="R109" i="10"/>
  <c r="S109" i="10"/>
  <c r="R117" i="10"/>
  <c r="S117" i="10"/>
  <c r="R125" i="10"/>
  <c r="S125" i="10"/>
  <c r="R133" i="10"/>
  <c r="S133" i="10"/>
  <c r="R141" i="10"/>
  <c r="S141" i="10"/>
  <c r="R149" i="10"/>
  <c r="S149" i="10"/>
  <c r="R157" i="10"/>
  <c r="S157" i="10"/>
  <c r="R165" i="10"/>
  <c r="S165" i="10"/>
  <c r="R173" i="10"/>
  <c r="S173" i="10"/>
  <c r="R181" i="10"/>
  <c r="S181" i="10"/>
  <c r="R189" i="10"/>
  <c r="S189" i="10"/>
  <c r="R197" i="10"/>
  <c r="R205" i="10"/>
  <c r="R213" i="10"/>
  <c r="R221" i="10"/>
  <c r="R229" i="10"/>
  <c r="R237" i="10"/>
  <c r="R245" i="10"/>
  <c r="R253" i="10"/>
  <c r="R261" i="10"/>
  <c r="R269" i="10"/>
  <c r="S448" i="10"/>
  <c r="W446" i="10"/>
  <c r="S444" i="10"/>
  <c r="S440" i="10"/>
  <c r="W438" i="10"/>
  <c r="S436" i="10"/>
  <c r="S432" i="10"/>
  <c r="S428" i="10"/>
  <c r="S424" i="10"/>
  <c r="S420" i="10"/>
  <c r="S416" i="10"/>
  <c r="S412" i="10"/>
  <c r="S408" i="10"/>
  <c r="S404" i="10"/>
  <c r="S400" i="10"/>
  <c r="S396" i="10"/>
  <c r="S392" i="10"/>
  <c r="S388" i="10"/>
  <c r="S384" i="10"/>
  <c r="S380" i="10"/>
  <c r="S376" i="10"/>
  <c r="S372" i="10"/>
  <c r="S368" i="10"/>
  <c r="S364" i="10"/>
  <c r="S360" i="10"/>
  <c r="S356" i="10"/>
  <c r="S352" i="10"/>
  <c r="S348" i="10"/>
  <c r="S344" i="10"/>
  <c r="S340" i="10"/>
  <c r="S336" i="10"/>
  <c r="S332" i="10"/>
  <c r="S328" i="10"/>
  <c r="S324" i="10"/>
  <c r="S320" i="10"/>
  <c r="S316" i="10"/>
  <c r="S312" i="10"/>
  <c r="S308" i="10"/>
  <c r="S304" i="10"/>
  <c r="S300" i="10"/>
  <c r="S296" i="10"/>
  <c r="R281" i="10"/>
  <c r="S253" i="10"/>
  <c r="S221" i="10"/>
  <c r="R63" i="10"/>
  <c r="R32" i="10"/>
  <c r="S32" i="10"/>
  <c r="R73" i="10"/>
  <c r="S73" i="10"/>
  <c r="R249" i="10"/>
  <c r="R45" i="10"/>
  <c r="S45" i="10"/>
  <c r="R58" i="10"/>
  <c r="S58" i="10"/>
  <c r="R76" i="10"/>
  <c r="S76" i="10"/>
  <c r="R92" i="10"/>
  <c r="S92" i="10"/>
  <c r="R100" i="10"/>
  <c r="S100" i="10"/>
  <c r="R124" i="10"/>
  <c r="S124" i="10"/>
  <c r="R132" i="10"/>
  <c r="S132" i="10"/>
  <c r="R6" i="10"/>
  <c r="S6" i="10"/>
  <c r="R44" i="10"/>
  <c r="S44" i="10"/>
  <c r="R49" i="10"/>
  <c r="S49" i="10"/>
  <c r="R62" i="10"/>
  <c r="S62" i="10"/>
  <c r="R67" i="10"/>
  <c r="S67" i="10"/>
  <c r="R72" i="10"/>
  <c r="S72" i="10"/>
  <c r="R80" i="10"/>
  <c r="S80" i="10"/>
  <c r="R88" i="10"/>
  <c r="S88" i="10"/>
  <c r="R96" i="10"/>
  <c r="S96" i="10"/>
  <c r="R104" i="10"/>
  <c r="S104" i="10"/>
  <c r="R112" i="10"/>
  <c r="S112" i="10"/>
  <c r="R120" i="10"/>
  <c r="S120" i="10"/>
  <c r="R128" i="10"/>
  <c r="S128" i="10"/>
  <c r="R136" i="10"/>
  <c r="S136" i="10"/>
  <c r="R144" i="10"/>
  <c r="S144" i="10"/>
  <c r="R152" i="10"/>
  <c r="S152" i="10"/>
  <c r="R160" i="10"/>
  <c r="S160" i="10"/>
  <c r="R168" i="10"/>
  <c r="S168" i="10"/>
  <c r="R176" i="10"/>
  <c r="S176" i="10"/>
  <c r="R184" i="10"/>
  <c r="S184" i="10"/>
  <c r="R192" i="10"/>
  <c r="S192" i="10"/>
  <c r="R200" i="10"/>
  <c r="S200" i="10"/>
  <c r="R208" i="10"/>
  <c r="S208" i="10"/>
  <c r="R216" i="10"/>
  <c r="S216" i="10"/>
  <c r="R224" i="10"/>
  <c r="S224" i="10"/>
  <c r="R232" i="10"/>
  <c r="S232" i="10"/>
  <c r="R240" i="10"/>
  <c r="S240" i="10"/>
  <c r="R248" i="10"/>
  <c r="S248" i="10"/>
  <c r="R256" i="10"/>
  <c r="S256" i="10"/>
  <c r="R264" i="10"/>
  <c r="S264" i="10"/>
  <c r="R272" i="10"/>
  <c r="S272" i="10"/>
  <c r="R280" i="10"/>
  <c r="S280" i="10"/>
  <c r="R288" i="10"/>
  <c r="S288" i="10"/>
  <c r="R448" i="10"/>
  <c r="V446" i="10"/>
  <c r="R444" i="10"/>
  <c r="R440" i="10"/>
  <c r="V438" i="10"/>
  <c r="R436" i="10"/>
  <c r="R432" i="10"/>
  <c r="R428" i="10"/>
  <c r="R424" i="10"/>
  <c r="R420" i="10"/>
  <c r="R416" i="10"/>
  <c r="R412" i="10"/>
  <c r="R408" i="10"/>
  <c r="R404" i="10"/>
  <c r="R400" i="10"/>
  <c r="R396" i="10"/>
  <c r="R392" i="10"/>
  <c r="R388" i="10"/>
  <c r="R384" i="10"/>
  <c r="R380" i="10"/>
  <c r="R376" i="10"/>
  <c r="S285" i="10"/>
  <c r="S273" i="10"/>
  <c r="S241" i="10"/>
  <c r="R178" i="10"/>
  <c r="R81" i="10"/>
  <c r="S81" i="10"/>
  <c r="R153" i="10"/>
  <c r="S153" i="10"/>
  <c r="R257" i="10"/>
  <c r="R84" i="10"/>
  <c r="S84" i="10"/>
  <c r="R148" i="10"/>
  <c r="S148" i="10"/>
  <c r="R16" i="10"/>
  <c r="S16" i="10"/>
  <c r="S31" i="10"/>
  <c r="R31" i="10"/>
  <c r="R54" i="10"/>
  <c r="S54" i="10"/>
  <c r="R11" i="10"/>
  <c r="S11" i="10"/>
  <c r="R19" i="10"/>
  <c r="S19" i="10"/>
  <c r="R24" i="10"/>
  <c r="S24" i="10"/>
  <c r="R34" i="10"/>
  <c r="R39" i="10"/>
  <c r="S39" i="10"/>
  <c r="R52" i="10"/>
  <c r="S52" i="10"/>
  <c r="R57" i="10"/>
  <c r="S57" i="10"/>
  <c r="R65" i="10"/>
  <c r="S65" i="10"/>
  <c r="R75" i="10"/>
  <c r="S75" i="10"/>
  <c r="R83" i="10"/>
  <c r="S83" i="10"/>
  <c r="R91" i="10"/>
  <c r="R99" i="10"/>
  <c r="S99" i="10"/>
  <c r="R107" i="10"/>
  <c r="S107" i="10"/>
  <c r="R115" i="10"/>
  <c r="S115" i="10"/>
  <c r="R123" i="10"/>
  <c r="S123" i="10"/>
  <c r="R131" i="10"/>
  <c r="S131" i="10"/>
  <c r="R139" i="10"/>
  <c r="S139" i="10"/>
  <c r="R147" i="10"/>
  <c r="S147" i="10"/>
  <c r="R155" i="10"/>
  <c r="S155" i="10"/>
  <c r="R163" i="10"/>
  <c r="S163" i="10"/>
  <c r="R171" i="10"/>
  <c r="S171" i="10"/>
  <c r="R179" i="10"/>
  <c r="S179" i="10"/>
  <c r="R187" i="10"/>
  <c r="S187" i="10"/>
  <c r="R195" i="10"/>
  <c r="S195" i="10"/>
  <c r="R203" i="10"/>
  <c r="S203" i="10"/>
  <c r="R211" i="10"/>
  <c r="S211" i="10"/>
  <c r="R219" i="10"/>
  <c r="S219" i="10"/>
  <c r="R227" i="10"/>
  <c r="S227" i="10"/>
  <c r="R235" i="10"/>
  <c r="S235" i="10"/>
  <c r="R243" i="10"/>
  <c r="S243" i="10"/>
  <c r="R251" i="10"/>
  <c r="S251" i="10"/>
  <c r="R259" i="10"/>
  <c r="S259" i="10"/>
  <c r="R267" i="10"/>
  <c r="S267" i="10"/>
  <c r="R275" i="10"/>
  <c r="S275" i="10"/>
  <c r="R283" i="10"/>
  <c r="S283" i="10"/>
  <c r="R291" i="10"/>
  <c r="S291" i="10"/>
  <c r="S449" i="10"/>
  <c r="U446" i="10"/>
  <c r="S445" i="10"/>
  <c r="S441" i="10"/>
  <c r="U438" i="10"/>
  <c r="S437" i="10"/>
  <c r="S433" i="10"/>
  <c r="S429" i="10"/>
  <c r="S425" i="10"/>
  <c r="S421" i="10"/>
  <c r="S417" i="10"/>
  <c r="S413" i="10"/>
  <c r="S409" i="10"/>
  <c r="S405" i="10"/>
  <c r="S401" i="10"/>
  <c r="S397" i="10"/>
  <c r="S393" i="10"/>
  <c r="S389" i="10"/>
  <c r="S385" i="10"/>
  <c r="S381" i="10"/>
  <c r="S377" i="10"/>
  <c r="S373" i="10"/>
  <c r="S369" i="10"/>
  <c r="S365" i="10"/>
  <c r="S361" i="10"/>
  <c r="S357" i="10"/>
  <c r="S353" i="10"/>
  <c r="S349" i="10"/>
  <c r="S345" i="10"/>
  <c r="S341" i="10"/>
  <c r="S337" i="10"/>
  <c r="S333" i="10"/>
  <c r="S329" i="10"/>
  <c r="S325" i="10"/>
  <c r="S321" i="10"/>
  <c r="S317" i="10"/>
  <c r="S313" i="10"/>
  <c r="S309" i="10"/>
  <c r="S305" i="10"/>
  <c r="S301" i="10"/>
  <c r="S297" i="10"/>
  <c r="R285" i="10"/>
  <c r="S261" i="10"/>
  <c r="S229" i="10"/>
  <c r="S197" i="10"/>
  <c r="R130" i="10"/>
  <c r="S34" i="10"/>
  <c r="R17" i="10"/>
  <c r="S17" i="10"/>
  <c r="R37" i="10"/>
  <c r="S37" i="10"/>
  <c r="R97" i="10"/>
  <c r="S97" i="10"/>
  <c r="R129" i="10"/>
  <c r="S129" i="10"/>
  <c r="R161" i="10"/>
  <c r="S161" i="10"/>
  <c r="R209" i="10"/>
  <c r="R265" i="10"/>
  <c r="R20" i="10"/>
  <c r="S20" i="10"/>
  <c r="R9" i="10"/>
  <c r="S9" i="10"/>
  <c r="R14" i="10"/>
  <c r="S14" i="10"/>
  <c r="R22" i="10"/>
  <c r="S22" i="10"/>
  <c r="R29" i="10"/>
  <c r="S29" i="10"/>
  <c r="R42" i="10"/>
  <c r="S42" i="10"/>
  <c r="R47" i="10"/>
  <c r="S47" i="10"/>
  <c r="R60" i="10"/>
  <c r="S60" i="10"/>
  <c r="R70" i="10"/>
  <c r="S70" i="10"/>
  <c r="R78" i="10"/>
  <c r="S78" i="10"/>
  <c r="R86" i="10"/>
  <c r="S86" i="10"/>
  <c r="R94" i="10"/>
  <c r="S94" i="10"/>
  <c r="R102" i="10"/>
  <c r="S102" i="10"/>
  <c r="R110" i="10"/>
  <c r="S110" i="10"/>
  <c r="R118" i="10"/>
  <c r="S118" i="10"/>
  <c r="S126" i="10"/>
  <c r="R126" i="10"/>
  <c r="S134" i="10"/>
  <c r="R134" i="10"/>
  <c r="S142" i="10"/>
  <c r="R142" i="10"/>
  <c r="S150" i="10"/>
  <c r="R150" i="10"/>
  <c r="S158" i="10"/>
  <c r="R158" i="10"/>
  <c r="S166" i="10"/>
  <c r="R166" i="10"/>
  <c r="S174" i="10"/>
  <c r="R174" i="10"/>
  <c r="S182" i="10"/>
  <c r="R182" i="10"/>
  <c r="S190" i="10"/>
  <c r="R190" i="10"/>
  <c r="R198" i="10"/>
  <c r="S198" i="10"/>
  <c r="R206" i="10"/>
  <c r="S206" i="10"/>
  <c r="R214" i="10"/>
  <c r="S214" i="10"/>
  <c r="R222" i="10"/>
  <c r="S222" i="10"/>
  <c r="R230" i="10"/>
  <c r="S230" i="10"/>
  <c r="R238" i="10"/>
  <c r="S238" i="10"/>
  <c r="R246" i="10"/>
  <c r="S246" i="10"/>
  <c r="R254" i="10"/>
  <c r="S254" i="10"/>
  <c r="R262" i="10"/>
  <c r="S262" i="10"/>
  <c r="R270" i="10"/>
  <c r="S270" i="10"/>
  <c r="R278" i="10"/>
  <c r="S278" i="10"/>
  <c r="R286" i="10"/>
  <c r="S286" i="10"/>
  <c r="R449" i="10"/>
  <c r="T446" i="10"/>
  <c r="R445" i="10"/>
  <c r="R441" i="10"/>
  <c r="T438" i="10"/>
  <c r="R437" i="10"/>
  <c r="R433" i="10"/>
  <c r="R429" i="10"/>
  <c r="R425" i="10"/>
  <c r="R421" i="10"/>
  <c r="R417" i="10"/>
  <c r="R413" i="10"/>
  <c r="R409" i="10"/>
  <c r="R405" i="10"/>
  <c r="R401" i="10"/>
  <c r="R397" i="10"/>
  <c r="R393" i="10"/>
  <c r="R389" i="10"/>
  <c r="R385" i="10"/>
  <c r="R381" i="10"/>
  <c r="S294" i="10"/>
  <c r="S289" i="10"/>
  <c r="S249" i="10"/>
  <c r="S217" i="10"/>
  <c r="W5" i="10"/>
  <c r="V5" i="10"/>
  <c r="U5" i="10"/>
  <c r="T5" i="10"/>
  <c r="N446" i="10"/>
  <c r="S5" i="10"/>
  <c r="N438" i="10"/>
  <c r="N432" i="10"/>
  <c r="R5" i="10"/>
  <c r="I6" i="10"/>
  <c r="J144" i="10"/>
  <c r="AH144" i="10" s="1"/>
  <c r="J168" i="10"/>
  <c r="AJ168" i="10" s="1"/>
  <c r="J208" i="10"/>
  <c r="AH208" i="10" s="1"/>
  <c r="J248" i="10"/>
  <c r="J272" i="10"/>
  <c r="J288" i="10"/>
  <c r="AH288" i="10" s="1"/>
  <c r="L24" i="10"/>
  <c r="I347" i="10"/>
  <c r="J355" i="10"/>
  <c r="J363" i="10"/>
  <c r="J371" i="10"/>
  <c r="I379" i="10"/>
  <c r="J387" i="10"/>
  <c r="J395" i="10"/>
  <c r="J403" i="10"/>
  <c r="J411" i="10"/>
  <c r="J419" i="10"/>
  <c r="AH419" i="10" s="1"/>
  <c r="I427" i="10"/>
  <c r="J435" i="10"/>
  <c r="J443" i="10"/>
  <c r="J88" i="10"/>
  <c r="J184" i="10"/>
  <c r="J256" i="10"/>
  <c r="L52" i="10"/>
  <c r="J14" i="10"/>
  <c r="AA14" i="10" s="1"/>
  <c r="J22" i="10"/>
  <c r="AA22" i="10" s="1"/>
  <c r="J42" i="10"/>
  <c r="L60" i="10"/>
  <c r="J70" i="10"/>
  <c r="AC70" i="10" s="1"/>
  <c r="J78" i="10"/>
  <c r="J86" i="10"/>
  <c r="AJ86" i="10" s="1"/>
  <c r="J94" i="10"/>
  <c r="AH94" i="10" s="1"/>
  <c r="J102" i="10"/>
  <c r="AC102" i="10" s="1"/>
  <c r="J110" i="10"/>
  <c r="AA110" i="10" s="1"/>
  <c r="J118" i="10"/>
  <c r="AH118" i="10" s="1"/>
  <c r="J126" i="10"/>
  <c r="AD126" i="10" s="1"/>
  <c r="J134" i="10"/>
  <c r="AA134" i="10" s="1"/>
  <c r="J142" i="10"/>
  <c r="J150" i="10"/>
  <c r="AA150" i="10" s="1"/>
  <c r="J158" i="10"/>
  <c r="AH158" i="10" s="1"/>
  <c r="J166" i="10"/>
  <c r="AC166" i="10" s="1"/>
  <c r="J174" i="10"/>
  <c r="AJ174" i="10" s="1"/>
  <c r="J182" i="10"/>
  <c r="AD182" i="10" s="1"/>
  <c r="J190" i="10"/>
  <c r="AK190" i="10" s="1"/>
  <c r="J198" i="10"/>
  <c r="AH198" i="10" s="1"/>
  <c r="J206" i="10"/>
  <c r="J214" i="10"/>
  <c r="AA214" i="10" s="1"/>
  <c r="J222" i="10"/>
  <c r="AC222" i="10" s="1"/>
  <c r="J230" i="10"/>
  <c r="AA230" i="10" s="1"/>
  <c r="J238" i="10"/>
  <c r="AD238" i="10" s="1"/>
  <c r="J246" i="10"/>
  <c r="AH246" i="10" s="1"/>
  <c r="J254" i="10"/>
  <c r="AB254" i="10" s="1"/>
  <c r="J262" i="10"/>
  <c r="AA262" i="10" s="1"/>
  <c r="J270" i="10"/>
  <c r="J278" i="10"/>
  <c r="AA278" i="10" s="1"/>
  <c r="J286" i="10"/>
  <c r="AH286" i="10" s="1"/>
  <c r="J294" i="10"/>
  <c r="AI294" i="10" s="1"/>
  <c r="J80" i="10"/>
  <c r="AH80" i="10" s="1"/>
  <c r="J104" i="10"/>
  <c r="AJ104" i="10" s="1"/>
  <c r="J192" i="10"/>
  <c r="J264" i="10"/>
  <c r="J280" i="10"/>
  <c r="J50" i="10"/>
  <c r="J96" i="10"/>
  <c r="AH96" i="10" s="1"/>
  <c r="J128" i="10"/>
  <c r="AH128" i="10" s="1"/>
  <c r="J152" i="10"/>
  <c r="AJ152" i="10" s="1"/>
  <c r="J200" i="10"/>
  <c r="J224" i="10"/>
  <c r="AH224" i="10" s="1"/>
  <c r="J304" i="10"/>
  <c r="AH304" i="10" s="1"/>
  <c r="J58" i="10"/>
  <c r="L68" i="10"/>
  <c r="L76" i="10"/>
  <c r="J84" i="10"/>
  <c r="J92" i="10"/>
  <c r="J100" i="10"/>
  <c r="J108" i="10"/>
  <c r="J116" i="10"/>
  <c r="J124" i="10"/>
  <c r="J132" i="10"/>
  <c r="J140" i="10"/>
  <c r="J148" i="10"/>
  <c r="J156" i="10"/>
  <c r="J164" i="10"/>
  <c r="J172" i="10"/>
  <c r="J180" i="10"/>
  <c r="J188" i="10"/>
  <c r="J196" i="10"/>
  <c r="J204" i="10"/>
  <c r="J212" i="10"/>
  <c r="J220" i="10"/>
  <c r="J228" i="10"/>
  <c r="J236" i="10"/>
  <c r="J244" i="10"/>
  <c r="J252" i="10"/>
  <c r="J260" i="10"/>
  <c r="J268" i="10"/>
  <c r="J276" i="10"/>
  <c r="J284" i="10"/>
  <c r="J292" i="10"/>
  <c r="J300" i="10"/>
  <c r="J308" i="10"/>
  <c r="J112" i="10"/>
  <c r="J176" i="10"/>
  <c r="AH176" i="10" s="1"/>
  <c r="J216" i="10"/>
  <c r="J10" i="10"/>
  <c r="J30" i="10"/>
  <c r="J66" i="10"/>
  <c r="J54" i="10"/>
  <c r="AH54" i="10" s="1"/>
  <c r="J136" i="10"/>
  <c r="J160" i="10"/>
  <c r="J240" i="10"/>
  <c r="AH240" i="10" s="1"/>
  <c r="J296" i="10"/>
  <c r="J34" i="10"/>
  <c r="AJ34" i="10" s="1"/>
  <c r="J18" i="10"/>
  <c r="J38" i="10"/>
  <c r="L56" i="10"/>
  <c r="L64" i="10"/>
  <c r="J74" i="10"/>
  <c r="J82" i="10"/>
  <c r="J90" i="10"/>
  <c r="J98" i="10"/>
  <c r="J106" i="10"/>
  <c r="J114" i="10"/>
  <c r="J122" i="10"/>
  <c r="J130" i="10"/>
  <c r="J138" i="10"/>
  <c r="J146" i="10"/>
  <c r="J154" i="10"/>
  <c r="J162" i="10"/>
  <c r="J170" i="10"/>
  <c r="J178" i="10"/>
  <c r="J186" i="10"/>
  <c r="J194" i="10"/>
  <c r="J202" i="10"/>
  <c r="I210" i="10"/>
  <c r="J218" i="10"/>
  <c r="J226" i="10"/>
  <c r="J234" i="10"/>
  <c r="J242" i="10"/>
  <c r="J250" i="10"/>
  <c r="J258" i="10"/>
  <c r="I266" i="10"/>
  <c r="J274" i="10"/>
  <c r="J282" i="10"/>
  <c r="J290" i="10"/>
  <c r="J298" i="10"/>
  <c r="J306" i="10"/>
  <c r="J314" i="10"/>
  <c r="I322" i="10"/>
  <c r="J330" i="10"/>
  <c r="J338" i="10"/>
  <c r="J346" i="10"/>
  <c r="J354" i="10"/>
  <c r="J362" i="10"/>
  <c r="J370" i="10"/>
  <c r="J378" i="10"/>
  <c r="J386" i="10"/>
  <c r="J394" i="10"/>
  <c r="J402" i="10"/>
  <c r="J410" i="10"/>
  <c r="J418" i="10"/>
  <c r="J426" i="10"/>
  <c r="J434" i="10"/>
  <c r="I442" i="10"/>
  <c r="L44" i="10"/>
  <c r="J62" i="10"/>
  <c r="J120" i="10"/>
  <c r="J232" i="10"/>
  <c r="J26" i="10"/>
  <c r="AK26" i="10" s="1"/>
  <c r="L36" i="10"/>
  <c r="J46" i="10"/>
  <c r="J302" i="10"/>
  <c r="AK302" i="10" s="1"/>
  <c r="J310" i="10"/>
  <c r="AI310" i="10" s="1"/>
  <c r="J318" i="10"/>
  <c r="J326" i="10"/>
  <c r="AK326" i="10" s="1"/>
  <c r="J334" i="10"/>
  <c r="AK334" i="10" s="1"/>
  <c r="J342" i="10"/>
  <c r="AI342" i="10" s="1"/>
  <c r="J350" i="10"/>
  <c r="AI350" i="10" s="1"/>
  <c r="J358" i="10"/>
  <c r="AK358" i="10" s="1"/>
  <c r="J366" i="10"/>
  <c r="AK366" i="10" s="1"/>
  <c r="J374" i="10"/>
  <c r="AK374" i="10" s="1"/>
  <c r="M446" i="10"/>
  <c r="M438" i="10"/>
  <c r="M432" i="10"/>
  <c r="J353" i="10"/>
  <c r="J361" i="10"/>
  <c r="J369" i="10"/>
  <c r="J377" i="10"/>
  <c r="J316" i="10"/>
  <c r="J324" i="10"/>
  <c r="J332" i="10"/>
  <c r="J340" i="10"/>
  <c r="J348" i="10"/>
  <c r="J356" i="10"/>
  <c r="I364" i="10"/>
  <c r="J372" i="10"/>
  <c r="J351" i="10"/>
  <c r="AK351" i="10" s="1"/>
  <c r="J359" i="10"/>
  <c r="J367" i="10"/>
  <c r="J375" i="10"/>
  <c r="J349" i="10"/>
  <c r="J357" i="10"/>
  <c r="J365" i="10"/>
  <c r="J373" i="10"/>
  <c r="P446" i="10"/>
  <c r="P438" i="10"/>
  <c r="P432" i="10"/>
  <c r="I312" i="10"/>
  <c r="J320" i="10"/>
  <c r="AK320" i="10" s="1"/>
  <c r="I328" i="10"/>
  <c r="J336" i="10"/>
  <c r="I344" i="10"/>
  <c r="I352" i="10"/>
  <c r="J360" i="10"/>
  <c r="I368" i="10"/>
  <c r="O446" i="10"/>
  <c r="O438" i="10"/>
  <c r="O432" i="10"/>
  <c r="P5" i="10"/>
  <c r="O5" i="10"/>
  <c r="N5" i="10"/>
  <c r="L427" i="10"/>
  <c r="L300" i="10"/>
  <c r="L236" i="10"/>
  <c r="L172" i="10"/>
  <c r="L108" i="10"/>
  <c r="L419" i="10"/>
  <c r="L355" i="10"/>
  <c r="L292" i="10"/>
  <c r="L228" i="10"/>
  <c r="L164" i="10"/>
  <c r="L100" i="10"/>
  <c r="L411" i="10"/>
  <c r="L347" i="10"/>
  <c r="L284" i="10"/>
  <c r="L220" i="10"/>
  <c r="L156" i="10"/>
  <c r="L92" i="10"/>
  <c r="L403" i="10"/>
  <c r="L340" i="10"/>
  <c r="L276" i="10"/>
  <c r="L212" i="10"/>
  <c r="L148" i="10"/>
  <c r="L84" i="10"/>
  <c r="L395" i="10"/>
  <c r="L332" i="10"/>
  <c r="L268" i="10"/>
  <c r="L204" i="10"/>
  <c r="L140" i="10"/>
  <c r="L363" i="10"/>
  <c r="L387" i="10"/>
  <c r="L324" i="10"/>
  <c r="L260" i="10"/>
  <c r="L196" i="10"/>
  <c r="L132" i="10"/>
  <c r="K34" i="10"/>
  <c r="L443" i="10"/>
  <c r="L379" i="10"/>
  <c r="L316" i="10"/>
  <c r="L252" i="10"/>
  <c r="L188" i="10"/>
  <c r="L124" i="10"/>
  <c r="L22" i="10"/>
  <c r="L435" i="10"/>
  <c r="L371" i="10"/>
  <c r="L308" i="10"/>
  <c r="L244" i="10"/>
  <c r="L180" i="10"/>
  <c r="L116" i="10"/>
  <c r="M5" i="10"/>
  <c r="J61" i="10"/>
  <c r="K61" i="10"/>
  <c r="L61" i="10"/>
  <c r="J95" i="10"/>
  <c r="K95" i="10"/>
  <c r="L95" i="10"/>
  <c r="J111" i="10"/>
  <c r="K111" i="10"/>
  <c r="L111" i="10"/>
  <c r="J167" i="10"/>
  <c r="K167" i="10"/>
  <c r="L167" i="10"/>
  <c r="J207" i="10"/>
  <c r="K207" i="10"/>
  <c r="L207" i="10"/>
  <c r="J287" i="10"/>
  <c r="AH287" i="10" s="1"/>
  <c r="K287" i="10"/>
  <c r="L287" i="10"/>
  <c r="J31" i="10"/>
  <c r="K31" i="10"/>
  <c r="L31" i="10"/>
  <c r="J67" i="10"/>
  <c r="K67" i="10"/>
  <c r="L67" i="10"/>
  <c r="J19" i="10"/>
  <c r="K19" i="10"/>
  <c r="L19" i="10"/>
  <c r="J9" i="10"/>
  <c r="K9" i="10"/>
  <c r="L9" i="10"/>
  <c r="J29" i="10"/>
  <c r="AA29" i="10" s="1"/>
  <c r="K29" i="10"/>
  <c r="L29" i="10"/>
  <c r="J47" i="10"/>
  <c r="AH47" i="10" s="1"/>
  <c r="K47" i="10"/>
  <c r="L47" i="10"/>
  <c r="J7" i="10"/>
  <c r="AJ7" i="10" s="1"/>
  <c r="K7" i="10"/>
  <c r="L7" i="10"/>
  <c r="J17" i="10"/>
  <c r="K17" i="10"/>
  <c r="L17" i="10"/>
  <c r="J27" i="10"/>
  <c r="K27" i="10"/>
  <c r="L27" i="10"/>
  <c r="J32" i="10"/>
  <c r="K32" i="10"/>
  <c r="J37" i="10"/>
  <c r="AA37" i="10" s="1"/>
  <c r="K37" i="10"/>
  <c r="L37" i="10"/>
  <c r="J55" i="10"/>
  <c r="K55" i="10"/>
  <c r="L55" i="10"/>
  <c r="J63" i="10"/>
  <c r="AI63" i="10" s="1"/>
  <c r="K63" i="10"/>
  <c r="L63" i="10"/>
  <c r="J73" i="10"/>
  <c r="K73" i="10"/>
  <c r="L73" i="10"/>
  <c r="J81" i="10"/>
  <c r="K81" i="10"/>
  <c r="L81" i="10"/>
  <c r="J89" i="10"/>
  <c r="AH89" i="10" s="1"/>
  <c r="K89" i="10"/>
  <c r="L89" i="10"/>
  <c r="J97" i="10"/>
  <c r="K97" i="10"/>
  <c r="L97" i="10"/>
  <c r="J105" i="10"/>
  <c r="K105" i="10"/>
  <c r="L105" i="10"/>
  <c r="J113" i="10"/>
  <c r="K113" i="10"/>
  <c r="L113" i="10"/>
  <c r="J121" i="10"/>
  <c r="K121" i="10"/>
  <c r="L121" i="10"/>
  <c r="J129" i="10"/>
  <c r="K129" i="10"/>
  <c r="L129" i="10"/>
  <c r="J137" i="10"/>
  <c r="K137" i="10"/>
  <c r="L137" i="10"/>
  <c r="J145" i="10"/>
  <c r="K145" i="10"/>
  <c r="L145" i="10"/>
  <c r="J153" i="10"/>
  <c r="AI153" i="10" s="1"/>
  <c r="K153" i="10"/>
  <c r="L153" i="10"/>
  <c r="J161" i="10"/>
  <c r="K161" i="10"/>
  <c r="L161" i="10"/>
  <c r="J169" i="10"/>
  <c r="K169" i="10"/>
  <c r="L169" i="10"/>
  <c r="J177" i="10"/>
  <c r="K177" i="10"/>
  <c r="L177" i="10"/>
  <c r="J185" i="10"/>
  <c r="K185" i="10"/>
  <c r="L185" i="10"/>
  <c r="J193" i="10"/>
  <c r="K193" i="10"/>
  <c r="L193" i="10"/>
  <c r="J201" i="10"/>
  <c r="K201" i="10"/>
  <c r="L201" i="10"/>
  <c r="J209" i="10"/>
  <c r="K209" i="10"/>
  <c r="L209" i="10"/>
  <c r="J217" i="10"/>
  <c r="K217" i="10"/>
  <c r="L217" i="10"/>
  <c r="J225" i="10"/>
  <c r="K225" i="10"/>
  <c r="L225" i="10"/>
  <c r="J233" i="10"/>
  <c r="K233" i="10"/>
  <c r="L233" i="10"/>
  <c r="J241" i="10"/>
  <c r="K241" i="10"/>
  <c r="L241" i="10"/>
  <c r="J249" i="10"/>
  <c r="K249" i="10"/>
  <c r="L249" i="10"/>
  <c r="J257" i="10"/>
  <c r="K257" i="10"/>
  <c r="L257" i="10"/>
  <c r="J265" i="10"/>
  <c r="K265" i="10"/>
  <c r="L265" i="10"/>
  <c r="J273" i="10"/>
  <c r="K273" i="10"/>
  <c r="L273" i="10"/>
  <c r="J281" i="10"/>
  <c r="K281" i="10"/>
  <c r="L281" i="10"/>
  <c r="J289" i="10"/>
  <c r="K289" i="10"/>
  <c r="L289" i="10"/>
  <c r="J297" i="10"/>
  <c r="K297" i="10"/>
  <c r="L297" i="10"/>
  <c r="J305" i="10"/>
  <c r="K305" i="10"/>
  <c r="L305" i="10"/>
  <c r="J313" i="10"/>
  <c r="K313" i="10"/>
  <c r="L313" i="10"/>
  <c r="J321" i="10"/>
  <c r="K321" i="10"/>
  <c r="L321" i="10"/>
  <c r="J329" i="10"/>
  <c r="K329" i="10"/>
  <c r="L329" i="10"/>
  <c r="J337" i="10"/>
  <c r="K337" i="10"/>
  <c r="L337" i="10"/>
  <c r="J345" i="10"/>
  <c r="K345" i="10"/>
  <c r="L345" i="10"/>
  <c r="L448" i="10"/>
  <c r="L444" i="10"/>
  <c r="L440" i="10"/>
  <c r="L436" i="10"/>
  <c r="L432" i="10"/>
  <c r="L428" i="10"/>
  <c r="L424" i="10"/>
  <c r="L420" i="10"/>
  <c r="L416" i="10"/>
  <c r="L412" i="10"/>
  <c r="L408" i="10"/>
  <c r="L404" i="10"/>
  <c r="L400" i="10"/>
  <c r="L396" i="10"/>
  <c r="L392" i="10"/>
  <c r="L388" i="10"/>
  <c r="L384" i="10"/>
  <c r="L380" i="10"/>
  <c r="L376" i="10"/>
  <c r="L372" i="10"/>
  <c r="L368" i="10"/>
  <c r="L364" i="10"/>
  <c r="L360" i="10"/>
  <c r="L356" i="10"/>
  <c r="L352" i="10"/>
  <c r="L348" i="10"/>
  <c r="L342" i="10"/>
  <c r="L334" i="10"/>
  <c r="L326" i="10"/>
  <c r="L318" i="10"/>
  <c r="L310" i="10"/>
  <c r="L302" i="10"/>
  <c r="L294" i="10"/>
  <c r="L286" i="10"/>
  <c r="L278" i="10"/>
  <c r="L270" i="10"/>
  <c r="L262" i="10"/>
  <c r="L254" i="10"/>
  <c r="L246" i="10"/>
  <c r="L238" i="10"/>
  <c r="L230" i="10"/>
  <c r="L222" i="10"/>
  <c r="L214" i="10"/>
  <c r="L206" i="10"/>
  <c r="L198" i="10"/>
  <c r="L190" i="10"/>
  <c r="L182" i="10"/>
  <c r="L174" i="10"/>
  <c r="L166" i="10"/>
  <c r="L158" i="10"/>
  <c r="L150" i="10"/>
  <c r="L142" i="10"/>
  <c r="L134" i="10"/>
  <c r="L126" i="10"/>
  <c r="L118" i="10"/>
  <c r="L110" i="10"/>
  <c r="L102" i="10"/>
  <c r="L94" i="10"/>
  <c r="L86" i="10"/>
  <c r="L78" i="10"/>
  <c r="K58" i="10"/>
  <c r="L46" i="10"/>
  <c r="K26" i="10"/>
  <c r="L14" i="10"/>
  <c r="J103" i="10"/>
  <c r="K103" i="10"/>
  <c r="L103" i="10"/>
  <c r="J159" i="10"/>
  <c r="K159" i="10"/>
  <c r="L159" i="10"/>
  <c r="J239" i="10"/>
  <c r="AI239" i="10" s="1"/>
  <c r="K239" i="10"/>
  <c r="L239" i="10"/>
  <c r="J263" i="10"/>
  <c r="K263" i="10"/>
  <c r="L263" i="10"/>
  <c r="J72" i="10"/>
  <c r="K72" i="10"/>
  <c r="J12" i="10"/>
  <c r="K12" i="10"/>
  <c r="J20" i="10"/>
  <c r="K20" i="10"/>
  <c r="J25" i="10"/>
  <c r="K25" i="10"/>
  <c r="L25" i="10"/>
  <c r="J35" i="10"/>
  <c r="K35" i="10"/>
  <c r="L35" i="10"/>
  <c r="J40" i="10"/>
  <c r="K40" i="10"/>
  <c r="J45" i="10"/>
  <c r="K45" i="10"/>
  <c r="L45" i="10"/>
  <c r="J68" i="10"/>
  <c r="K68" i="10"/>
  <c r="J76" i="10"/>
  <c r="K76" i="10"/>
  <c r="K448" i="10"/>
  <c r="K444" i="10"/>
  <c r="K440" i="10"/>
  <c r="K436" i="10"/>
  <c r="K432" i="10"/>
  <c r="K428" i="10"/>
  <c r="K424" i="10"/>
  <c r="K420" i="10"/>
  <c r="K416" i="10"/>
  <c r="K412" i="10"/>
  <c r="K408" i="10"/>
  <c r="K404" i="10"/>
  <c r="K400" i="10"/>
  <c r="K396" i="10"/>
  <c r="K392" i="10"/>
  <c r="K388" i="10"/>
  <c r="K384" i="10"/>
  <c r="K380" i="10"/>
  <c r="K376" i="10"/>
  <c r="K372" i="10"/>
  <c r="K368" i="10"/>
  <c r="K364" i="10"/>
  <c r="K360" i="10"/>
  <c r="K356" i="10"/>
  <c r="K352" i="10"/>
  <c r="K348" i="10"/>
  <c r="K342" i="10"/>
  <c r="K334" i="10"/>
  <c r="K326" i="10"/>
  <c r="K318" i="10"/>
  <c r="K310" i="10"/>
  <c r="K302" i="10"/>
  <c r="K294" i="10"/>
  <c r="K286" i="10"/>
  <c r="K278" i="10"/>
  <c r="K270" i="10"/>
  <c r="K262" i="10"/>
  <c r="K254" i="10"/>
  <c r="K246" i="10"/>
  <c r="K238" i="10"/>
  <c r="K230" i="10"/>
  <c r="K222" i="10"/>
  <c r="K214" i="10"/>
  <c r="K206" i="10"/>
  <c r="K198" i="10"/>
  <c r="K190" i="10"/>
  <c r="K182" i="10"/>
  <c r="K174" i="10"/>
  <c r="K166" i="10"/>
  <c r="K158" i="10"/>
  <c r="K150" i="10"/>
  <c r="K142" i="10"/>
  <c r="K134" i="10"/>
  <c r="K126" i="10"/>
  <c r="K118" i="10"/>
  <c r="K110" i="10"/>
  <c r="K102" i="10"/>
  <c r="K94" i="10"/>
  <c r="K86" i="10"/>
  <c r="K78" i="10"/>
  <c r="L66" i="10"/>
  <c r="K46" i="10"/>
  <c r="L34" i="10"/>
  <c r="K14" i="10"/>
  <c r="J79" i="10"/>
  <c r="K79" i="10"/>
  <c r="L79" i="10"/>
  <c r="J151" i="10"/>
  <c r="K151" i="10"/>
  <c r="L151" i="10"/>
  <c r="J191" i="10"/>
  <c r="AI191" i="10" s="1"/>
  <c r="K191" i="10"/>
  <c r="L191" i="10"/>
  <c r="J223" i="10"/>
  <c r="K223" i="10"/>
  <c r="L223" i="10"/>
  <c r="J231" i="10"/>
  <c r="K231" i="10"/>
  <c r="L231" i="10"/>
  <c r="J271" i="10"/>
  <c r="K271" i="10"/>
  <c r="L271" i="10"/>
  <c r="J319" i="10"/>
  <c r="K319" i="10"/>
  <c r="L319" i="10"/>
  <c r="J335" i="10"/>
  <c r="AK335" i="10" s="1"/>
  <c r="K335" i="10"/>
  <c r="L335" i="10"/>
  <c r="J343" i="10"/>
  <c r="K343" i="10"/>
  <c r="L343" i="10"/>
  <c r="L439" i="10"/>
  <c r="L423" i="10"/>
  <c r="L407" i="10"/>
  <c r="L383" i="10"/>
  <c r="L367" i="10"/>
  <c r="J28" i="10"/>
  <c r="K28" i="10"/>
  <c r="J33" i="10"/>
  <c r="K33" i="10"/>
  <c r="L33" i="10"/>
  <c r="J51" i="10"/>
  <c r="K51" i="10"/>
  <c r="L51" i="10"/>
  <c r="J56" i="10"/>
  <c r="K56" i="10"/>
  <c r="K447" i="10"/>
  <c r="K443" i="10"/>
  <c r="K439" i="10"/>
  <c r="K435" i="10"/>
  <c r="K431" i="10"/>
  <c r="K427" i="10"/>
  <c r="K423" i="10"/>
  <c r="K419" i="10"/>
  <c r="K415" i="10"/>
  <c r="K411" i="10"/>
  <c r="K407" i="10"/>
  <c r="K403" i="10"/>
  <c r="K399" i="10"/>
  <c r="K395" i="10"/>
  <c r="K391" i="10"/>
  <c r="K387" i="10"/>
  <c r="K383" i="10"/>
  <c r="K379" i="10"/>
  <c r="K375" i="10"/>
  <c r="K371" i="10"/>
  <c r="K367" i="10"/>
  <c r="K363" i="10"/>
  <c r="K359" i="10"/>
  <c r="K355" i="10"/>
  <c r="K351" i="10"/>
  <c r="K347" i="10"/>
  <c r="K340" i="10"/>
  <c r="K332" i="10"/>
  <c r="K324" i="10"/>
  <c r="K316" i="10"/>
  <c r="K308" i="10"/>
  <c r="K300" i="10"/>
  <c r="K292" i="10"/>
  <c r="K284" i="10"/>
  <c r="K276" i="10"/>
  <c r="K268" i="10"/>
  <c r="K260" i="10"/>
  <c r="K252" i="10"/>
  <c r="K244" i="10"/>
  <c r="K236" i="10"/>
  <c r="K228" i="10"/>
  <c r="K220" i="10"/>
  <c r="K212" i="10"/>
  <c r="K204" i="10"/>
  <c r="K196" i="10"/>
  <c r="K188" i="10"/>
  <c r="K180" i="10"/>
  <c r="K172" i="10"/>
  <c r="K164" i="10"/>
  <c r="K156" i="10"/>
  <c r="K148" i="10"/>
  <c r="K140" i="10"/>
  <c r="K132" i="10"/>
  <c r="K124" i="10"/>
  <c r="K116" i="10"/>
  <c r="K108" i="10"/>
  <c r="K100" i="10"/>
  <c r="K92" i="10"/>
  <c r="K84" i="10"/>
  <c r="L74" i="10"/>
  <c r="K54" i="10"/>
  <c r="L42" i="10"/>
  <c r="L32" i="10"/>
  <c r="K22" i="10"/>
  <c r="L10" i="10"/>
  <c r="J143" i="10"/>
  <c r="K143" i="10"/>
  <c r="L143" i="10"/>
  <c r="J255" i="10"/>
  <c r="K255" i="10"/>
  <c r="L255" i="10"/>
  <c r="J303" i="10"/>
  <c r="K303" i="10"/>
  <c r="L303" i="10"/>
  <c r="L447" i="10"/>
  <c r="L431" i="10"/>
  <c r="L415" i="10"/>
  <c r="L399" i="10"/>
  <c r="L391" i="10"/>
  <c r="L375" i="10"/>
  <c r="L359" i="10"/>
  <c r="L351" i="10"/>
  <c r="K66" i="10"/>
  <c r="L54" i="10"/>
  <c r="L12" i="10"/>
  <c r="J23" i="10"/>
  <c r="K23" i="10"/>
  <c r="L23" i="10"/>
  <c r="J64" i="10"/>
  <c r="K64" i="10"/>
  <c r="J8" i="10"/>
  <c r="AJ8" i="10" s="1"/>
  <c r="K8" i="10"/>
  <c r="J13" i="10"/>
  <c r="K13" i="10"/>
  <c r="L13" i="10"/>
  <c r="J21" i="10"/>
  <c r="K21" i="10"/>
  <c r="L21" i="10"/>
  <c r="J36" i="10"/>
  <c r="K36" i="10"/>
  <c r="J41" i="10"/>
  <c r="K41" i="10"/>
  <c r="L41" i="10"/>
  <c r="J59" i="10"/>
  <c r="K59" i="10"/>
  <c r="L59" i="10"/>
  <c r="J69" i="10"/>
  <c r="AK69" i="10" s="1"/>
  <c r="K69" i="10"/>
  <c r="L69" i="10"/>
  <c r="J77" i="10"/>
  <c r="K77" i="10"/>
  <c r="L77" i="10"/>
  <c r="J85" i="10"/>
  <c r="K85" i="10"/>
  <c r="L85" i="10"/>
  <c r="J93" i="10"/>
  <c r="AH93" i="10" s="1"/>
  <c r="K93" i="10"/>
  <c r="L93" i="10"/>
  <c r="J101" i="10"/>
  <c r="K101" i="10"/>
  <c r="L101" i="10"/>
  <c r="J109" i="10"/>
  <c r="K109" i="10"/>
  <c r="L109" i="10"/>
  <c r="J117" i="10"/>
  <c r="AI117" i="10" s="1"/>
  <c r="K117" i="10"/>
  <c r="L117" i="10"/>
  <c r="J125" i="10"/>
  <c r="K125" i="10"/>
  <c r="L125" i="10"/>
  <c r="J133" i="10"/>
  <c r="K133" i="10"/>
  <c r="L133" i="10"/>
  <c r="J141" i="10"/>
  <c r="K141" i="10"/>
  <c r="L141" i="10"/>
  <c r="J149" i="10"/>
  <c r="K149" i="10"/>
  <c r="L149" i="10"/>
  <c r="J157" i="10"/>
  <c r="AJ157" i="10" s="1"/>
  <c r="K157" i="10"/>
  <c r="L157" i="10"/>
  <c r="J165" i="10"/>
  <c r="K165" i="10"/>
  <c r="L165" i="10"/>
  <c r="J173" i="10"/>
  <c r="K173" i="10"/>
  <c r="L173" i="10"/>
  <c r="J181" i="10"/>
  <c r="AI181" i="10" s="1"/>
  <c r="K181" i="10"/>
  <c r="L181" i="10"/>
  <c r="J189" i="10"/>
  <c r="K189" i="10"/>
  <c r="L189" i="10"/>
  <c r="J197" i="10"/>
  <c r="AK197" i="10" s="1"/>
  <c r="K197" i="10"/>
  <c r="L197" i="10"/>
  <c r="J205" i="10"/>
  <c r="K205" i="10"/>
  <c r="L205" i="10"/>
  <c r="J213" i="10"/>
  <c r="K213" i="10"/>
  <c r="L213" i="10"/>
  <c r="J221" i="10"/>
  <c r="AH221" i="10" s="1"/>
  <c r="K221" i="10"/>
  <c r="L221" i="10"/>
  <c r="J229" i="10"/>
  <c r="K229" i="10"/>
  <c r="L229" i="10"/>
  <c r="J237" i="10"/>
  <c r="K237" i="10"/>
  <c r="L237" i="10"/>
  <c r="J245" i="10"/>
  <c r="AI245" i="10" s="1"/>
  <c r="K245" i="10"/>
  <c r="L245" i="10"/>
  <c r="J253" i="10"/>
  <c r="AJ253" i="10" s="1"/>
  <c r="K253" i="10"/>
  <c r="L253" i="10"/>
  <c r="J261" i="10"/>
  <c r="AK261" i="10" s="1"/>
  <c r="K261" i="10"/>
  <c r="L261" i="10"/>
  <c r="J269" i="10"/>
  <c r="K269" i="10"/>
  <c r="L269" i="10"/>
  <c r="J277" i="10"/>
  <c r="K277" i="10"/>
  <c r="L277" i="10"/>
  <c r="J285" i="10"/>
  <c r="AH285" i="10" s="1"/>
  <c r="K285" i="10"/>
  <c r="L285" i="10"/>
  <c r="J293" i="10"/>
  <c r="K293" i="10"/>
  <c r="L293" i="10"/>
  <c r="J301" i="10"/>
  <c r="K301" i="10"/>
  <c r="L301" i="10"/>
  <c r="J309" i="10"/>
  <c r="AJ309" i="10" s="1"/>
  <c r="K309" i="10"/>
  <c r="L309" i="10"/>
  <c r="J317" i="10"/>
  <c r="K317" i="10"/>
  <c r="L317" i="10"/>
  <c r="J325" i="10"/>
  <c r="AJ325" i="10" s="1"/>
  <c r="K325" i="10"/>
  <c r="L325" i="10"/>
  <c r="J333" i="10"/>
  <c r="K333" i="10"/>
  <c r="L333" i="10"/>
  <c r="J341" i="10"/>
  <c r="K341" i="10"/>
  <c r="L341" i="10"/>
  <c r="L450" i="10"/>
  <c r="L446" i="10"/>
  <c r="L442" i="10"/>
  <c r="L438" i="10"/>
  <c r="L434" i="10"/>
  <c r="L430" i="10"/>
  <c r="L426" i="10"/>
  <c r="L422" i="10"/>
  <c r="L418" i="10"/>
  <c r="L414" i="10"/>
  <c r="L410" i="10"/>
  <c r="L406" i="10"/>
  <c r="L402" i="10"/>
  <c r="L398" i="10"/>
  <c r="L394" i="10"/>
  <c r="L390" i="10"/>
  <c r="L386" i="10"/>
  <c r="L382" i="10"/>
  <c r="L378" i="10"/>
  <c r="L374" i="10"/>
  <c r="L370" i="10"/>
  <c r="L366" i="10"/>
  <c r="L362" i="10"/>
  <c r="L358" i="10"/>
  <c r="L354" i="10"/>
  <c r="L350" i="10"/>
  <c r="L346" i="10"/>
  <c r="L338" i="10"/>
  <c r="L330" i="10"/>
  <c r="L322" i="10"/>
  <c r="L314" i="10"/>
  <c r="L306" i="10"/>
  <c r="L298" i="10"/>
  <c r="L290" i="10"/>
  <c r="L282" i="10"/>
  <c r="L274" i="10"/>
  <c r="L266" i="10"/>
  <c r="L258" i="10"/>
  <c r="L250" i="10"/>
  <c r="L242" i="10"/>
  <c r="L234" i="10"/>
  <c r="L226" i="10"/>
  <c r="L218" i="10"/>
  <c r="L210" i="10"/>
  <c r="L202" i="10"/>
  <c r="L194" i="10"/>
  <c r="L186" i="10"/>
  <c r="L178" i="10"/>
  <c r="L170" i="10"/>
  <c r="L162" i="10"/>
  <c r="L154" i="10"/>
  <c r="L146" i="10"/>
  <c r="L138" i="10"/>
  <c r="L130" i="10"/>
  <c r="L122" i="10"/>
  <c r="L114" i="10"/>
  <c r="L106" i="10"/>
  <c r="L98" i="10"/>
  <c r="L90" i="10"/>
  <c r="L82" i="10"/>
  <c r="K74" i="10"/>
  <c r="L62" i="10"/>
  <c r="K42" i="10"/>
  <c r="L30" i="10"/>
  <c r="L20" i="10"/>
  <c r="K10" i="10"/>
  <c r="J15" i="10"/>
  <c r="K15" i="10"/>
  <c r="L15" i="10"/>
  <c r="J43" i="10"/>
  <c r="K43" i="10"/>
  <c r="L43" i="10"/>
  <c r="J135" i="10"/>
  <c r="K135" i="10"/>
  <c r="L135" i="10"/>
  <c r="J175" i="10"/>
  <c r="K175" i="10"/>
  <c r="L175" i="10"/>
  <c r="J199" i="10"/>
  <c r="K199" i="10"/>
  <c r="L199" i="10"/>
  <c r="J16" i="10"/>
  <c r="AK16" i="10" s="1"/>
  <c r="K16" i="10"/>
  <c r="J44" i="10"/>
  <c r="K44" i="10"/>
  <c r="J49" i="10"/>
  <c r="K49" i="10"/>
  <c r="L49" i="10"/>
  <c r="K450" i="10"/>
  <c r="K446" i="10"/>
  <c r="K442" i="10"/>
  <c r="K438" i="10"/>
  <c r="K434" i="10"/>
  <c r="K430" i="10"/>
  <c r="K426" i="10"/>
  <c r="K422" i="10"/>
  <c r="K418" i="10"/>
  <c r="K414" i="10"/>
  <c r="K410" i="10"/>
  <c r="K406" i="10"/>
  <c r="K402" i="10"/>
  <c r="K398" i="10"/>
  <c r="K394" i="10"/>
  <c r="K390" i="10"/>
  <c r="K386" i="10"/>
  <c r="K382" i="10"/>
  <c r="K378" i="10"/>
  <c r="K374" i="10"/>
  <c r="K370" i="10"/>
  <c r="K366" i="10"/>
  <c r="K362" i="10"/>
  <c r="K358" i="10"/>
  <c r="K354" i="10"/>
  <c r="K350" i="10"/>
  <c r="K346" i="10"/>
  <c r="K338" i="10"/>
  <c r="K330" i="10"/>
  <c r="K322" i="10"/>
  <c r="K314" i="10"/>
  <c r="K306" i="10"/>
  <c r="K298" i="10"/>
  <c r="K290" i="10"/>
  <c r="K282" i="10"/>
  <c r="K274" i="10"/>
  <c r="K266" i="10"/>
  <c r="K258" i="10"/>
  <c r="K250" i="10"/>
  <c r="K242" i="10"/>
  <c r="K234" i="10"/>
  <c r="K226" i="10"/>
  <c r="K218" i="10"/>
  <c r="K210" i="10"/>
  <c r="K202" i="10"/>
  <c r="K194" i="10"/>
  <c r="K186" i="10"/>
  <c r="K178" i="10"/>
  <c r="K170" i="10"/>
  <c r="K162" i="10"/>
  <c r="K154" i="10"/>
  <c r="K146" i="10"/>
  <c r="K138" i="10"/>
  <c r="K130" i="10"/>
  <c r="K122" i="10"/>
  <c r="K114" i="10"/>
  <c r="K106" i="10"/>
  <c r="K98" i="10"/>
  <c r="K90" i="10"/>
  <c r="K82" i="10"/>
  <c r="L72" i="10"/>
  <c r="K62" i="10"/>
  <c r="L50" i="10"/>
  <c r="L40" i="10"/>
  <c r="K30" i="10"/>
  <c r="L18" i="10"/>
  <c r="L8" i="10"/>
  <c r="J48" i="10"/>
  <c r="K48" i="10"/>
  <c r="J71" i="10"/>
  <c r="K71" i="10"/>
  <c r="L71" i="10"/>
  <c r="J127" i="10"/>
  <c r="K127" i="10"/>
  <c r="L127" i="10"/>
  <c r="J183" i="10"/>
  <c r="K183" i="10"/>
  <c r="L183" i="10"/>
  <c r="J279" i="10"/>
  <c r="K279" i="10"/>
  <c r="L279" i="10"/>
  <c r="J295" i="10"/>
  <c r="AJ295" i="10" s="1"/>
  <c r="K295" i="10"/>
  <c r="L295" i="10"/>
  <c r="I311" i="10"/>
  <c r="K311" i="10"/>
  <c r="L311" i="10"/>
  <c r="J11" i="10"/>
  <c r="K11" i="10"/>
  <c r="L11" i="10"/>
  <c r="J24" i="10"/>
  <c r="K24" i="10"/>
  <c r="J39" i="10"/>
  <c r="K39" i="10"/>
  <c r="L39" i="10"/>
  <c r="J52" i="10"/>
  <c r="K52" i="10"/>
  <c r="J57" i="10"/>
  <c r="K57" i="10"/>
  <c r="L57" i="10"/>
  <c r="J65" i="10"/>
  <c r="K65" i="10"/>
  <c r="L65" i="10"/>
  <c r="J75" i="10"/>
  <c r="K75" i="10"/>
  <c r="L75" i="10"/>
  <c r="J83" i="10"/>
  <c r="K83" i="10"/>
  <c r="L83" i="10"/>
  <c r="J91" i="10"/>
  <c r="K91" i="10"/>
  <c r="L91" i="10"/>
  <c r="J99" i="10"/>
  <c r="K99" i="10"/>
  <c r="L99" i="10"/>
  <c r="J107" i="10"/>
  <c r="K107" i="10"/>
  <c r="L107" i="10"/>
  <c r="J115" i="10"/>
  <c r="K115" i="10"/>
  <c r="L115" i="10"/>
  <c r="J123" i="10"/>
  <c r="K123" i="10"/>
  <c r="L123" i="10"/>
  <c r="J131" i="10"/>
  <c r="K131" i="10"/>
  <c r="L131" i="10"/>
  <c r="J139" i="10"/>
  <c r="K139" i="10"/>
  <c r="L139" i="10"/>
  <c r="J147" i="10"/>
  <c r="K147" i="10"/>
  <c r="L147" i="10"/>
  <c r="J155" i="10"/>
  <c r="K155" i="10"/>
  <c r="L155" i="10"/>
  <c r="J163" i="10"/>
  <c r="K163" i="10"/>
  <c r="L163" i="10"/>
  <c r="J171" i="10"/>
  <c r="K171" i="10"/>
  <c r="L171" i="10"/>
  <c r="J179" i="10"/>
  <c r="K179" i="10"/>
  <c r="L179" i="10"/>
  <c r="J187" i="10"/>
  <c r="K187" i="10"/>
  <c r="L187" i="10"/>
  <c r="J195" i="10"/>
  <c r="K195" i="10"/>
  <c r="L195" i="10"/>
  <c r="J203" i="10"/>
  <c r="K203" i="10"/>
  <c r="L203" i="10"/>
  <c r="J211" i="10"/>
  <c r="K211" i="10"/>
  <c r="L211" i="10"/>
  <c r="J219" i="10"/>
  <c r="K219" i="10"/>
  <c r="L219" i="10"/>
  <c r="J227" i="10"/>
  <c r="K227" i="10"/>
  <c r="L227" i="10"/>
  <c r="J235" i="10"/>
  <c r="K235" i="10"/>
  <c r="L235" i="10"/>
  <c r="J243" i="10"/>
  <c r="K243" i="10"/>
  <c r="L243" i="10"/>
  <c r="J251" i="10"/>
  <c r="K251" i="10"/>
  <c r="L251" i="10"/>
  <c r="J259" i="10"/>
  <c r="K259" i="10"/>
  <c r="L259" i="10"/>
  <c r="J267" i="10"/>
  <c r="K267" i="10"/>
  <c r="L267" i="10"/>
  <c r="J275" i="10"/>
  <c r="K275" i="10"/>
  <c r="L275" i="10"/>
  <c r="J283" i="10"/>
  <c r="K283" i="10"/>
  <c r="L283" i="10"/>
  <c r="J291" i="10"/>
  <c r="K291" i="10"/>
  <c r="L291" i="10"/>
  <c r="J299" i="10"/>
  <c r="K299" i="10"/>
  <c r="L299" i="10"/>
  <c r="J307" i="10"/>
  <c r="K307" i="10"/>
  <c r="L307" i="10"/>
  <c r="J315" i="10"/>
  <c r="K315" i="10"/>
  <c r="L315" i="10"/>
  <c r="J323" i="10"/>
  <c r="K323" i="10"/>
  <c r="L323" i="10"/>
  <c r="J331" i="10"/>
  <c r="AI331" i="10" s="1"/>
  <c r="K331" i="10"/>
  <c r="L331" i="10"/>
  <c r="J339" i="10"/>
  <c r="K339" i="10"/>
  <c r="L339" i="10"/>
  <c r="L449" i="10"/>
  <c r="L445" i="10"/>
  <c r="L441" i="10"/>
  <c r="L437" i="10"/>
  <c r="L433" i="10"/>
  <c r="L429" i="10"/>
  <c r="L425" i="10"/>
  <c r="L421" i="10"/>
  <c r="L417" i="10"/>
  <c r="L413" i="10"/>
  <c r="L409" i="10"/>
  <c r="L405" i="10"/>
  <c r="L401" i="10"/>
  <c r="L397" i="10"/>
  <c r="L393" i="10"/>
  <c r="L389" i="10"/>
  <c r="L385" i="10"/>
  <c r="L381" i="10"/>
  <c r="L377" i="10"/>
  <c r="L373" i="10"/>
  <c r="L369" i="10"/>
  <c r="L365" i="10"/>
  <c r="L361" i="10"/>
  <c r="L357" i="10"/>
  <c r="L353" i="10"/>
  <c r="L349" i="10"/>
  <c r="L344" i="10"/>
  <c r="L336" i="10"/>
  <c r="L328" i="10"/>
  <c r="L320" i="10"/>
  <c r="L312" i="10"/>
  <c r="L304" i="10"/>
  <c r="L296" i="10"/>
  <c r="L288" i="10"/>
  <c r="L280" i="10"/>
  <c r="L272" i="10"/>
  <c r="L264" i="10"/>
  <c r="L256" i="10"/>
  <c r="L248" i="10"/>
  <c r="L240" i="10"/>
  <c r="L232" i="10"/>
  <c r="L224" i="10"/>
  <c r="L216" i="10"/>
  <c r="L208" i="10"/>
  <c r="L200" i="10"/>
  <c r="L192" i="10"/>
  <c r="L184" i="10"/>
  <c r="L176" i="10"/>
  <c r="L168" i="10"/>
  <c r="L160" i="10"/>
  <c r="L152" i="10"/>
  <c r="L144" i="10"/>
  <c r="L136" i="10"/>
  <c r="L128" i="10"/>
  <c r="L120" i="10"/>
  <c r="L112" i="10"/>
  <c r="L104" i="10"/>
  <c r="L96" i="10"/>
  <c r="L88" i="10"/>
  <c r="L80" i="10"/>
  <c r="L70" i="10"/>
  <c r="K50" i="10"/>
  <c r="L38" i="10"/>
  <c r="L28" i="10"/>
  <c r="K18" i="10"/>
  <c r="L6" i="10"/>
  <c r="J53" i="10"/>
  <c r="K53" i="10"/>
  <c r="L53" i="10"/>
  <c r="J87" i="10"/>
  <c r="K87" i="10"/>
  <c r="L87" i="10"/>
  <c r="J119" i="10"/>
  <c r="K119" i="10"/>
  <c r="L119" i="10"/>
  <c r="J215" i="10"/>
  <c r="K215" i="10"/>
  <c r="L215" i="10"/>
  <c r="J247" i="10"/>
  <c r="K247" i="10"/>
  <c r="L247" i="10"/>
  <c r="J327" i="10"/>
  <c r="K327" i="10"/>
  <c r="L327" i="10"/>
  <c r="J60" i="10"/>
  <c r="K60" i="10"/>
  <c r="K449" i="10"/>
  <c r="K445" i="10"/>
  <c r="K441" i="10"/>
  <c r="K437" i="10"/>
  <c r="K433" i="10"/>
  <c r="K429" i="10"/>
  <c r="K425" i="10"/>
  <c r="K421" i="10"/>
  <c r="K417" i="10"/>
  <c r="K413" i="10"/>
  <c r="K409" i="10"/>
  <c r="K405" i="10"/>
  <c r="K401" i="10"/>
  <c r="K397" i="10"/>
  <c r="K393" i="10"/>
  <c r="K389" i="10"/>
  <c r="K385" i="10"/>
  <c r="K381" i="10"/>
  <c r="K377" i="10"/>
  <c r="K373" i="10"/>
  <c r="K369" i="10"/>
  <c r="K365" i="10"/>
  <c r="K361" i="10"/>
  <c r="K357" i="10"/>
  <c r="K353" i="10"/>
  <c r="K349" i="10"/>
  <c r="K344" i="10"/>
  <c r="K336" i="10"/>
  <c r="K328" i="10"/>
  <c r="K320" i="10"/>
  <c r="K312" i="10"/>
  <c r="K304" i="10"/>
  <c r="K296" i="10"/>
  <c r="K288" i="10"/>
  <c r="K280" i="10"/>
  <c r="K272" i="10"/>
  <c r="K264" i="10"/>
  <c r="K256" i="10"/>
  <c r="K248" i="10"/>
  <c r="K240" i="10"/>
  <c r="K232" i="10"/>
  <c r="K224" i="10"/>
  <c r="K216" i="10"/>
  <c r="K208" i="10"/>
  <c r="K200" i="10"/>
  <c r="K192" i="10"/>
  <c r="K184" i="10"/>
  <c r="K176" i="10"/>
  <c r="K168" i="10"/>
  <c r="K160" i="10"/>
  <c r="K152" i="10"/>
  <c r="K144" i="10"/>
  <c r="K136" i="10"/>
  <c r="K128" i="10"/>
  <c r="K120" i="10"/>
  <c r="K112" i="10"/>
  <c r="K104" i="10"/>
  <c r="K96" i="10"/>
  <c r="K88" i="10"/>
  <c r="K80" i="10"/>
  <c r="K70" i="10"/>
  <c r="L58" i="10"/>
  <c r="L48" i="10"/>
  <c r="K38" i="10"/>
  <c r="L26" i="10"/>
  <c r="L16" i="10"/>
  <c r="K6" i="10"/>
  <c r="J442" i="10"/>
  <c r="J450" i="10"/>
  <c r="L5" i="10"/>
  <c r="K5" i="10"/>
  <c r="I449" i="10"/>
  <c r="J446" i="10"/>
  <c r="I447" i="10"/>
  <c r="W447" i="10" s="1"/>
  <c r="I448" i="10"/>
  <c r="J444" i="10"/>
  <c r="I445" i="10"/>
  <c r="I443" i="10"/>
  <c r="I436" i="10"/>
  <c r="I441" i="10"/>
  <c r="J438" i="10"/>
  <c r="I439" i="10"/>
  <c r="U439" i="10" s="1"/>
  <c r="I440" i="10"/>
  <c r="I437" i="10"/>
  <c r="I435" i="10"/>
  <c r="J432" i="10"/>
  <c r="I433" i="10"/>
  <c r="I434" i="10"/>
  <c r="I431" i="10"/>
  <c r="J427" i="10"/>
  <c r="I429" i="10"/>
  <c r="I430" i="10"/>
  <c r="I428" i="10"/>
  <c r="V428" i="10" s="1"/>
  <c r="I425" i="10"/>
  <c r="I426" i="10"/>
  <c r="I423" i="10"/>
  <c r="V423" i="10" s="1"/>
  <c r="I424" i="10"/>
  <c r="I421" i="10"/>
  <c r="I422" i="10"/>
  <c r="V422" i="10" s="1"/>
  <c r="I418" i="10"/>
  <c r="I419" i="10"/>
  <c r="I420" i="10"/>
  <c r="J414" i="10"/>
  <c r="I417" i="10"/>
  <c r="I415" i="10"/>
  <c r="W415" i="10" s="1"/>
  <c r="I416" i="10"/>
  <c r="I410" i="10"/>
  <c r="I412" i="10"/>
  <c r="I413" i="10"/>
  <c r="I411" i="10"/>
  <c r="I409" i="10"/>
  <c r="I407" i="10"/>
  <c r="U407" i="10" s="1"/>
  <c r="I408" i="10"/>
  <c r="J404" i="10"/>
  <c r="I405" i="10"/>
  <c r="I406" i="10"/>
  <c r="I403" i="10"/>
  <c r="I400" i="10"/>
  <c r="I401" i="10"/>
  <c r="I402" i="10"/>
  <c r="I399" i="10"/>
  <c r="I397" i="10"/>
  <c r="T397" i="10" s="1"/>
  <c r="I398" i="10"/>
  <c r="I395" i="10"/>
  <c r="I396" i="10"/>
  <c r="J392" i="10"/>
  <c r="I393" i="10"/>
  <c r="I394" i="10"/>
  <c r="I391" i="10"/>
  <c r="V391" i="10" s="1"/>
  <c r="I389" i="10"/>
  <c r="I390" i="10"/>
  <c r="V390" i="10" s="1"/>
  <c r="I387" i="10"/>
  <c r="I388" i="10"/>
  <c r="I385" i="10"/>
  <c r="I386" i="10"/>
  <c r="I383" i="10"/>
  <c r="V383" i="10" s="1"/>
  <c r="I384" i="10"/>
  <c r="J379" i="10"/>
  <c r="I381" i="10"/>
  <c r="I382" i="10"/>
  <c r="U382" i="10" s="1"/>
  <c r="I380" i="10"/>
  <c r="I377" i="10"/>
  <c r="I378" i="10"/>
  <c r="I375" i="10"/>
  <c r="W375" i="10" s="1"/>
  <c r="I376" i="10"/>
  <c r="I373" i="10"/>
  <c r="I374" i="10"/>
  <c r="I370" i="10"/>
  <c r="I371" i="10"/>
  <c r="W371" i="10" s="1"/>
  <c r="I372" i="10"/>
  <c r="J368" i="10"/>
  <c r="I369" i="10"/>
  <c r="I367" i="10"/>
  <c r="J364" i="10"/>
  <c r="I365" i="10"/>
  <c r="I366" i="10"/>
  <c r="I363" i="10"/>
  <c r="I361" i="10"/>
  <c r="I362" i="10"/>
  <c r="I359" i="10"/>
  <c r="I360" i="10"/>
  <c r="I357" i="10"/>
  <c r="I358" i="10"/>
  <c r="W358" i="10" s="1"/>
  <c r="I355" i="10"/>
  <c r="I356" i="10"/>
  <c r="J352" i="10"/>
  <c r="AK352" i="10" s="1"/>
  <c r="I353" i="10"/>
  <c r="I354" i="10"/>
  <c r="I351" i="10"/>
  <c r="W351" i="10" s="1"/>
  <c r="J347" i="10"/>
  <c r="I349" i="10"/>
  <c r="I350" i="10"/>
  <c r="U350" i="10" s="1"/>
  <c r="I348" i="10"/>
  <c r="I343" i="10"/>
  <c r="T343" i="10" s="1"/>
  <c r="J344" i="10"/>
  <c r="I345" i="10"/>
  <c r="I346" i="10"/>
  <c r="I341" i="10"/>
  <c r="I342" i="10"/>
  <c r="I339" i="10"/>
  <c r="I340" i="10"/>
  <c r="I337" i="10"/>
  <c r="I338" i="10"/>
  <c r="I335" i="10"/>
  <c r="V335" i="10" s="1"/>
  <c r="I336" i="10"/>
  <c r="I333" i="10"/>
  <c r="I334" i="10"/>
  <c r="I331" i="10"/>
  <c r="I332" i="10"/>
  <c r="V332" i="10" s="1"/>
  <c r="J328" i="10"/>
  <c r="I329" i="10"/>
  <c r="I330" i="10"/>
  <c r="I327" i="10"/>
  <c r="I325" i="10"/>
  <c r="I326" i="10"/>
  <c r="I321" i="10"/>
  <c r="J322" i="10"/>
  <c r="I323" i="10"/>
  <c r="W323" i="10" s="1"/>
  <c r="I324" i="10"/>
  <c r="I320" i="10"/>
  <c r="I319" i="10"/>
  <c r="W319" i="10" s="1"/>
  <c r="I317" i="10"/>
  <c r="I318" i="10"/>
  <c r="U318" i="10" s="1"/>
  <c r="J311" i="10"/>
  <c r="I315" i="10"/>
  <c r="I316" i="10"/>
  <c r="J312" i="10"/>
  <c r="I313" i="10"/>
  <c r="I314" i="10"/>
  <c r="I309" i="10"/>
  <c r="I310" i="10"/>
  <c r="I307" i="10"/>
  <c r="I308" i="10"/>
  <c r="I305" i="10"/>
  <c r="U305" i="10" s="1"/>
  <c r="I306" i="10"/>
  <c r="I303" i="10"/>
  <c r="I304" i="10"/>
  <c r="I301" i="10"/>
  <c r="I302" i="10"/>
  <c r="I299" i="10"/>
  <c r="I300" i="10"/>
  <c r="I297" i="10"/>
  <c r="T297" i="10" s="1"/>
  <c r="I298" i="10"/>
  <c r="I295" i="10"/>
  <c r="I296" i="10"/>
  <c r="I293" i="10"/>
  <c r="U293" i="10" s="1"/>
  <c r="I294" i="10"/>
  <c r="I291" i="10"/>
  <c r="I292" i="10"/>
  <c r="I289" i="10"/>
  <c r="I290" i="10"/>
  <c r="I287" i="10"/>
  <c r="I288" i="10"/>
  <c r="I285" i="10"/>
  <c r="I286" i="10"/>
  <c r="I283" i="10"/>
  <c r="I284" i="10"/>
  <c r="I281" i="10"/>
  <c r="I282" i="10"/>
  <c r="I279" i="10"/>
  <c r="V279" i="10" s="1"/>
  <c r="I280" i="10"/>
  <c r="I277" i="10"/>
  <c r="I278" i="10"/>
  <c r="T278" i="10" s="1"/>
  <c r="I275" i="10"/>
  <c r="I276" i="10"/>
  <c r="T276" i="10" s="1"/>
  <c r="I273" i="10"/>
  <c r="I274" i="10"/>
  <c r="I271" i="10"/>
  <c r="W271" i="10" s="1"/>
  <c r="I272" i="10"/>
  <c r="T272" i="10" s="1"/>
  <c r="J266" i="10"/>
  <c r="I269" i="10"/>
  <c r="I270" i="10"/>
  <c r="U270" i="10" s="1"/>
  <c r="I267" i="10"/>
  <c r="W267" i="10" s="1"/>
  <c r="I268" i="10"/>
  <c r="I265" i="10"/>
  <c r="I263" i="10"/>
  <c r="I264" i="10"/>
  <c r="I261" i="10"/>
  <c r="I262" i="10"/>
  <c r="U262" i="10" s="1"/>
  <c r="I259" i="10"/>
  <c r="I260" i="10"/>
  <c r="I257" i="10"/>
  <c r="I258" i="10"/>
  <c r="I255" i="10"/>
  <c r="I256" i="10"/>
  <c r="I253" i="10"/>
  <c r="T253" i="10" s="1"/>
  <c r="I254" i="10"/>
  <c r="U254" i="10" s="1"/>
  <c r="I251" i="10"/>
  <c r="I252" i="10"/>
  <c r="I249" i="10"/>
  <c r="I250" i="10"/>
  <c r="I247" i="10"/>
  <c r="I248" i="10"/>
  <c r="V248" i="10" s="1"/>
  <c r="I245" i="10"/>
  <c r="I246" i="10"/>
  <c r="U246" i="10" s="1"/>
  <c r="I243" i="10"/>
  <c r="I244" i="10"/>
  <c r="I241" i="10"/>
  <c r="I242" i="10"/>
  <c r="I239" i="10"/>
  <c r="U239" i="10" s="1"/>
  <c r="I240" i="10"/>
  <c r="I237" i="10"/>
  <c r="I238" i="10"/>
  <c r="W238" i="10" s="1"/>
  <c r="I235" i="10"/>
  <c r="I236" i="10"/>
  <c r="I233" i="10"/>
  <c r="W233" i="10" s="1"/>
  <c r="I234" i="10"/>
  <c r="I231" i="10"/>
  <c r="I232" i="10"/>
  <c r="I229" i="10"/>
  <c r="I230" i="10"/>
  <c r="U230" i="10" s="1"/>
  <c r="I227" i="10"/>
  <c r="I228" i="10"/>
  <c r="I225" i="10"/>
  <c r="I226" i="10"/>
  <c r="I223" i="10"/>
  <c r="I224" i="10"/>
  <c r="I221" i="10"/>
  <c r="I222" i="10"/>
  <c r="U222" i="10" s="1"/>
  <c r="I219" i="10"/>
  <c r="I220" i="10"/>
  <c r="V220" i="10" s="1"/>
  <c r="I217" i="10"/>
  <c r="T217" i="10" s="1"/>
  <c r="I218" i="10"/>
  <c r="I215" i="10"/>
  <c r="T215" i="10" s="1"/>
  <c r="I216" i="10"/>
  <c r="V216" i="10" s="1"/>
  <c r="I213" i="10"/>
  <c r="I214" i="10"/>
  <c r="V214" i="10" s="1"/>
  <c r="J210" i="10"/>
  <c r="I211" i="10"/>
  <c r="W211" i="10" s="1"/>
  <c r="I212" i="10"/>
  <c r="T212" i="10" s="1"/>
  <c r="I209" i="10"/>
  <c r="I207" i="10"/>
  <c r="I208" i="10"/>
  <c r="I205" i="10"/>
  <c r="I206" i="10"/>
  <c r="U206" i="10" s="1"/>
  <c r="I203" i="10"/>
  <c r="I204" i="10"/>
  <c r="I201" i="10"/>
  <c r="I202" i="10"/>
  <c r="I199" i="10"/>
  <c r="V199" i="10" s="1"/>
  <c r="I200" i="10"/>
  <c r="I197" i="10"/>
  <c r="W197" i="10" s="1"/>
  <c r="I198" i="10"/>
  <c r="U198" i="10" s="1"/>
  <c r="I195" i="10"/>
  <c r="I196" i="10"/>
  <c r="I193" i="10"/>
  <c r="I194" i="10"/>
  <c r="I191" i="10"/>
  <c r="I192" i="10"/>
  <c r="I189" i="10"/>
  <c r="I190" i="10"/>
  <c r="U190" i="10" s="1"/>
  <c r="I187" i="10"/>
  <c r="I188" i="10"/>
  <c r="I185" i="10"/>
  <c r="T185" i="10" s="1"/>
  <c r="I186" i="10"/>
  <c r="I183" i="10"/>
  <c r="I184" i="10"/>
  <c r="I181" i="10"/>
  <c r="I182" i="10"/>
  <c r="T182" i="10" s="1"/>
  <c r="I179" i="10"/>
  <c r="I180" i="10"/>
  <c r="W180" i="10" s="1"/>
  <c r="I177" i="10"/>
  <c r="T177" i="10" s="1"/>
  <c r="I178" i="10"/>
  <c r="I175" i="10"/>
  <c r="I176" i="10"/>
  <c r="I173" i="10"/>
  <c r="I174" i="10"/>
  <c r="W174" i="10" s="1"/>
  <c r="I171" i="10"/>
  <c r="I172" i="10"/>
  <c r="V172" i="10" s="1"/>
  <c r="I169" i="10"/>
  <c r="I170" i="10"/>
  <c r="I167" i="10"/>
  <c r="V167" i="10" s="1"/>
  <c r="I168" i="10"/>
  <c r="I165" i="10"/>
  <c r="U165" i="10" s="1"/>
  <c r="I166" i="10"/>
  <c r="U166" i="10" s="1"/>
  <c r="I163" i="10"/>
  <c r="I164" i="10"/>
  <c r="I161" i="10"/>
  <c r="I162" i="10"/>
  <c r="I159" i="10"/>
  <c r="I160" i="10"/>
  <c r="I157" i="10"/>
  <c r="I158" i="10"/>
  <c r="T158" i="10" s="1"/>
  <c r="I155" i="10"/>
  <c r="I156" i="10"/>
  <c r="I153" i="10"/>
  <c r="T153" i="10" s="1"/>
  <c r="I154" i="10"/>
  <c r="I151" i="10"/>
  <c r="I152" i="10"/>
  <c r="I149" i="10"/>
  <c r="I150" i="10"/>
  <c r="T150" i="10" s="1"/>
  <c r="I147" i="10"/>
  <c r="I148" i="10"/>
  <c r="T148" i="10" s="1"/>
  <c r="I145" i="10"/>
  <c r="I146" i="10"/>
  <c r="I143" i="10"/>
  <c r="W143" i="10" s="1"/>
  <c r="I144" i="10"/>
  <c r="I141" i="10"/>
  <c r="W141" i="10" s="1"/>
  <c r="I142" i="10"/>
  <c r="N142" i="10" s="1"/>
  <c r="I139" i="10"/>
  <c r="I140" i="10"/>
  <c r="I137" i="10"/>
  <c r="W137" i="10" s="1"/>
  <c r="I138" i="10"/>
  <c r="I135" i="10"/>
  <c r="I136" i="10"/>
  <c r="I133" i="10"/>
  <c r="I134" i="10"/>
  <c r="U134" i="10" s="1"/>
  <c r="I131" i="10"/>
  <c r="I132" i="10"/>
  <c r="I129" i="10"/>
  <c r="T129" i="10" s="1"/>
  <c r="I130" i="10"/>
  <c r="I127" i="10"/>
  <c r="I128" i="10"/>
  <c r="I125" i="10"/>
  <c r="I126" i="10"/>
  <c r="T126" i="10" s="1"/>
  <c r="I123" i="10"/>
  <c r="I124" i="10"/>
  <c r="V124" i="10" s="1"/>
  <c r="I121" i="10"/>
  <c r="U121" i="10" s="1"/>
  <c r="I122" i="10"/>
  <c r="I119" i="10"/>
  <c r="W119" i="10" s="1"/>
  <c r="I120" i="10"/>
  <c r="U120" i="10" s="1"/>
  <c r="I117" i="10"/>
  <c r="I118" i="10"/>
  <c r="T118" i="10" s="1"/>
  <c r="I115" i="10"/>
  <c r="I116" i="10"/>
  <c r="I113" i="10"/>
  <c r="I114" i="10"/>
  <c r="I111" i="10"/>
  <c r="I112" i="10"/>
  <c r="I109" i="10"/>
  <c r="I110" i="10"/>
  <c r="W110" i="10" s="1"/>
  <c r="I107" i="10"/>
  <c r="I108" i="10"/>
  <c r="I105" i="10"/>
  <c r="I106" i="10"/>
  <c r="I103" i="10"/>
  <c r="I104" i="10"/>
  <c r="V104" i="10" s="1"/>
  <c r="I101" i="10"/>
  <c r="I102" i="10"/>
  <c r="U102" i="10" s="1"/>
  <c r="I99" i="10"/>
  <c r="I100" i="10"/>
  <c r="I97" i="10"/>
  <c r="I98" i="10"/>
  <c r="I95" i="10"/>
  <c r="U95" i="10" s="1"/>
  <c r="I96" i="10"/>
  <c r="I93" i="10"/>
  <c r="I94" i="10"/>
  <c r="T94" i="10" s="1"/>
  <c r="I91" i="10"/>
  <c r="I92" i="10"/>
  <c r="I89" i="10"/>
  <c r="I90" i="10"/>
  <c r="I87" i="10"/>
  <c r="I88" i="10"/>
  <c r="U88" i="10" s="1"/>
  <c r="I85" i="10"/>
  <c r="I86" i="10"/>
  <c r="T86" i="10" s="1"/>
  <c r="I83" i="10"/>
  <c r="I84" i="10"/>
  <c r="T84" i="10" s="1"/>
  <c r="I81" i="10"/>
  <c r="V81" i="10" s="1"/>
  <c r="I82" i="10"/>
  <c r="I79" i="10"/>
  <c r="T79" i="10" s="1"/>
  <c r="I80" i="10"/>
  <c r="I77" i="10"/>
  <c r="I78" i="10"/>
  <c r="W78" i="10" s="1"/>
  <c r="I75" i="10"/>
  <c r="I76" i="10"/>
  <c r="W76" i="10" s="1"/>
  <c r="I73" i="10"/>
  <c r="I74" i="10"/>
  <c r="I71" i="10"/>
  <c r="I72" i="10"/>
  <c r="V72" i="10" s="1"/>
  <c r="I69" i="10"/>
  <c r="U69" i="10" s="1"/>
  <c r="I70" i="10"/>
  <c r="U70" i="10" s="1"/>
  <c r="I67" i="10"/>
  <c r="I68" i="10"/>
  <c r="I65" i="10"/>
  <c r="I66" i="10"/>
  <c r="I62" i="10"/>
  <c r="I63" i="10"/>
  <c r="T63" i="10" s="1"/>
  <c r="I64" i="10"/>
  <c r="I61" i="10"/>
  <c r="I59" i="10"/>
  <c r="I60" i="10"/>
  <c r="V60" i="10" s="1"/>
  <c r="I57" i="10"/>
  <c r="O57" i="10" s="1"/>
  <c r="I58" i="10"/>
  <c r="I55" i="10"/>
  <c r="I56" i="10"/>
  <c r="I53" i="10"/>
  <c r="I54" i="10"/>
  <c r="T54" i="10" s="1"/>
  <c r="I51" i="10"/>
  <c r="I52" i="10"/>
  <c r="V52" i="10" s="1"/>
  <c r="I49" i="10"/>
  <c r="T49" i="10" s="1"/>
  <c r="I50" i="10"/>
  <c r="I47" i="10"/>
  <c r="T47" i="10" s="1"/>
  <c r="I48" i="10"/>
  <c r="I45" i="10"/>
  <c r="I46" i="10"/>
  <c r="I43" i="10"/>
  <c r="I44" i="10"/>
  <c r="V44" i="10" s="1"/>
  <c r="I41" i="10"/>
  <c r="V41" i="10" s="1"/>
  <c r="I42" i="10"/>
  <c r="I39" i="10"/>
  <c r="U39" i="10" s="1"/>
  <c r="I40" i="10"/>
  <c r="I37" i="10"/>
  <c r="U37" i="10" s="1"/>
  <c r="I38" i="10"/>
  <c r="I35" i="10"/>
  <c r="I36" i="10"/>
  <c r="T36" i="10" s="1"/>
  <c r="I33" i="10"/>
  <c r="U33" i="10" s="1"/>
  <c r="I34" i="10"/>
  <c r="I31" i="10"/>
  <c r="T31" i="10" s="1"/>
  <c r="I32" i="10"/>
  <c r="I29" i="10"/>
  <c r="T29" i="10" s="1"/>
  <c r="I30" i="10"/>
  <c r="I27" i="10"/>
  <c r="I28" i="10"/>
  <c r="I25" i="10"/>
  <c r="I26" i="10"/>
  <c r="I23" i="10"/>
  <c r="I24" i="10"/>
  <c r="V24" i="10" s="1"/>
  <c r="I21" i="10"/>
  <c r="I22" i="10"/>
  <c r="T22" i="10" s="1"/>
  <c r="I19" i="10"/>
  <c r="I20" i="10"/>
  <c r="U20" i="10" s="1"/>
  <c r="I17" i="10"/>
  <c r="I18" i="10"/>
  <c r="I15" i="10"/>
  <c r="V15" i="10" s="1"/>
  <c r="I16" i="10"/>
  <c r="U16" i="10" s="1"/>
  <c r="I13" i="10"/>
  <c r="I14" i="10"/>
  <c r="T14" i="10" s="1"/>
  <c r="I11" i="10"/>
  <c r="I12" i="10"/>
  <c r="I9" i="10"/>
  <c r="I10" i="10"/>
  <c r="I7" i="10"/>
  <c r="T7" i="10" s="1"/>
  <c r="I8" i="10"/>
  <c r="J6" i="10"/>
  <c r="J5" i="10"/>
  <c r="AA5" i="10" s="1"/>
  <c r="G89" i="10" a="1"/>
  <c r="G89" i="10" s="1"/>
  <c r="G201" i="10" a="1"/>
  <c r="G201" i="10" s="1"/>
  <c r="G225" i="10" a="1"/>
  <c r="G225" i="10" s="1"/>
  <c r="G249" i="10" a="1"/>
  <c r="G249" i="10" s="1"/>
  <c r="G361" i="10" a="1"/>
  <c r="G361" i="10" s="1"/>
  <c r="G385" i="10" a="1"/>
  <c r="G385" i="10" s="1"/>
  <c r="AD385" i="10" s="1"/>
  <c r="G409" i="10" a="1"/>
  <c r="G409" i="10" s="1"/>
  <c r="AD409" i="10" s="1"/>
  <c r="G33" i="10" a="1"/>
  <c r="G33" i="10" s="1"/>
  <c r="G177" i="10" a="1"/>
  <c r="G177" i="10" s="1"/>
  <c r="G337" i="10" a="1"/>
  <c r="G337" i="10" s="1"/>
  <c r="G449" i="10" a="1"/>
  <c r="G449" i="10" s="1"/>
  <c r="AC449" i="10" s="1"/>
  <c r="G57" i="10" a="1"/>
  <c r="G57" i="10" s="1"/>
  <c r="G105" i="10" a="1"/>
  <c r="G105" i="10" s="1"/>
  <c r="G129" i="10" a="1"/>
  <c r="G129" i="10" s="1"/>
  <c r="G153" i="10" a="1"/>
  <c r="G153" i="10" s="1"/>
  <c r="G241" i="10" a="1"/>
  <c r="G241" i="10" s="1"/>
  <c r="G265" i="10" a="1"/>
  <c r="G265" i="10" s="1"/>
  <c r="G289" i="10" a="1"/>
  <c r="G289" i="10" s="1"/>
  <c r="G313" i="10" a="1"/>
  <c r="G313" i="10" s="1"/>
  <c r="G401" i="10" a="1"/>
  <c r="G401" i="10" s="1"/>
  <c r="G425" i="10" a="1"/>
  <c r="G425" i="10" s="1"/>
  <c r="AH425" i="10" s="1"/>
  <c r="G81" i="10" a="1"/>
  <c r="G81" i="10" s="1"/>
  <c r="G17" i="10" a="1"/>
  <c r="G17" i="10" s="1"/>
  <c r="G193" i="10" a="1"/>
  <c r="G193" i="10" s="1"/>
  <c r="G217" i="10" a="1"/>
  <c r="G217" i="10" s="1"/>
  <c r="G353" i="10" a="1"/>
  <c r="G353" i="10" s="1"/>
  <c r="G377" i="10" a="1"/>
  <c r="G377" i="10" s="1"/>
  <c r="G41" i="10" a="1"/>
  <c r="G41" i="10" s="1"/>
  <c r="AJ41" i="10" s="1"/>
  <c r="G145" i="10" a="1"/>
  <c r="G145" i="10" s="1"/>
  <c r="G169" i="10" a="1"/>
  <c r="G169" i="10" s="1"/>
  <c r="G305" i="10" a="1"/>
  <c r="G305" i="10" s="1"/>
  <c r="G329" i="10" a="1"/>
  <c r="G329" i="10" s="1"/>
  <c r="G441" i="10" a="1"/>
  <c r="G441" i="10" s="1"/>
  <c r="AJ441" i="10" s="1"/>
  <c r="G65" i="10" a="1"/>
  <c r="G65" i="10" s="1"/>
  <c r="G97" i="10" a="1"/>
  <c r="G97" i="10" s="1"/>
  <c r="G121" i="10" a="1"/>
  <c r="G121" i="10" s="1"/>
  <c r="G209" i="10" a="1"/>
  <c r="G209" i="10" s="1"/>
  <c r="G233" i="10" a="1"/>
  <c r="G233" i="10" s="1"/>
  <c r="G257" i="10" a="1"/>
  <c r="G257" i="10" s="1"/>
  <c r="G281" i="10" a="1"/>
  <c r="G281" i="10" s="1"/>
  <c r="G369" i="10" a="1"/>
  <c r="G369" i="10" s="1"/>
  <c r="G393" i="10" a="1"/>
  <c r="G393" i="10" s="1"/>
  <c r="G417" i="10" a="1"/>
  <c r="G417" i="10" s="1"/>
  <c r="G25" i="10" a="1"/>
  <c r="G25" i="10" s="1"/>
  <c r="G185" i="10" a="1"/>
  <c r="G185" i="10" s="1"/>
  <c r="G345" i="10" a="1"/>
  <c r="G345" i="10" s="1"/>
  <c r="G49" i="10" a="1"/>
  <c r="G49" i="10" s="1"/>
  <c r="G113" i="10" a="1"/>
  <c r="G113" i="10" s="1"/>
  <c r="G137" i="10" a="1"/>
  <c r="G137" i="10" s="1"/>
  <c r="G161" i="10" a="1"/>
  <c r="G161" i="10" s="1"/>
  <c r="G273" i="10" a="1"/>
  <c r="G273" i="10" s="1"/>
  <c r="G297" i="10" a="1"/>
  <c r="G297" i="10" s="1"/>
  <c r="G321" i="10" a="1"/>
  <c r="G321" i="10" s="1"/>
  <c r="G433" i="10" a="1"/>
  <c r="G433" i="10" s="1"/>
  <c r="AH433" i="10" s="1"/>
  <c r="G73" i="10" a="1"/>
  <c r="G73" i="10" s="1"/>
  <c r="H433" i="10" a="1"/>
  <c r="H433" i="10" s="1"/>
  <c r="H49" i="10" a="1"/>
  <c r="H49" i="10" s="1"/>
  <c r="H225" i="10" a="1"/>
  <c r="H225" i="10" s="1"/>
  <c r="H73" i="10" a="1"/>
  <c r="H73" i="10" s="1"/>
  <c r="H137" i="10" a="1"/>
  <c r="H137" i="10" s="1"/>
  <c r="H161" i="10" a="1"/>
  <c r="H161" i="10" s="1"/>
  <c r="H297" i="10" a="1"/>
  <c r="H297" i="10" s="1"/>
  <c r="H321" i="10" a="1"/>
  <c r="H321" i="10" s="1"/>
  <c r="H385" i="10" a="1"/>
  <c r="H385" i="10" s="1"/>
  <c r="H409" i="10" a="1"/>
  <c r="H409" i="10" s="1"/>
  <c r="H449" i="10" a="1"/>
  <c r="H449" i="10" s="1"/>
  <c r="H273" i="10" a="1"/>
  <c r="H273" i="10" s="1"/>
  <c r="H89" i="10" a="1"/>
  <c r="H89" i="10" s="1"/>
  <c r="H177" i="10" a="1"/>
  <c r="H177" i="10" s="1"/>
  <c r="H337" i="10" a="1"/>
  <c r="H337" i="10" s="1"/>
  <c r="H425" i="10" a="1"/>
  <c r="H425" i="10" s="1"/>
  <c r="H9" i="10" a="1"/>
  <c r="H9" i="10" s="1"/>
  <c r="H25" i="10" a="1"/>
  <c r="H25" i="10" s="1"/>
  <c r="H201" i="10" a="1"/>
  <c r="H201" i="10" s="1"/>
  <c r="H17" i="10" a="1"/>
  <c r="H17" i="10" s="1"/>
  <c r="H41" i="10" a="1"/>
  <c r="H41" i="10" s="1"/>
  <c r="H65" i="10" a="1"/>
  <c r="H65" i="10" s="1"/>
  <c r="H129" i="10" a="1"/>
  <c r="H129" i="10" s="1"/>
  <c r="H153" i="10" a="1"/>
  <c r="H153" i="10" s="1"/>
  <c r="H265" i="10" a="1"/>
  <c r="H265" i="10" s="1"/>
  <c r="H289" i="10" a="1"/>
  <c r="H289" i="10" s="1"/>
  <c r="H313" i="10" a="1"/>
  <c r="H313" i="10" s="1"/>
  <c r="H377" i="10" a="1"/>
  <c r="H377" i="10" s="1"/>
  <c r="H401" i="10" a="1"/>
  <c r="H401" i="10" s="1"/>
  <c r="H209" i="10" a="1"/>
  <c r="H209" i="10" s="1"/>
  <c r="H249" i="10" a="1"/>
  <c r="H249" i="10" s="1"/>
  <c r="H105" i="10" a="1"/>
  <c r="H105" i="10" s="1"/>
  <c r="H193" i="10" a="1"/>
  <c r="H193" i="10" s="1"/>
  <c r="H217" i="10" a="1"/>
  <c r="H217" i="10" s="1"/>
  <c r="H241" i="10" a="1"/>
  <c r="H241" i="10" s="1"/>
  <c r="H353" i="10" a="1"/>
  <c r="H353" i="10" s="1"/>
  <c r="H441" i="10" a="1"/>
  <c r="H441" i="10" s="1"/>
  <c r="H345" i="10" a="1"/>
  <c r="H345" i="10" s="1"/>
  <c r="H113" i="10" a="1"/>
  <c r="H113" i="10" s="1"/>
  <c r="H81" i="10" a="1"/>
  <c r="H81" i="10" s="1"/>
  <c r="H169" i="10" a="1"/>
  <c r="H169" i="10" s="1"/>
  <c r="H329" i="10" a="1"/>
  <c r="H329" i="10" s="1"/>
  <c r="H393" i="10" a="1"/>
  <c r="H393" i="10" s="1"/>
  <c r="H417" i="10" a="1"/>
  <c r="H417" i="10" s="1"/>
  <c r="H185" i="10" a="1"/>
  <c r="H185" i="10" s="1"/>
  <c r="H33" i="10" a="1"/>
  <c r="H33" i="10" s="1"/>
  <c r="H57" i="10" a="1"/>
  <c r="H57" i="10" s="1"/>
  <c r="H121" i="10" a="1"/>
  <c r="H121" i="10" s="1"/>
  <c r="H145" i="10" a="1"/>
  <c r="H145" i="10" s="1"/>
  <c r="H233" i="10" a="1"/>
  <c r="H233" i="10" s="1"/>
  <c r="H257" i="10" a="1"/>
  <c r="H257" i="10" s="1"/>
  <c r="H281" i="10" a="1"/>
  <c r="H281" i="10" s="1"/>
  <c r="H305" i="10" a="1"/>
  <c r="H305" i="10" s="1"/>
  <c r="H369" i="10" a="1"/>
  <c r="H369" i="10" s="1"/>
  <c r="H97" i="10" a="1"/>
  <c r="H97" i="10" s="1"/>
  <c r="H361" i="10" a="1"/>
  <c r="H361" i="10" s="1"/>
  <c r="AN14" i="10"/>
  <c r="AN6" i="10"/>
  <c r="AM59" i="10"/>
  <c r="AN27" i="10"/>
  <c r="AN33" i="10"/>
  <c r="AN35" i="10"/>
  <c r="AN41" i="10"/>
  <c r="AN43" i="10"/>
  <c r="AN49" i="10"/>
  <c r="AN51" i="10"/>
  <c r="AN57" i="10"/>
  <c r="AO59" i="10"/>
  <c r="AN19" i="10"/>
  <c r="AN21" i="10"/>
  <c r="AN23" i="10"/>
  <c r="AO66" i="10"/>
  <c r="AN11" i="10"/>
  <c r="AN13" i="10"/>
  <c r="AN15" i="10"/>
  <c r="AN29" i="10"/>
  <c r="AN37" i="10"/>
  <c r="AN45" i="10"/>
  <c r="AN53" i="10"/>
  <c r="AN32" i="10"/>
  <c r="AN40" i="10"/>
  <c r="AN48" i="10"/>
  <c r="G9" i="10" a="1"/>
  <c r="G9" i="10" s="1"/>
  <c r="AM450" i="10"/>
  <c r="AM449" i="10"/>
  <c r="AM448" i="10"/>
  <c r="AM447" i="10"/>
  <c r="AM446" i="10"/>
  <c r="AM445" i="10"/>
  <c r="AM444" i="10"/>
  <c r="AM440" i="10"/>
  <c r="AM436" i="10"/>
  <c r="AM432" i="10"/>
  <c r="AM426" i="10"/>
  <c r="AM429" i="10"/>
  <c r="AM443" i="10"/>
  <c r="AM439" i="10"/>
  <c r="AM435" i="10"/>
  <c r="AM431" i="10"/>
  <c r="AM424" i="10"/>
  <c r="AM442" i="10"/>
  <c r="AM438" i="10"/>
  <c r="AM434" i="10"/>
  <c r="AM430" i="10"/>
  <c r="AM422" i="10"/>
  <c r="AM427" i="10"/>
  <c r="AM423" i="10"/>
  <c r="AM421" i="10"/>
  <c r="AM420" i="10"/>
  <c r="AM428" i="10"/>
  <c r="AM425" i="10"/>
  <c r="AM437" i="10"/>
  <c r="AM441" i="10"/>
  <c r="AM416" i="10"/>
  <c r="AM406" i="10"/>
  <c r="AM413" i="10"/>
  <c r="AM409" i="10"/>
  <c r="AM418" i="10"/>
  <c r="AM433" i="10"/>
  <c r="AM415" i="10"/>
  <c r="AM407" i="10"/>
  <c r="AM410" i="10"/>
  <c r="AM417" i="10"/>
  <c r="AM412" i="10"/>
  <c r="AM414" i="10"/>
  <c r="AM411" i="10"/>
  <c r="AM405" i="10"/>
  <c r="AM401" i="10"/>
  <c r="AM400" i="10"/>
  <c r="AM393" i="10"/>
  <c r="AM389" i="10"/>
  <c r="AM384" i="10"/>
  <c r="AM383" i="10"/>
  <c r="AM382" i="10"/>
  <c r="AM381" i="10"/>
  <c r="AM380" i="10"/>
  <c r="AM379" i="10"/>
  <c r="AM402" i="10"/>
  <c r="AM398" i="10"/>
  <c r="AM397" i="10"/>
  <c r="AM394" i="10"/>
  <c r="AM390" i="10"/>
  <c r="AM408" i="10"/>
  <c r="AM404" i="10"/>
  <c r="AM396" i="10"/>
  <c r="AM391" i="10"/>
  <c r="AM387" i="10"/>
  <c r="AM392" i="10"/>
  <c r="AM386" i="10"/>
  <c r="AM377" i="10"/>
  <c r="AM373" i="10"/>
  <c r="AM370" i="10"/>
  <c r="AM369" i="10"/>
  <c r="AM368" i="10"/>
  <c r="AM367" i="10"/>
  <c r="AM366" i="10"/>
  <c r="AM365" i="10"/>
  <c r="AM364" i="10"/>
  <c r="AM363" i="10"/>
  <c r="AM362" i="10"/>
  <c r="AM403" i="10"/>
  <c r="AM399" i="10"/>
  <c r="AM388" i="10"/>
  <c r="AM376" i="10"/>
  <c r="AM371" i="10"/>
  <c r="AM395" i="10"/>
  <c r="AM374" i="10"/>
  <c r="AM419" i="10"/>
  <c r="AM385" i="10"/>
  <c r="AM372" i="10"/>
  <c r="AM361" i="10"/>
  <c r="AM357" i="10"/>
  <c r="AM375" i="10"/>
  <c r="AM360" i="10"/>
  <c r="AM356" i="10"/>
  <c r="AM353" i="10"/>
  <c r="AM352" i="10"/>
  <c r="AM351" i="10"/>
  <c r="AM350" i="10"/>
  <c r="AM349" i="10"/>
  <c r="AM348" i="10"/>
  <c r="AM347" i="10"/>
  <c r="AM346" i="10"/>
  <c r="AM345" i="10"/>
  <c r="AM344" i="10"/>
  <c r="AM343" i="10"/>
  <c r="AM342" i="10"/>
  <c r="AM341" i="10"/>
  <c r="AM340" i="10"/>
  <c r="AM339" i="10"/>
  <c r="AM338" i="10"/>
  <c r="AM337" i="10"/>
  <c r="AM336" i="10"/>
  <c r="AM335" i="10"/>
  <c r="AM334" i="10"/>
  <c r="AM333" i="10"/>
  <c r="AM332" i="10"/>
  <c r="AM331" i="10"/>
  <c r="AM330" i="10"/>
  <c r="AM329" i="10"/>
  <c r="AM328" i="10"/>
  <c r="AM327" i="10"/>
  <c r="AM326" i="10"/>
  <c r="AM325" i="10"/>
  <c r="AM378" i="10"/>
  <c r="AM354" i="10"/>
  <c r="AM319" i="10"/>
  <c r="AM318" i="10"/>
  <c r="AM317" i="10"/>
  <c r="AM316" i="10"/>
  <c r="AM315" i="10"/>
  <c r="AM314" i="10"/>
  <c r="AM313" i="10"/>
  <c r="AM312" i="10"/>
  <c r="AM311" i="10"/>
  <c r="AM310" i="10"/>
  <c r="AM309" i="10"/>
  <c r="AM308" i="10"/>
  <c r="AM307" i="10"/>
  <c r="AM306" i="10"/>
  <c r="AM305" i="10"/>
  <c r="AM304" i="10"/>
  <c r="AM303" i="10"/>
  <c r="AM302" i="10"/>
  <c r="AM301" i="10"/>
  <c r="AM300" i="10"/>
  <c r="AM299" i="10"/>
  <c r="AM324" i="10"/>
  <c r="AM323" i="10"/>
  <c r="AM322" i="10"/>
  <c r="AM321" i="10"/>
  <c r="AM320" i="10"/>
  <c r="AM358" i="10"/>
  <c r="AM355" i="10"/>
  <c r="AM294" i="10"/>
  <c r="AM281" i="10"/>
  <c r="AM273" i="10"/>
  <c r="AM266" i="10"/>
  <c r="AM295" i="10"/>
  <c r="AM286" i="10"/>
  <c r="AM278" i="10"/>
  <c r="AM261" i="10"/>
  <c r="AM296" i="10"/>
  <c r="AM283" i="10"/>
  <c r="AM275" i="10"/>
  <c r="AM269" i="10"/>
  <c r="AM265" i="10"/>
  <c r="AM297" i="10"/>
  <c r="AM289" i="10"/>
  <c r="AM288" i="10"/>
  <c r="AM280" i="10"/>
  <c r="AM270" i="10"/>
  <c r="AM298" i="10"/>
  <c r="AM290" i="10"/>
  <c r="AM285" i="10"/>
  <c r="AM277" i="10"/>
  <c r="AM271" i="10"/>
  <c r="AM268" i="10"/>
  <c r="AM264" i="10"/>
  <c r="AM262" i="10"/>
  <c r="AM293" i="10"/>
  <c r="AM267" i="10"/>
  <c r="AM254" i="10"/>
  <c r="AM250" i="10"/>
  <c r="AM255" i="10"/>
  <c r="AM245" i="10"/>
  <c r="AM272" i="10"/>
  <c r="AM256" i="10"/>
  <c r="AM253" i="10"/>
  <c r="AM248" i="10"/>
  <c r="AM244" i="10"/>
  <c r="AM240" i="10"/>
  <c r="AM287" i="10"/>
  <c r="AM279" i="10"/>
  <c r="AM257" i="10"/>
  <c r="AM251" i="10"/>
  <c r="AM243" i="10"/>
  <c r="AM263" i="10"/>
  <c r="AM236" i="10"/>
  <c r="AM231" i="10"/>
  <c r="AM227" i="10"/>
  <c r="AM223" i="10"/>
  <c r="AM220" i="10"/>
  <c r="AM216" i="10"/>
  <c r="AM215" i="10"/>
  <c r="AM214" i="10"/>
  <c r="AM213" i="10"/>
  <c r="AM212" i="10"/>
  <c r="AM211" i="10"/>
  <c r="AM210" i="10"/>
  <c r="AM209" i="10"/>
  <c r="AM208" i="10"/>
  <c r="AM207" i="10"/>
  <c r="AM206" i="10"/>
  <c r="AM205" i="10"/>
  <c r="AM204" i="10"/>
  <c r="AM203" i="10"/>
  <c r="AM202" i="10"/>
  <c r="AM201" i="10"/>
  <c r="AM200" i="10"/>
  <c r="AM199" i="10"/>
  <c r="AM198" i="10"/>
  <c r="AM197" i="10"/>
  <c r="AM196" i="10"/>
  <c r="AM195" i="10"/>
  <c r="AM194" i="10"/>
  <c r="AM193" i="10"/>
  <c r="AM192" i="10"/>
  <c r="AM191" i="10"/>
  <c r="AM190" i="10"/>
  <c r="AM189" i="10"/>
  <c r="AM188" i="10"/>
  <c r="AM187" i="10"/>
  <c r="AM186" i="10"/>
  <c r="AM185" i="10"/>
  <c r="AM184" i="10"/>
  <c r="AM183" i="10"/>
  <c r="AM182" i="10"/>
  <c r="AM181" i="10"/>
  <c r="AM180" i="10"/>
  <c r="AM179" i="10"/>
  <c r="AM178" i="10"/>
  <c r="AM177" i="10"/>
  <c r="AM176" i="10"/>
  <c r="AM175" i="10"/>
  <c r="AM174" i="10"/>
  <c r="AM173" i="10"/>
  <c r="AM172" i="10"/>
  <c r="AM171" i="10"/>
  <c r="AM170" i="10"/>
  <c r="AM169" i="10"/>
  <c r="AM168" i="10"/>
  <c r="AM167" i="10"/>
  <c r="AM166" i="10"/>
  <c r="AM165" i="10"/>
  <c r="AM164" i="10"/>
  <c r="AM163" i="10"/>
  <c r="AM162" i="10"/>
  <c r="AM161" i="10"/>
  <c r="AM160" i="10"/>
  <c r="AM159" i="10"/>
  <c r="AM158" i="10"/>
  <c r="AM157" i="10"/>
  <c r="AM291" i="10"/>
  <c r="AM260" i="10"/>
  <c r="AM219" i="10"/>
  <c r="AM246" i="10"/>
  <c r="AM235" i="10"/>
  <c r="AM232" i="10"/>
  <c r="AM228" i="10"/>
  <c r="AM224" i="10"/>
  <c r="AM259" i="10"/>
  <c r="AM252" i="10"/>
  <c r="AM217" i="10"/>
  <c r="AM359" i="10"/>
  <c r="AM284" i="10"/>
  <c r="AM276" i="10"/>
  <c r="AM258" i="10"/>
  <c r="AM238" i="10"/>
  <c r="AM234" i="10"/>
  <c r="AM229" i="10"/>
  <c r="AM225" i="10"/>
  <c r="AM282" i="10"/>
  <c r="AM230" i="10"/>
  <c r="AM237" i="10"/>
  <c r="AM226" i="10"/>
  <c r="AM222" i="10"/>
  <c r="AM274" i="10"/>
  <c r="AM247" i="10"/>
  <c r="AM233" i="10"/>
  <c r="AM155" i="10"/>
  <c r="AM154" i="10"/>
  <c r="AM153" i="10"/>
  <c r="AM152" i="10"/>
  <c r="AM151" i="10"/>
  <c r="AM150" i="10"/>
  <c r="AM149" i="10"/>
  <c r="AM148" i="10"/>
  <c r="AM147" i="10"/>
  <c r="AM146" i="10"/>
  <c r="AM145" i="10"/>
  <c r="AM144" i="10"/>
  <c r="AM143" i="10"/>
  <c r="AM142" i="10"/>
  <c r="AM141" i="10"/>
  <c r="AM140" i="10"/>
  <c r="AM139" i="10"/>
  <c r="AM138" i="10"/>
  <c r="AM137" i="10"/>
  <c r="AM136" i="10"/>
  <c r="AM135" i="10"/>
  <c r="AM134" i="10"/>
  <c r="AM133" i="10"/>
  <c r="AM132" i="10"/>
  <c r="AM131" i="10"/>
  <c r="AM130" i="10"/>
  <c r="AM129" i="10"/>
  <c r="AM242" i="10"/>
  <c r="AM241" i="10"/>
  <c r="AM128" i="10"/>
  <c r="AM127" i="10"/>
  <c r="AM126" i="10"/>
  <c r="AM125" i="10"/>
  <c r="AM124" i="10"/>
  <c r="AM123" i="10"/>
  <c r="AM122" i="10"/>
  <c r="AM121" i="10"/>
  <c r="AM120" i="10"/>
  <c r="AM118" i="10"/>
  <c r="AM116" i="10"/>
  <c r="AM114" i="10"/>
  <c r="AM112" i="10"/>
  <c r="AM110" i="10"/>
  <c r="AM108" i="10"/>
  <c r="AM292" i="10"/>
  <c r="AM249" i="10"/>
  <c r="AM239" i="10"/>
  <c r="AM106" i="10"/>
  <c r="AM105" i="10"/>
  <c r="AM104" i="10"/>
  <c r="AM103" i="10"/>
  <c r="AM102" i="10"/>
  <c r="AM101" i="10"/>
  <c r="AM100" i="10"/>
  <c r="AM99" i="10"/>
  <c r="AM98" i="10"/>
  <c r="AM97" i="10"/>
  <c r="AM96" i="10"/>
  <c r="AM95" i="10"/>
  <c r="AM94" i="10"/>
  <c r="AM93" i="10"/>
  <c r="AM92" i="10"/>
  <c r="AM91" i="10"/>
  <c r="AM90" i="10"/>
  <c r="AM89" i="10"/>
  <c r="AM88" i="10"/>
  <c r="AM87" i="10"/>
  <c r="AM86" i="10"/>
  <c r="AM85" i="10"/>
  <c r="AM84" i="10"/>
  <c r="AM83" i="10"/>
  <c r="AM82" i="10"/>
  <c r="AM81" i="10"/>
  <c r="AM80" i="10"/>
  <c r="AM79" i="10"/>
  <c r="AM78" i="10"/>
  <c r="AM77" i="10"/>
  <c r="AM76" i="10"/>
  <c r="AM75" i="10"/>
  <c r="AM74" i="10"/>
  <c r="AM73" i="10"/>
  <c r="AM72" i="10"/>
  <c r="AM71" i="10"/>
  <c r="AM70" i="10"/>
  <c r="AM69" i="10"/>
  <c r="AM68" i="10"/>
  <c r="AM67" i="10"/>
  <c r="AM66" i="10"/>
  <c r="AM65" i="10"/>
  <c r="AM64" i="10"/>
  <c r="AM63" i="10"/>
  <c r="AM62" i="10"/>
  <c r="AM61" i="10"/>
  <c r="AM60" i="10"/>
  <c r="AM109" i="10"/>
  <c r="AM107" i="10"/>
  <c r="AM218" i="10"/>
  <c r="AM156" i="10"/>
  <c r="AM119" i="10"/>
  <c r="AM117" i="10"/>
  <c r="AM115" i="10"/>
  <c r="AM221" i="10"/>
  <c r="AM113" i="10"/>
  <c r="AM111" i="10"/>
  <c r="AM9" i="10"/>
  <c r="AM17" i="10"/>
  <c r="AM25" i="10"/>
  <c r="AM31" i="10"/>
  <c r="AM39" i="10"/>
  <c r="AM47" i="10"/>
  <c r="AM55" i="10"/>
  <c r="AN450" i="10"/>
  <c r="AN449" i="10"/>
  <c r="AN448" i="10"/>
  <c r="AN447" i="10"/>
  <c r="AN446" i="10"/>
  <c r="AN445" i="10"/>
  <c r="AN444" i="10"/>
  <c r="AN429" i="10"/>
  <c r="AN443" i="10"/>
  <c r="AN439" i="10"/>
  <c r="AN435" i="10"/>
  <c r="AN431" i="10"/>
  <c r="AN424" i="10"/>
  <c r="AN427" i="10"/>
  <c r="AN442" i="10"/>
  <c r="AN438" i="10"/>
  <c r="AN425" i="10"/>
  <c r="AN430" i="10"/>
  <c r="AN428" i="10"/>
  <c r="AN426" i="10"/>
  <c r="AN440" i="10"/>
  <c r="AN437" i="10"/>
  <c r="AN422" i="10"/>
  <c r="AN441" i="10"/>
  <c r="AN436" i="10"/>
  <c r="AN413" i="10"/>
  <c r="AN409" i="10"/>
  <c r="AN418" i="10"/>
  <c r="AN433" i="10"/>
  <c r="AN421" i="10"/>
  <c r="AN415" i="10"/>
  <c r="AN407" i="10"/>
  <c r="AN434" i="10"/>
  <c r="AN410" i="10"/>
  <c r="AN432" i="10"/>
  <c r="AN423" i="10"/>
  <c r="AN417" i="10"/>
  <c r="AN412" i="10"/>
  <c r="AN414" i="10"/>
  <c r="AN408" i="10"/>
  <c r="AN405" i="10"/>
  <c r="AN404" i="10"/>
  <c r="AN403" i="10"/>
  <c r="AN402" i="10"/>
  <c r="AN401" i="10"/>
  <c r="AN400" i="10"/>
  <c r="AN399" i="10"/>
  <c r="AN398" i="10"/>
  <c r="AN411" i="10"/>
  <c r="AN406" i="10"/>
  <c r="AN416" i="10"/>
  <c r="AN397" i="10"/>
  <c r="AN396" i="10"/>
  <c r="AN395" i="10"/>
  <c r="AN394" i="10"/>
  <c r="AN390" i="10"/>
  <c r="AN420" i="10"/>
  <c r="AN391" i="10"/>
  <c r="AN387" i="10"/>
  <c r="AN386" i="10"/>
  <c r="AN388" i="10"/>
  <c r="AN384" i="10"/>
  <c r="AN380" i="10"/>
  <c r="AN376" i="10"/>
  <c r="AN371" i="10"/>
  <c r="AN374" i="10"/>
  <c r="AN381" i="10"/>
  <c r="AN419" i="10"/>
  <c r="AN385" i="10"/>
  <c r="AN372" i="10"/>
  <c r="AN393" i="10"/>
  <c r="AN382" i="10"/>
  <c r="AN378" i="10"/>
  <c r="AN375" i="10"/>
  <c r="AN392" i="10"/>
  <c r="AN389" i="10"/>
  <c r="AN363" i="10"/>
  <c r="AN361" i="10"/>
  <c r="AN357" i="10"/>
  <c r="AN368" i="10"/>
  <c r="AN365" i="10"/>
  <c r="AN360" i="10"/>
  <c r="AN356" i="10"/>
  <c r="AN353" i="10"/>
  <c r="AN352" i="10"/>
  <c r="AN351" i="10"/>
  <c r="AN350" i="10"/>
  <c r="AN349" i="10"/>
  <c r="AN348" i="10"/>
  <c r="AN347" i="10"/>
  <c r="AN346" i="10"/>
  <c r="AN345" i="10"/>
  <c r="AN344" i="10"/>
  <c r="AN343" i="10"/>
  <c r="AN342" i="10"/>
  <c r="AN341" i="10"/>
  <c r="AN340" i="10"/>
  <c r="AN339" i="10"/>
  <c r="AN338" i="10"/>
  <c r="AN337" i="10"/>
  <c r="AN336" i="10"/>
  <c r="AN335" i="10"/>
  <c r="AN334" i="10"/>
  <c r="AN333" i="10"/>
  <c r="AN332" i="10"/>
  <c r="AN331" i="10"/>
  <c r="AN330" i="10"/>
  <c r="AN329" i="10"/>
  <c r="AN328" i="10"/>
  <c r="AN327" i="10"/>
  <c r="AN326" i="10"/>
  <c r="AN325" i="10"/>
  <c r="AN324" i="10"/>
  <c r="AN323" i="10"/>
  <c r="AN322" i="10"/>
  <c r="AN321" i="10"/>
  <c r="AN320" i="10"/>
  <c r="AN370" i="10"/>
  <c r="AN362" i="10"/>
  <c r="AN377" i="10"/>
  <c r="AN367" i="10"/>
  <c r="AN359" i="10"/>
  <c r="AN355" i="10"/>
  <c r="AN366" i="10"/>
  <c r="AN358" i="10"/>
  <c r="AN373" i="10"/>
  <c r="AN364" i="10"/>
  <c r="AN383" i="10"/>
  <c r="AN302" i="10"/>
  <c r="AN319" i="10"/>
  <c r="AN315" i="10"/>
  <c r="AN311" i="10"/>
  <c r="AN307" i="10"/>
  <c r="AN303" i="10"/>
  <c r="AN316" i="10"/>
  <c r="AN312" i="10"/>
  <c r="AN308" i="10"/>
  <c r="AN304" i="10"/>
  <c r="AN300" i="10"/>
  <c r="AN298" i="10"/>
  <c r="AN297" i="10"/>
  <c r="AN296" i="10"/>
  <c r="AN295" i="10"/>
  <c r="AN294" i="10"/>
  <c r="AN293" i="10"/>
  <c r="AN292" i="10"/>
  <c r="AN291" i="10"/>
  <c r="AN290" i="10"/>
  <c r="AN289" i="10"/>
  <c r="AN286" i="10"/>
  <c r="AN278" i="10"/>
  <c r="AN261" i="10"/>
  <c r="AN354" i="10"/>
  <c r="AN313" i="10"/>
  <c r="AN305" i="10"/>
  <c r="AN283" i="10"/>
  <c r="AN275" i="10"/>
  <c r="AN269" i="10"/>
  <c r="AN265" i="10"/>
  <c r="AN379" i="10"/>
  <c r="AN314" i="10"/>
  <c r="AN306" i="10"/>
  <c r="AN288" i="10"/>
  <c r="AN280" i="10"/>
  <c r="AN270" i="10"/>
  <c r="AN285" i="10"/>
  <c r="AN277" i="10"/>
  <c r="AN271" i="10"/>
  <c r="AN268" i="10"/>
  <c r="AN264" i="10"/>
  <c r="AN262" i="10"/>
  <c r="AN369" i="10"/>
  <c r="AN282" i="10"/>
  <c r="AN274" i="10"/>
  <c r="AN272" i="10"/>
  <c r="AN301" i="10"/>
  <c r="AN281" i="10"/>
  <c r="AN273" i="10"/>
  <c r="AN255" i="10"/>
  <c r="AN245" i="10"/>
  <c r="AN318" i="10"/>
  <c r="AN256" i="10"/>
  <c r="AN253" i="10"/>
  <c r="AN248" i="10"/>
  <c r="AN244" i="10"/>
  <c r="AN240" i="10"/>
  <c r="AN287" i="10"/>
  <c r="AN279" i="10"/>
  <c r="AN257" i="10"/>
  <c r="AN251" i="10"/>
  <c r="AN243" i="10"/>
  <c r="AN309" i="10"/>
  <c r="AN258" i="10"/>
  <c r="AN246" i="10"/>
  <c r="AN242" i="10"/>
  <c r="AN238" i="10"/>
  <c r="AN237" i="10"/>
  <c r="AN236" i="10"/>
  <c r="AN235" i="10"/>
  <c r="AN234" i="10"/>
  <c r="AN233" i="10"/>
  <c r="AN232" i="10"/>
  <c r="AN231" i="10"/>
  <c r="AN230" i="10"/>
  <c r="AN229" i="10"/>
  <c r="AN228" i="10"/>
  <c r="AN227" i="10"/>
  <c r="AN226" i="10"/>
  <c r="AN225" i="10"/>
  <c r="AN224" i="10"/>
  <c r="AN223" i="10"/>
  <c r="AN222" i="10"/>
  <c r="AN221" i="10"/>
  <c r="AN220" i="10"/>
  <c r="AN219" i="10"/>
  <c r="AN260" i="10"/>
  <c r="AN267" i="10"/>
  <c r="AN266" i="10"/>
  <c r="AN259" i="10"/>
  <c r="AN252" i="10"/>
  <c r="AN250" i="10"/>
  <c r="AN217" i="10"/>
  <c r="AN310" i="10"/>
  <c r="AN284" i="10"/>
  <c r="AN276" i="10"/>
  <c r="AN241" i="10"/>
  <c r="AN239" i="10"/>
  <c r="AN216" i="10"/>
  <c r="AN212" i="10"/>
  <c r="AN208" i="10"/>
  <c r="AN204" i="10"/>
  <c r="AN200" i="10"/>
  <c r="AN196" i="10"/>
  <c r="AN192" i="10"/>
  <c r="AN188" i="10"/>
  <c r="AN160" i="10"/>
  <c r="AN187" i="10"/>
  <c r="AN183" i="10"/>
  <c r="AN179" i="10"/>
  <c r="AN175" i="10"/>
  <c r="AN171" i="10"/>
  <c r="AN167" i="10"/>
  <c r="AN163" i="10"/>
  <c r="AN159" i="10"/>
  <c r="AN299" i="10"/>
  <c r="AN247" i="10"/>
  <c r="AN213" i="10"/>
  <c r="AN209" i="10"/>
  <c r="AN205" i="10"/>
  <c r="AN201" i="10"/>
  <c r="AN197" i="10"/>
  <c r="AN193" i="10"/>
  <c r="AN189" i="10"/>
  <c r="AN158" i="10"/>
  <c r="AN155" i="10"/>
  <c r="AN154" i="10"/>
  <c r="AN153" i="10"/>
  <c r="AN152" i="10"/>
  <c r="AN151" i="10"/>
  <c r="AN150" i="10"/>
  <c r="AN149" i="10"/>
  <c r="AN148" i="10"/>
  <c r="AN147" i="10"/>
  <c r="AN146" i="10"/>
  <c r="AN145" i="10"/>
  <c r="AN144" i="10"/>
  <c r="AN143" i="10"/>
  <c r="AN142" i="10"/>
  <c r="AN141" i="10"/>
  <c r="AN140" i="10"/>
  <c r="AN139" i="10"/>
  <c r="AN138" i="10"/>
  <c r="AN137" i="10"/>
  <c r="AN136" i="10"/>
  <c r="AN135" i="10"/>
  <c r="AN134" i="10"/>
  <c r="AN133" i="10"/>
  <c r="AN132" i="10"/>
  <c r="AN131" i="10"/>
  <c r="AN130" i="10"/>
  <c r="AN129" i="10"/>
  <c r="AN128" i="10"/>
  <c r="AN127" i="10"/>
  <c r="AN126" i="10"/>
  <c r="AN125" i="10"/>
  <c r="AN124" i="10"/>
  <c r="AN123" i="10"/>
  <c r="AN122" i="10"/>
  <c r="AN121" i="10"/>
  <c r="AN186" i="10"/>
  <c r="AN182" i="10"/>
  <c r="AN178" i="10"/>
  <c r="AN174" i="10"/>
  <c r="AN170" i="10"/>
  <c r="AN166" i="10"/>
  <c r="AN162" i="10"/>
  <c r="AN157" i="10"/>
  <c r="AN249" i="10"/>
  <c r="AN214" i="10"/>
  <c r="AN210" i="10"/>
  <c r="AN206" i="10"/>
  <c r="AN202" i="10"/>
  <c r="AN198" i="10"/>
  <c r="AN194" i="10"/>
  <c r="AN190" i="10"/>
  <c r="AN156" i="10"/>
  <c r="AN199" i="10"/>
  <c r="AN211" i="10"/>
  <c r="AN184" i="10"/>
  <c r="AN181" i="10"/>
  <c r="AN168" i="10"/>
  <c r="AN165" i="10"/>
  <c r="AN191" i="10"/>
  <c r="AN120" i="10"/>
  <c r="AN118" i="10"/>
  <c r="AN116" i="10"/>
  <c r="AN114" i="10"/>
  <c r="AN112" i="10"/>
  <c r="AN110" i="10"/>
  <c r="AN108" i="10"/>
  <c r="AN317" i="10"/>
  <c r="AN203" i="10"/>
  <c r="AN180" i="10"/>
  <c r="AN177" i="10"/>
  <c r="AN164" i="10"/>
  <c r="AN161" i="10"/>
  <c r="AN106" i="10"/>
  <c r="AN105" i="10"/>
  <c r="AN104" i="10"/>
  <c r="AN103" i="10"/>
  <c r="AN102" i="10"/>
  <c r="AN101" i="10"/>
  <c r="AN100" i="10"/>
  <c r="AN99" i="10"/>
  <c r="AN98" i="10"/>
  <c r="AN97" i="10"/>
  <c r="AN96" i="10"/>
  <c r="AN95" i="10"/>
  <c r="AN94" i="10"/>
  <c r="AN93" i="10"/>
  <c r="AN92" i="10"/>
  <c r="AN91" i="10"/>
  <c r="AN90" i="10"/>
  <c r="AN89" i="10"/>
  <c r="AN88" i="10"/>
  <c r="AN87" i="10"/>
  <c r="AN86" i="10"/>
  <c r="AN85" i="10"/>
  <c r="AN84" i="10"/>
  <c r="AN83" i="10"/>
  <c r="AN82" i="10"/>
  <c r="AN81" i="10"/>
  <c r="AN80" i="10"/>
  <c r="AN79" i="10"/>
  <c r="AN78" i="10"/>
  <c r="AN77" i="10"/>
  <c r="AN76" i="10"/>
  <c r="AN75" i="10"/>
  <c r="AN74" i="10"/>
  <c r="AN73" i="10"/>
  <c r="AN72" i="10"/>
  <c r="AN71" i="10"/>
  <c r="AN215" i="10"/>
  <c r="AN107" i="10"/>
  <c r="AN70" i="10"/>
  <c r="AN65" i="10"/>
  <c r="AN254" i="10"/>
  <c r="AN218" i="10"/>
  <c r="AN64" i="10"/>
  <c r="AN263" i="10"/>
  <c r="AN185" i="10"/>
  <c r="AN169" i="10"/>
  <c r="AN119" i="10"/>
  <c r="AN63" i="10"/>
  <c r="AN195" i="10"/>
  <c r="AN176" i="10"/>
  <c r="AN117" i="10"/>
  <c r="AN62" i="10"/>
  <c r="AN207" i="10"/>
  <c r="AN172" i="10"/>
  <c r="AN115" i="10"/>
  <c r="AN61" i="10"/>
  <c r="AN173" i="10"/>
  <c r="AN113" i="10"/>
  <c r="AN111" i="10"/>
  <c r="AN109" i="10"/>
  <c r="AN9" i="10"/>
  <c r="AM12" i="10"/>
  <c r="AN17" i="10"/>
  <c r="AM20" i="10"/>
  <c r="AN25" i="10"/>
  <c r="AM30" i="10"/>
  <c r="AN31" i="10"/>
  <c r="AM38" i="10"/>
  <c r="AN39" i="10"/>
  <c r="AM46" i="10"/>
  <c r="AN47" i="10"/>
  <c r="AM54" i="10"/>
  <c r="AN55" i="10"/>
  <c r="AN60" i="10"/>
  <c r="AM7" i="10"/>
  <c r="AN12" i="10"/>
  <c r="AM15" i="10"/>
  <c r="AN20" i="10"/>
  <c r="AM23" i="10"/>
  <c r="AM29" i="10"/>
  <c r="AN30" i="10"/>
  <c r="AM37" i="10"/>
  <c r="AN38" i="10"/>
  <c r="AM45" i="10"/>
  <c r="AN46" i="10"/>
  <c r="AM53" i="10"/>
  <c r="AN54" i="10"/>
  <c r="AN66" i="10"/>
  <c r="AN68" i="10"/>
  <c r="AM5" i="10"/>
  <c r="AN10" i="10"/>
  <c r="AM13" i="10"/>
  <c r="AN18" i="10"/>
  <c r="AM21" i="10"/>
  <c r="AN26" i="10"/>
  <c r="AM27" i="10"/>
  <c r="AN28" i="10"/>
  <c r="AM35" i="10"/>
  <c r="AN36" i="10"/>
  <c r="AM43" i="10"/>
  <c r="AN44" i="10"/>
  <c r="AM51" i="10"/>
  <c r="AN52" i="10"/>
  <c r="AN59" i="10"/>
  <c r="AM8" i="10"/>
  <c r="AM16" i="10"/>
  <c r="AM24" i="10"/>
  <c r="AM34" i="10"/>
  <c r="AM42" i="10"/>
  <c r="AM50" i="10"/>
  <c r="AM58" i="10"/>
  <c r="AN8" i="10"/>
  <c r="AM11" i="10"/>
  <c r="AN16" i="10"/>
  <c r="AM19" i="10"/>
  <c r="AN24" i="10"/>
  <c r="AM33" i="10"/>
  <c r="AN34" i="10"/>
  <c r="AM41" i="10"/>
  <c r="AN42" i="10"/>
  <c r="AM49" i="10"/>
  <c r="AN50" i="10"/>
  <c r="AM57" i="10"/>
  <c r="AN58" i="10"/>
  <c r="AN67" i="10"/>
  <c r="AM6" i="10"/>
  <c r="AM14" i="10"/>
  <c r="AM22" i="10"/>
  <c r="AM32" i="10"/>
  <c r="AM40" i="10"/>
  <c r="AM48" i="10"/>
  <c r="AM56" i="10"/>
  <c r="AN69" i="10"/>
  <c r="AO208" i="10"/>
  <c r="AO196" i="10"/>
  <c r="AO221" i="10"/>
  <c r="AO450" i="10"/>
  <c r="AO449" i="10"/>
  <c r="AO448" i="10"/>
  <c r="AO447" i="10"/>
  <c r="AO446" i="10"/>
  <c r="AO445" i="10"/>
  <c r="AO444" i="10"/>
  <c r="AO443" i="10"/>
  <c r="AO439" i="10"/>
  <c r="AO435" i="10"/>
  <c r="AO431" i="10"/>
  <c r="AO427" i="10"/>
  <c r="AO421" i="10"/>
  <c r="AO420" i="10"/>
  <c r="AO442" i="10"/>
  <c r="AO438" i="10"/>
  <c r="AO434" i="10"/>
  <c r="AO430" i="10"/>
  <c r="AO422" i="10"/>
  <c r="AO441" i="10"/>
  <c r="AO437" i="10"/>
  <c r="AO433" i="10"/>
  <c r="AO428" i="10"/>
  <c r="AO440" i="10"/>
  <c r="AO429" i="10"/>
  <c r="AO425" i="10"/>
  <c r="AO424" i="10"/>
  <c r="AO419" i="10"/>
  <c r="AO418" i="10"/>
  <c r="AO417" i="10"/>
  <c r="AO416" i="10"/>
  <c r="AO415" i="10"/>
  <c r="AO414" i="10"/>
  <c r="AO413" i="10"/>
  <c r="AO407" i="10"/>
  <c r="AO410" i="10"/>
  <c r="AO432" i="10"/>
  <c r="AO423" i="10"/>
  <c r="AO412" i="10"/>
  <c r="AO426" i="10"/>
  <c r="AO408" i="10"/>
  <c r="AO405" i="10"/>
  <c r="AO404" i="10"/>
  <c r="AO403" i="10"/>
  <c r="AO402" i="10"/>
  <c r="AO401" i="10"/>
  <c r="AO400" i="10"/>
  <c r="AO399" i="10"/>
  <c r="AO398" i="10"/>
  <c r="AO411" i="10"/>
  <c r="AO436" i="10"/>
  <c r="AO397" i="10"/>
  <c r="AO396" i="10"/>
  <c r="AO395" i="10"/>
  <c r="AO394" i="10"/>
  <c r="AO393" i="10"/>
  <c r="AO392" i="10"/>
  <c r="AO391" i="10"/>
  <c r="AO390" i="10"/>
  <c r="AO389" i="10"/>
  <c r="AO388" i="10"/>
  <c r="AO387" i="10"/>
  <c r="AO386" i="10"/>
  <c r="AO385" i="10"/>
  <c r="AO409" i="10"/>
  <c r="AO406" i="10"/>
  <c r="AO384" i="10"/>
  <c r="AO380" i="10"/>
  <c r="AO376" i="10"/>
  <c r="AO371" i="10"/>
  <c r="AO374" i="10"/>
  <c r="AO381" i="10"/>
  <c r="AO372" i="10"/>
  <c r="AO382" i="10"/>
  <c r="AO378" i="10"/>
  <c r="AO375" i="10"/>
  <c r="AO368" i="10"/>
  <c r="AO365" i="10"/>
  <c r="AO360" i="10"/>
  <c r="AO356" i="10"/>
  <c r="AO353" i="10"/>
  <c r="AO352" i="10"/>
  <c r="AO351" i="10"/>
  <c r="AO350" i="10"/>
  <c r="AO349" i="10"/>
  <c r="AO348" i="10"/>
  <c r="AO347" i="10"/>
  <c r="AO346" i="10"/>
  <c r="AO345" i="10"/>
  <c r="AO344" i="10"/>
  <c r="AO343" i="10"/>
  <c r="AO342" i="10"/>
  <c r="AO341" i="10"/>
  <c r="AO340" i="10"/>
  <c r="AO339" i="10"/>
  <c r="AO338" i="10"/>
  <c r="AO337" i="10"/>
  <c r="AO336" i="10"/>
  <c r="AO335" i="10"/>
  <c r="AO334" i="10"/>
  <c r="AO333" i="10"/>
  <c r="AO332" i="10"/>
  <c r="AO331" i="10"/>
  <c r="AO330" i="10"/>
  <c r="AO329" i="10"/>
  <c r="AO328" i="10"/>
  <c r="AO327" i="10"/>
  <c r="AO326" i="10"/>
  <c r="AO325" i="10"/>
  <c r="AO324" i="10"/>
  <c r="AO323" i="10"/>
  <c r="AO322" i="10"/>
  <c r="AO321" i="10"/>
  <c r="AO320" i="10"/>
  <c r="AO370" i="10"/>
  <c r="AO362" i="10"/>
  <c r="AO377" i="10"/>
  <c r="AO367" i="10"/>
  <c r="AO359" i="10"/>
  <c r="AO355" i="10"/>
  <c r="AO364" i="10"/>
  <c r="AO366" i="10"/>
  <c r="AO358" i="10"/>
  <c r="AO373" i="10"/>
  <c r="AO357" i="10"/>
  <c r="AO363" i="10"/>
  <c r="AO319" i="10"/>
  <c r="AO315" i="10"/>
  <c r="AO311" i="10"/>
  <c r="AO307" i="10"/>
  <c r="AO303" i="10"/>
  <c r="AO316" i="10"/>
  <c r="AO312" i="10"/>
  <c r="AO308" i="10"/>
  <c r="AO304" i="10"/>
  <c r="AO300" i="10"/>
  <c r="AO298" i="10"/>
  <c r="AO297" i="10"/>
  <c r="AO296" i="10"/>
  <c r="AO295" i="10"/>
  <c r="AO294" i="10"/>
  <c r="AO293" i="10"/>
  <c r="AO292" i="10"/>
  <c r="AO291" i="10"/>
  <c r="AO290" i="10"/>
  <c r="AO289" i="10"/>
  <c r="AO288" i="10"/>
  <c r="AO287" i="10"/>
  <c r="AO286" i="10"/>
  <c r="AO285" i="10"/>
  <c r="AO284" i="10"/>
  <c r="AO283" i="10"/>
  <c r="AO282" i="10"/>
  <c r="AO281" i="10"/>
  <c r="AO280" i="10"/>
  <c r="AO279" i="10"/>
  <c r="AO278" i="10"/>
  <c r="AO277" i="10"/>
  <c r="AO276" i="10"/>
  <c r="AO275" i="10"/>
  <c r="AO274" i="10"/>
  <c r="AO273" i="10"/>
  <c r="AO317" i="10"/>
  <c r="AO313" i="10"/>
  <c r="AO309" i="10"/>
  <c r="AO305" i="10"/>
  <c r="AO301" i="10"/>
  <c r="AO354" i="10"/>
  <c r="AO269" i="10"/>
  <c r="AO265" i="10"/>
  <c r="AO379" i="10"/>
  <c r="AO314" i="10"/>
  <c r="AO306" i="10"/>
  <c r="AO270" i="10"/>
  <c r="AO271" i="10"/>
  <c r="AO268" i="10"/>
  <c r="AO264" i="10"/>
  <c r="AO262" i="10"/>
  <c r="AO369" i="10"/>
  <c r="AO272" i="10"/>
  <c r="AO383" i="10"/>
  <c r="AO267" i="10"/>
  <c r="AO318" i="10"/>
  <c r="AO256" i="10"/>
  <c r="AO253" i="10"/>
  <c r="AO248" i="10"/>
  <c r="AO244" i="10"/>
  <c r="AO240" i="10"/>
  <c r="AO257" i="10"/>
  <c r="AO251" i="10"/>
  <c r="AO243" i="10"/>
  <c r="AO302" i="10"/>
  <c r="AO258" i="10"/>
  <c r="AO246" i="10"/>
  <c r="AO242" i="10"/>
  <c r="AO238" i="10"/>
  <c r="AO237" i="10"/>
  <c r="AO236" i="10"/>
  <c r="AO235" i="10"/>
  <c r="AO234" i="10"/>
  <c r="AO233" i="10"/>
  <c r="AO266" i="10"/>
  <c r="AO259" i="10"/>
  <c r="AO249" i="10"/>
  <c r="AO241" i="10"/>
  <c r="AO219" i="10"/>
  <c r="AO252" i="10"/>
  <c r="AO250" i="10"/>
  <c r="AO232" i="10"/>
  <c r="AO228" i="10"/>
  <c r="AO224" i="10"/>
  <c r="AO217" i="10"/>
  <c r="AO310" i="10"/>
  <c r="AO239" i="10"/>
  <c r="AO229" i="10"/>
  <c r="AO225" i="10"/>
  <c r="AO255" i="10"/>
  <c r="AO254" i="10"/>
  <c r="AO218" i="10"/>
  <c r="AO226" i="10"/>
  <c r="AO220" i="10"/>
  <c r="AO187" i="10"/>
  <c r="AO183" i="10"/>
  <c r="AO179" i="10"/>
  <c r="AO175" i="10"/>
  <c r="AO171" i="10"/>
  <c r="AO167" i="10"/>
  <c r="AO163" i="10"/>
  <c r="AO159" i="10"/>
  <c r="AO299" i="10"/>
  <c r="AO247" i="10"/>
  <c r="AO222" i="10"/>
  <c r="AO213" i="10"/>
  <c r="AO209" i="10"/>
  <c r="AO205" i="10"/>
  <c r="AO201" i="10"/>
  <c r="AO197" i="10"/>
  <c r="AO193" i="10"/>
  <c r="AO189" i="10"/>
  <c r="AO158" i="10"/>
  <c r="AO155" i="10"/>
  <c r="AO154" i="10"/>
  <c r="AO153" i="10"/>
  <c r="AO152" i="10"/>
  <c r="AO151" i="10"/>
  <c r="AO150" i="10"/>
  <c r="AO149" i="10"/>
  <c r="AO148" i="10"/>
  <c r="AO147" i="10"/>
  <c r="AO146" i="10"/>
  <c r="AO145" i="10"/>
  <c r="AO144" i="10"/>
  <c r="AO143" i="10"/>
  <c r="AO142" i="10"/>
  <c r="AO141" i="10"/>
  <c r="AO140" i="10"/>
  <c r="AO139" i="10"/>
  <c r="AO138" i="10"/>
  <c r="AO137" i="10"/>
  <c r="AO136" i="10"/>
  <c r="AO135" i="10"/>
  <c r="AO134" i="10"/>
  <c r="AO133" i="10"/>
  <c r="AO132" i="10"/>
  <c r="AO131" i="10"/>
  <c r="AO130" i="10"/>
  <c r="AO129" i="10"/>
  <c r="AO128" i="10"/>
  <c r="AO127" i="10"/>
  <c r="AO126" i="10"/>
  <c r="AO125" i="10"/>
  <c r="AO124" i="10"/>
  <c r="AO123" i="10"/>
  <c r="AO122" i="10"/>
  <c r="AO121" i="10"/>
  <c r="AO120" i="10"/>
  <c r="AO119" i="10"/>
  <c r="AO118" i="10"/>
  <c r="AO117" i="10"/>
  <c r="AO116" i="10"/>
  <c r="AO115" i="10"/>
  <c r="AO114" i="10"/>
  <c r="AO113" i="10"/>
  <c r="AO112" i="10"/>
  <c r="AO111" i="10"/>
  <c r="AO110" i="10"/>
  <c r="AO109" i="10"/>
  <c r="AO108" i="10"/>
  <c r="AO107" i="10"/>
  <c r="AO260" i="10"/>
  <c r="AO186" i="10"/>
  <c r="AO182" i="10"/>
  <c r="AO178" i="10"/>
  <c r="AO174" i="10"/>
  <c r="AO170" i="10"/>
  <c r="AO166" i="10"/>
  <c r="AO162" i="10"/>
  <c r="AO157" i="10"/>
  <c r="AO214" i="10"/>
  <c r="AO210" i="10"/>
  <c r="AO206" i="10"/>
  <c r="AO202" i="10"/>
  <c r="AO198" i="10"/>
  <c r="AO194" i="10"/>
  <c r="AO190" i="10"/>
  <c r="AO156" i="10"/>
  <c r="AO185" i="10"/>
  <c r="AO181" i="10"/>
  <c r="AO177" i="10"/>
  <c r="AO173" i="10"/>
  <c r="AO169" i="10"/>
  <c r="AO165" i="10"/>
  <c r="AO161" i="10"/>
  <c r="AO211" i="10"/>
  <c r="AO200" i="10"/>
  <c r="AO184" i="10"/>
  <c r="AO168" i="10"/>
  <c r="AO230" i="10"/>
  <c r="AO212" i="10"/>
  <c r="AO191" i="10"/>
  <c r="AO223" i="10"/>
  <c r="AO203" i="10"/>
  <c r="AO192" i="10"/>
  <c r="AO180" i="10"/>
  <c r="AO164" i="10"/>
  <c r="AO106" i="10"/>
  <c r="AO105" i="10"/>
  <c r="AO104" i="10"/>
  <c r="AO103" i="10"/>
  <c r="AO102" i="10"/>
  <c r="AO101" i="10"/>
  <c r="AO100" i="10"/>
  <c r="AO99" i="10"/>
  <c r="AO98" i="10"/>
  <c r="AO97" i="10"/>
  <c r="AO96" i="10"/>
  <c r="AO95" i="10"/>
  <c r="AO94" i="10"/>
  <c r="AO93" i="10"/>
  <c r="AO92" i="10"/>
  <c r="AO91" i="10"/>
  <c r="AO90" i="10"/>
  <c r="AO89" i="10"/>
  <c r="AO88" i="10"/>
  <c r="AO87" i="10"/>
  <c r="AO86" i="10"/>
  <c r="AO85" i="10"/>
  <c r="AO84" i="10"/>
  <c r="AO83" i="10"/>
  <c r="AO82" i="10"/>
  <c r="AO81" i="10"/>
  <c r="AO80" i="10"/>
  <c r="AO79" i="10"/>
  <c r="AO78" i="10"/>
  <c r="AO77" i="10"/>
  <c r="AO76" i="10"/>
  <c r="AO75" i="10"/>
  <c r="AO74" i="10"/>
  <c r="AO73" i="10"/>
  <c r="AO72" i="10"/>
  <c r="AO71" i="10"/>
  <c r="AO70" i="10"/>
  <c r="AO69" i="10"/>
  <c r="AO231" i="10"/>
  <c r="AO215" i="10"/>
  <c r="AO204" i="10"/>
  <c r="AO227" i="10"/>
  <c r="AO216" i="10"/>
  <c r="AO195" i="10"/>
  <c r="AO176" i="10"/>
  <c r="AO160" i="10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2" i="10"/>
  <c r="AO33" i="10"/>
  <c r="AO34" i="10"/>
  <c r="AO35" i="10"/>
  <c r="AO36" i="10"/>
  <c r="AO37" i="10"/>
  <c r="AO38" i="10"/>
  <c r="AO39" i="10"/>
  <c r="AO40" i="10"/>
  <c r="AO41" i="10"/>
  <c r="AO42" i="10"/>
  <c r="AO43" i="10"/>
  <c r="AO44" i="10"/>
  <c r="AO45" i="10"/>
  <c r="AO46" i="10"/>
  <c r="AO47" i="10"/>
  <c r="AO48" i="10"/>
  <c r="AO49" i="10"/>
  <c r="AO50" i="10"/>
  <c r="AO51" i="10"/>
  <c r="AO52" i="10"/>
  <c r="AO53" i="10"/>
  <c r="AO54" i="10"/>
  <c r="AO55" i="10"/>
  <c r="AO56" i="10"/>
  <c r="AO57" i="10"/>
  <c r="AO58" i="10"/>
  <c r="AO60" i="10"/>
  <c r="AO68" i="10"/>
  <c r="AO188" i="10"/>
  <c r="AO61" i="10"/>
  <c r="AO172" i="10"/>
  <c r="AO207" i="10"/>
  <c r="AO62" i="10"/>
  <c r="AO199" i="10"/>
  <c r="AO245" i="10"/>
  <c r="AO63" i="10"/>
  <c r="AO261" i="10"/>
  <c r="AO263" i="10"/>
  <c r="AO64" i="10"/>
  <c r="AD424" i="10" l="1"/>
  <c r="N414" i="10"/>
  <c r="U414" i="10"/>
  <c r="AH105" i="10"/>
  <c r="W414" i="10"/>
  <c r="AA416" i="10"/>
  <c r="P414" i="10"/>
  <c r="M414" i="10"/>
  <c r="O414" i="10"/>
  <c r="V414" i="10"/>
  <c r="AD417" i="10"/>
  <c r="AJ158" i="10"/>
  <c r="AK137" i="10"/>
  <c r="AK416" i="10"/>
  <c r="AB416" i="10"/>
  <c r="AC416" i="10"/>
  <c r="AK198" i="10"/>
  <c r="AH374" i="10"/>
  <c r="AI70" i="10"/>
  <c r="T34" i="10"/>
  <c r="W42" i="10"/>
  <c r="W50" i="10"/>
  <c r="W66" i="10"/>
  <c r="V98" i="10"/>
  <c r="T122" i="10"/>
  <c r="V130" i="10"/>
  <c r="V154" i="10"/>
  <c r="W209" i="10"/>
  <c r="T250" i="10"/>
  <c r="T265" i="10"/>
  <c r="V282" i="10"/>
  <c r="U298" i="10"/>
  <c r="V306" i="10"/>
  <c r="W329" i="10"/>
  <c r="V353" i="10"/>
  <c r="U362" i="10"/>
  <c r="U378" i="10"/>
  <c r="V386" i="10"/>
  <c r="W393" i="10"/>
  <c r="U426" i="10"/>
  <c r="U433" i="10"/>
  <c r="U436" i="10"/>
  <c r="AJ315" i="10"/>
  <c r="AB251" i="10"/>
  <c r="AB187" i="10"/>
  <c r="AA123" i="10"/>
  <c r="AH57" i="10"/>
  <c r="AJ76" i="10"/>
  <c r="AK265" i="10"/>
  <c r="AA137" i="10"/>
  <c r="AK19" i="10"/>
  <c r="P444" i="10"/>
  <c r="AI306" i="10"/>
  <c r="AK242" i="10"/>
  <c r="AB42" i="10"/>
  <c r="AH371" i="10"/>
  <c r="V444" i="10"/>
  <c r="AB422" i="10"/>
  <c r="AC424" i="10"/>
  <c r="AD420" i="10"/>
  <c r="AB433" i="10"/>
  <c r="AI401" i="10"/>
  <c r="AA428" i="10"/>
  <c r="AK422" i="10"/>
  <c r="AI422" i="10"/>
  <c r="AH342" i="10"/>
  <c r="AH254" i="10"/>
  <c r="AI22" i="10"/>
  <c r="AH355" i="10"/>
  <c r="AK115" i="10"/>
  <c r="AJ54" i="10"/>
  <c r="AK428" i="10"/>
  <c r="W9" i="10"/>
  <c r="T17" i="10"/>
  <c r="T65" i="10"/>
  <c r="V73" i="10"/>
  <c r="W97" i="10"/>
  <c r="T161" i="10"/>
  <c r="V241" i="10"/>
  <c r="V257" i="10"/>
  <c r="V289" i="10"/>
  <c r="U337" i="10"/>
  <c r="T361" i="10"/>
  <c r="U372" i="10"/>
  <c r="V385" i="10"/>
  <c r="W411" i="10"/>
  <c r="W425" i="10"/>
  <c r="W443" i="10"/>
  <c r="AJ241" i="10"/>
  <c r="AI113" i="10"/>
  <c r="AK17" i="10"/>
  <c r="O444" i="10"/>
  <c r="AJ426" i="10"/>
  <c r="AK362" i="10"/>
  <c r="AI298" i="10"/>
  <c r="AJ363" i="10"/>
  <c r="N444" i="10"/>
  <c r="U404" i="10"/>
  <c r="AB424" i="10"/>
  <c r="AC428" i="10"/>
  <c r="AD422" i="10"/>
  <c r="AA422" i="10"/>
  <c r="AC433" i="10"/>
  <c r="AA436" i="10"/>
  <c r="AJ425" i="10"/>
  <c r="AH422" i="10"/>
  <c r="AK118" i="10"/>
  <c r="AK309" i="10"/>
  <c r="AI424" i="10"/>
  <c r="AI441" i="10"/>
  <c r="AJ204" i="10"/>
  <c r="T450" i="10"/>
  <c r="T396" i="10"/>
  <c r="W11" i="10"/>
  <c r="U19" i="10"/>
  <c r="T75" i="10"/>
  <c r="T83" i="10"/>
  <c r="T91" i="10"/>
  <c r="T99" i="10"/>
  <c r="U107" i="10"/>
  <c r="U115" i="10"/>
  <c r="V123" i="10"/>
  <c r="U131" i="10"/>
  <c r="T139" i="10"/>
  <c r="T147" i="10"/>
  <c r="W163" i="10"/>
  <c r="T171" i="10"/>
  <c r="U179" i="10"/>
  <c r="V187" i="10"/>
  <c r="U195" i="10"/>
  <c r="W203" i="10"/>
  <c r="W219" i="10"/>
  <c r="T227" i="10"/>
  <c r="W235" i="10"/>
  <c r="W243" i="10"/>
  <c r="W251" i="10"/>
  <c r="U259" i="10"/>
  <c r="W275" i="10"/>
  <c r="V283" i="10"/>
  <c r="W307" i="10"/>
  <c r="W339" i="10"/>
  <c r="V418" i="10"/>
  <c r="O450" i="10"/>
  <c r="M444" i="10"/>
  <c r="N450" i="10"/>
  <c r="W450" i="10"/>
  <c r="AC436" i="10"/>
  <c r="AD428" i="10"/>
  <c r="AB441" i="10"/>
  <c r="AH326" i="10"/>
  <c r="AI278" i="10"/>
  <c r="AJ238" i="10"/>
  <c r="AH110" i="10"/>
  <c r="AK441" i="10"/>
  <c r="AJ155" i="10"/>
  <c r="AK233" i="10"/>
  <c r="AK105" i="10"/>
  <c r="P404" i="10"/>
  <c r="V364" i="10"/>
  <c r="AK369" i="10"/>
  <c r="U210" i="10"/>
  <c r="AI50" i="10"/>
  <c r="AH403" i="10"/>
  <c r="V404" i="10"/>
  <c r="AB436" i="10"/>
  <c r="AA425" i="10"/>
  <c r="AC441" i="10"/>
  <c r="AD425" i="10"/>
  <c r="AH436" i="10"/>
  <c r="AH406" i="10"/>
  <c r="AH190" i="10"/>
  <c r="AJ47" i="10"/>
  <c r="AI425" i="10"/>
  <c r="AK425" i="10"/>
  <c r="AJ428" i="10"/>
  <c r="AI449" i="10"/>
  <c r="AI355" i="10"/>
  <c r="AK195" i="10"/>
  <c r="AK9" i="10"/>
  <c r="O404" i="10"/>
  <c r="M450" i="10"/>
  <c r="N404" i="10"/>
  <c r="U444" i="10"/>
  <c r="W404" i="10"/>
  <c r="AD436" i="10"/>
  <c r="AA449" i="10"/>
  <c r="AB425" i="10"/>
  <c r="AD449" i="10"/>
  <c r="AH358" i="10"/>
  <c r="AK433" i="10"/>
  <c r="AI428" i="10"/>
  <c r="AH411" i="10"/>
  <c r="AH449" i="10"/>
  <c r="AK114" i="10"/>
  <c r="P450" i="10"/>
  <c r="AK419" i="10"/>
  <c r="AJ235" i="10"/>
  <c r="AH107" i="10"/>
  <c r="AH353" i="10"/>
  <c r="U322" i="10"/>
  <c r="T404" i="10"/>
  <c r="AC420" i="10"/>
  <c r="AB449" i="10"/>
  <c r="AC425" i="10"/>
  <c r="AH417" i="10"/>
  <c r="AA420" i="10"/>
  <c r="AK346" i="10"/>
  <c r="AH310" i="10"/>
  <c r="AK262" i="10"/>
  <c r="AI134" i="10"/>
  <c r="AJ94" i="10"/>
  <c r="AK449" i="10"/>
  <c r="AJ37" i="10"/>
  <c r="AJ436" i="10"/>
  <c r="AK420" i="10"/>
  <c r="AI433" i="10"/>
  <c r="AJ449" i="10"/>
  <c r="U340" i="10"/>
  <c r="U330" i="10"/>
  <c r="T345" i="10"/>
  <c r="U354" i="10"/>
  <c r="U394" i="10"/>
  <c r="V417" i="10"/>
  <c r="AK275" i="10"/>
  <c r="AK289" i="10"/>
  <c r="AH161" i="10"/>
  <c r="AK97" i="10"/>
  <c r="M404" i="10"/>
  <c r="AK378" i="10"/>
  <c r="U450" i="10"/>
  <c r="V450" i="10"/>
  <c r="W444" i="10"/>
  <c r="AB420" i="10"/>
  <c r="AC422" i="10"/>
  <c r="AA433" i="10"/>
  <c r="AD433" i="10"/>
  <c r="AA424" i="10"/>
  <c r="AH390" i="10"/>
  <c r="AI214" i="10"/>
  <c r="AH174" i="10"/>
  <c r="AI436" i="10"/>
  <c r="AI243" i="10"/>
  <c r="AH420" i="10"/>
  <c r="AC322" i="10"/>
  <c r="AH322" i="10"/>
  <c r="AK322" i="10"/>
  <c r="AI322" i="10"/>
  <c r="AJ322" i="10"/>
  <c r="AA139" i="10"/>
  <c r="AH139" i="10"/>
  <c r="AI139" i="10"/>
  <c r="AJ139" i="10"/>
  <c r="AK139" i="10"/>
  <c r="AA210" i="10"/>
  <c r="AH210" i="10"/>
  <c r="AI210" i="10"/>
  <c r="AJ210" i="10"/>
  <c r="AK210" i="10"/>
  <c r="AD311" i="10"/>
  <c r="AH311" i="10"/>
  <c r="AI311" i="10"/>
  <c r="AJ311" i="10"/>
  <c r="AK311" i="10"/>
  <c r="AA444" i="10"/>
  <c r="AK444" i="10"/>
  <c r="AJ444" i="10"/>
  <c r="AH444" i="10"/>
  <c r="AI444" i="10"/>
  <c r="AA442" i="10"/>
  <c r="AK442" i="10"/>
  <c r="AJ442" i="10"/>
  <c r="AH442" i="10"/>
  <c r="AD327" i="10"/>
  <c r="AH327" i="10"/>
  <c r="AI327" i="10"/>
  <c r="AK327" i="10"/>
  <c r="AJ327" i="10"/>
  <c r="AD307" i="10"/>
  <c r="AJ307" i="10"/>
  <c r="AK307" i="10"/>
  <c r="AH307" i="10"/>
  <c r="AI307" i="10"/>
  <c r="AC243" i="10"/>
  <c r="AJ243" i="10"/>
  <c r="AK243" i="10"/>
  <c r="AH243" i="10"/>
  <c r="AC179" i="10"/>
  <c r="AJ179" i="10"/>
  <c r="AK179" i="10"/>
  <c r="AH179" i="10"/>
  <c r="AB115" i="10"/>
  <c r="AH115" i="10"/>
  <c r="AI115" i="10"/>
  <c r="AJ115" i="10"/>
  <c r="AD279" i="10"/>
  <c r="AJ279" i="10"/>
  <c r="AK279" i="10"/>
  <c r="AH279" i="10"/>
  <c r="AI279" i="10"/>
  <c r="AD199" i="10"/>
  <c r="AI199" i="10"/>
  <c r="AH199" i="10"/>
  <c r="AJ199" i="10"/>
  <c r="AK199" i="10"/>
  <c r="AA75" i="10"/>
  <c r="AH75" i="10"/>
  <c r="AI75" i="10"/>
  <c r="AJ75" i="10"/>
  <c r="AK119" i="10"/>
  <c r="AH119" i="10"/>
  <c r="AI119" i="10"/>
  <c r="AJ119" i="10"/>
  <c r="AD283" i="10"/>
  <c r="AI283" i="10"/>
  <c r="AJ283" i="10"/>
  <c r="AK283" i="10"/>
  <c r="AH283" i="10"/>
  <c r="AB219" i="10"/>
  <c r="AJ219" i="10"/>
  <c r="AK219" i="10"/>
  <c r="AI219" i="10"/>
  <c r="AA155" i="10"/>
  <c r="AH155" i="10"/>
  <c r="AI155" i="10"/>
  <c r="AK155" i="10"/>
  <c r="AC91" i="10"/>
  <c r="AH91" i="10"/>
  <c r="AI91" i="10"/>
  <c r="AK91" i="10"/>
  <c r="AI71" i="10"/>
  <c r="AJ71" i="10"/>
  <c r="AK71" i="10"/>
  <c r="AH71" i="10"/>
  <c r="AA49" i="10"/>
  <c r="AH49" i="10"/>
  <c r="AI49" i="10"/>
  <c r="AJ49" i="10"/>
  <c r="AK49" i="10"/>
  <c r="AH43" i="10"/>
  <c r="AI43" i="10"/>
  <c r="AJ43" i="10"/>
  <c r="AK43" i="10"/>
  <c r="AD341" i="10"/>
  <c r="AH341" i="10"/>
  <c r="AJ341" i="10"/>
  <c r="AI341" i="10"/>
  <c r="AK341" i="10"/>
  <c r="AA277" i="10"/>
  <c r="AJ277" i="10"/>
  <c r="AH277" i="10"/>
  <c r="AI277" i="10"/>
  <c r="AK277" i="10"/>
  <c r="AD213" i="10"/>
  <c r="AJ213" i="10"/>
  <c r="AH213" i="10"/>
  <c r="AI213" i="10"/>
  <c r="AK213" i="10"/>
  <c r="AA149" i="10"/>
  <c r="AK149" i="10"/>
  <c r="AJ149" i="10"/>
  <c r="AH149" i="10"/>
  <c r="AI149" i="10"/>
  <c r="AA85" i="10"/>
  <c r="AJ85" i="10"/>
  <c r="AK85" i="10"/>
  <c r="AH85" i="10"/>
  <c r="AA64" i="10"/>
  <c r="AJ64" i="10"/>
  <c r="AK64" i="10"/>
  <c r="AH64" i="10"/>
  <c r="AI64" i="10"/>
  <c r="AA33" i="10"/>
  <c r="AH33" i="10"/>
  <c r="AI33" i="10"/>
  <c r="AJ33" i="10"/>
  <c r="AK33" i="10"/>
  <c r="AA319" i="10"/>
  <c r="AJ319" i="10"/>
  <c r="AH319" i="10"/>
  <c r="AI319" i="10"/>
  <c r="AK319" i="10"/>
  <c r="AB203" i="10"/>
  <c r="AJ203" i="10"/>
  <c r="AK203" i="10"/>
  <c r="AH203" i="10"/>
  <c r="AI203" i="10"/>
  <c r="AA6" i="10"/>
  <c r="AH6" i="10"/>
  <c r="AJ6" i="10"/>
  <c r="AK6" i="10"/>
  <c r="AC266" i="10"/>
  <c r="AH266" i="10"/>
  <c r="AI266" i="10"/>
  <c r="AJ266" i="10"/>
  <c r="AK266" i="10"/>
  <c r="AD347" i="10"/>
  <c r="AK347" i="10"/>
  <c r="AH347" i="10"/>
  <c r="AI347" i="10"/>
  <c r="AJ347" i="10"/>
  <c r="AH364" i="10"/>
  <c r="AI364" i="10"/>
  <c r="AJ364" i="10"/>
  <c r="AK364" i="10"/>
  <c r="AD379" i="10"/>
  <c r="AK379" i="10"/>
  <c r="AJ379" i="10"/>
  <c r="AH379" i="10"/>
  <c r="AI379" i="10"/>
  <c r="AK404" i="10"/>
  <c r="AH404" i="10"/>
  <c r="AI404" i="10"/>
  <c r="AJ404" i="10"/>
  <c r="AD427" i="10"/>
  <c r="AK427" i="10"/>
  <c r="AJ427" i="10"/>
  <c r="AI427" i="10"/>
  <c r="AH427" i="10"/>
  <c r="AD323" i="10"/>
  <c r="AJ323" i="10"/>
  <c r="AK323" i="10"/>
  <c r="AH323" i="10"/>
  <c r="AI323" i="10"/>
  <c r="AC259" i="10"/>
  <c r="AI259" i="10"/>
  <c r="AJ259" i="10"/>
  <c r="AH259" i="10"/>
  <c r="AC195" i="10"/>
  <c r="AJ195" i="10"/>
  <c r="AH195" i="10"/>
  <c r="AI195" i="10"/>
  <c r="AB131" i="10"/>
  <c r="AH131" i="10"/>
  <c r="AJ131" i="10"/>
  <c r="AK131" i="10"/>
  <c r="AA65" i="10"/>
  <c r="AJ65" i="10"/>
  <c r="AK65" i="10"/>
  <c r="AH65" i="10"/>
  <c r="AI65" i="10"/>
  <c r="AA39" i="10"/>
  <c r="AJ39" i="10"/>
  <c r="AK39" i="10"/>
  <c r="AH39" i="10"/>
  <c r="AI39" i="10"/>
  <c r="AD317" i="10"/>
  <c r="AK317" i="10"/>
  <c r="AJ317" i="10"/>
  <c r="AH317" i="10"/>
  <c r="AI317" i="10"/>
  <c r="AB253" i="10"/>
  <c r="AK253" i="10"/>
  <c r="AH253" i="10"/>
  <c r="AI253" i="10"/>
  <c r="AA189" i="10"/>
  <c r="AK189" i="10"/>
  <c r="AH189" i="10"/>
  <c r="AI189" i="10"/>
  <c r="AD125" i="10"/>
  <c r="AH125" i="10"/>
  <c r="AI125" i="10"/>
  <c r="AJ125" i="10"/>
  <c r="AK125" i="10"/>
  <c r="AC59" i="10"/>
  <c r="AI59" i="10"/>
  <c r="AJ59" i="10"/>
  <c r="AK59" i="10"/>
  <c r="AH59" i="10"/>
  <c r="AA21" i="10"/>
  <c r="AI21" i="10"/>
  <c r="AJ21" i="10"/>
  <c r="AK21" i="10"/>
  <c r="AH21" i="10"/>
  <c r="AD303" i="10"/>
  <c r="AJ303" i="10"/>
  <c r="AH303" i="10"/>
  <c r="AI303" i="10"/>
  <c r="AD223" i="10"/>
  <c r="AJ223" i="10"/>
  <c r="AK223" i="10"/>
  <c r="AI223" i="10"/>
  <c r="AH223" i="10"/>
  <c r="AH45" i="10"/>
  <c r="AI45" i="10"/>
  <c r="AJ45" i="10"/>
  <c r="AK45" i="10"/>
  <c r="AH25" i="10"/>
  <c r="AI25" i="10"/>
  <c r="AJ25" i="10"/>
  <c r="AK25" i="10"/>
  <c r="AD337" i="10"/>
  <c r="AJ337" i="10"/>
  <c r="AK337" i="10"/>
  <c r="AH337" i="10"/>
  <c r="AI273" i="10"/>
  <c r="AJ273" i="10"/>
  <c r="AK273" i="10"/>
  <c r="AH273" i="10"/>
  <c r="AK209" i="10"/>
  <c r="AH209" i="10"/>
  <c r="AI209" i="10"/>
  <c r="AJ209" i="10"/>
  <c r="AI145" i="10"/>
  <c r="AJ145" i="10"/>
  <c r="AK145" i="10"/>
  <c r="AH145" i="10"/>
  <c r="AH81" i="10"/>
  <c r="AI81" i="10"/>
  <c r="AJ81" i="10"/>
  <c r="AH9" i="10"/>
  <c r="AI9" i="10"/>
  <c r="AJ9" i="10"/>
  <c r="AJ95" i="10"/>
  <c r="AK95" i="10"/>
  <c r="AH95" i="10"/>
  <c r="AI95" i="10"/>
  <c r="AA360" i="10"/>
  <c r="AK360" i="10"/>
  <c r="AJ360" i="10"/>
  <c r="AH360" i="10"/>
  <c r="AD357" i="10"/>
  <c r="AH357" i="10"/>
  <c r="AI357" i="10"/>
  <c r="AJ357" i="10"/>
  <c r="AK357" i="10"/>
  <c r="AK356" i="10"/>
  <c r="AH356" i="10"/>
  <c r="AI356" i="10"/>
  <c r="AJ356" i="10"/>
  <c r="AD361" i="10"/>
  <c r="AH361" i="10"/>
  <c r="AI361" i="10"/>
  <c r="AJ361" i="10"/>
  <c r="AK361" i="10"/>
  <c r="AK318" i="10"/>
  <c r="AH318" i="10"/>
  <c r="AI318" i="10"/>
  <c r="AJ318" i="10"/>
  <c r="AA62" i="10"/>
  <c r="AH62" i="10"/>
  <c r="AI62" i="10"/>
  <c r="AJ62" i="10"/>
  <c r="AK62" i="10"/>
  <c r="AA394" i="10"/>
  <c r="AI394" i="10"/>
  <c r="AJ394" i="10"/>
  <c r="AK394" i="10"/>
  <c r="AH394" i="10"/>
  <c r="AA330" i="10"/>
  <c r="AH330" i="10"/>
  <c r="AI330" i="10"/>
  <c r="AJ330" i="10"/>
  <c r="AK330" i="10"/>
  <c r="AC202" i="10"/>
  <c r="AH202" i="10"/>
  <c r="AI202" i="10"/>
  <c r="AJ202" i="10"/>
  <c r="AK202" i="10"/>
  <c r="AC138" i="10"/>
  <c r="AH138" i="10"/>
  <c r="AI138" i="10"/>
  <c r="AJ138" i="10"/>
  <c r="AK138" i="10"/>
  <c r="AC74" i="10"/>
  <c r="AH74" i="10"/>
  <c r="AI74" i="10"/>
  <c r="AJ74" i="10"/>
  <c r="AK74" i="10"/>
  <c r="AA160" i="10"/>
  <c r="AI160" i="10"/>
  <c r="AJ160" i="10"/>
  <c r="AK160" i="10"/>
  <c r="AA112" i="10"/>
  <c r="AI112" i="10"/>
  <c r="AJ112" i="10"/>
  <c r="AK112" i="10"/>
  <c r="AH112" i="10"/>
  <c r="AK252" i="10"/>
  <c r="AH252" i="10"/>
  <c r="AI252" i="10"/>
  <c r="AJ252" i="10"/>
  <c r="AK188" i="10"/>
  <c r="AH188" i="10"/>
  <c r="AI188" i="10"/>
  <c r="AJ188" i="10"/>
  <c r="AK124" i="10"/>
  <c r="AH124" i="10"/>
  <c r="AI124" i="10"/>
  <c r="AJ124" i="10"/>
  <c r="AK58" i="10"/>
  <c r="AH58" i="10"/>
  <c r="AI58" i="10"/>
  <c r="AJ58" i="10"/>
  <c r="AB280" i="10"/>
  <c r="AK280" i="10"/>
  <c r="AH280" i="10"/>
  <c r="AI280" i="10"/>
  <c r="AJ280" i="10"/>
  <c r="AI270" i="10"/>
  <c r="AJ270" i="10"/>
  <c r="AK270" i="10"/>
  <c r="AH270" i="10"/>
  <c r="AC206" i="10"/>
  <c r="AI206" i="10"/>
  <c r="AJ206" i="10"/>
  <c r="AK206" i="10"/>
  <c r="AH206" i="10"/>
  <c r="AH142" i="10"/>
  <c r="AI142" i="10"/>
  <c r="AJ142" i="10"/>
  <c r="AK142" i="10"/>
  <c r="AB78" i="10"/>
  <c r="AH78" i="10"/>
  <c r="AI78" i="10"/>
  <c r="AJ78" i="10"/>
  <c r="AK78" i="10"/>
  <c r="AA184" i="10"/>
  <c r="AK184" i="10"/>
  <c r="AH184" i="10"/>
  <c r="AI184" i="10"/>
  <c r="AJ184" i="10"/>
  <c r="AD395" i="10"/>
  <c r="AK395" i="10"/>
  <c r="AH395" i="10"/>
  <c r="AA288" i="10"/>
  <c r="AI288" i="10"/>
  <c r="AJ288" i="10"/>
  <c r="AK288" i="10"/>
  <c r="AK81" i="10"/>
  <c r="AB267" i="10"/>
  <c r="AJ267" i="10"/>
  <c r="AK267" i="10"/>
  <c r="AI267" i="10"/>
  <c r="AH267" i="10"/>
  <c r="AA438" i="10"/>
  <c r="AK438" i="10"/>
  <c r="AJ438" i="10"/>
  <c r="AH438" i="10"/>
  <c r="AI438" i="10"/>
  <c r="AA446" i="10"/>
  <c r="AK446" i="10"/>
  <c r="AJ446" i="10"/>
  <c r="AH446" i="10"/>
  <c r="AI446" i="10"/>
  <c r="AB247" i="10"/>
  <c r="AJ247" i="10"/>
  <c r="AK247" i="10"/>
  <c r="AI247" i="10"/>
  <c r="AH247" i="10"/>
  <c r="AD299" i="10"/>
  <c r="AI299" i="10"/>
  <c r="AJ299" i="10"/>
  <c r="AK299" i="10"/>
  <c r="AH299" i="10"/>
  <c r="AB235" i="10"/>
  <c r="AI235" i="10"/>
  <c r="AK235" i="10"/>
  <c r="AH235" i="10"/>
  <c r="AA171" i="10"/>
  <c r="AK171" i="10"/>
  <c r="AI171" i="10"/>
  <c r="AJ171" i="10"/>
  <c r="AA107" i="10"/>
  <c r="AK107" i="10"/>
  <c r="AI107" i="10"/>
  <c r="AJ107" i="10"/>
  <c r="AJ183" i="10"/>
  <c r="AK183" i="10"/>
  <c r="AI183" i="10"/>
  <c r="AH183" i="10"/>
  <c r="AB48" i="10"/>
  <c r="AK48" i="10"/>
  <c r="AH48" i="10"/>
  <c r="AI48" i="10"/>
  <c r="AJ48" i="10"/>
  <c r="AK303" i="10"/>
  <c r="AJ395" i="10"/>
  <c r="AI442" i="10"/>
  <c r="AI179" i="10"/>
  <c r="AH160" i="10"/>
  <c r="AI6" i="10"/>
  <c r="AJ189" i="10"/>
  <c r="AI85" i="10"/>
  <c r="AH87" i="10"/>
  <c r="AI87" i="10"/>
  <c r="AJ87" i="10"/>
  <c r="AK87" i="10"/>
  <c r="AA339" i="10"/>
  <c r="AJ339" i="10"/>
  <c r="AK339" i="10"/>
  <c r="AI339" i="10"/>
  <c r="AH339" i="10"/>
  <c r="AC275" i="10"/>
  <c r="AI275" i="10"/>
  <c r="AJ275" i="10"/>
  <c r="AH275" i="10"/>
  <c r="AC211" i="10"/>
  <c r="AH211" i="10"/>
  <c r="AI211" i="10"/>
  <c r="AJ211" i="10"/>
  <c r="AK211" i="10"/>
  <c r="AB147" i="10"/>
  <c r="AJ147" i="10"/>
  <c r="AK147" i="10"/>
  <c r="AH147" i="10"/>
  <c r="AI147" i="10"/>
  <c r="AA83" i="10"/>
  <c r="AK83" i="10"/>
  <c r="AI83" i="10"/>
  <c r="AJ83" i="10"/>
  <c r="AH83" i="10"/>
  <c r="AA24" i="10"/>
  <c r="AH24" i="10"/>
  <c r="AI24" i="10"/>
  <c r="AJ24" i="10"/>
  <c r="AK24" i="10"/>
  <c r="AK259" i="10"/>
  <c r="AH219" i="10"/>
  <c r="AI131" i="10"/>
  <c r="AJ91" i="10"/>
  <c r="AA11" i="10"/>
  <c r="AI11" i="10"/>
  <c r="AH11" i="10"/>
  <c r="AJ11" i="10"/>
  <c r="AK75" i="10"/>
  <c r="AA312" i="10"/>
  <c r="AK312" i="10"/>
  <c r="AH312" i="10"/>
  <c r="AI312" i="10"/>
  <c r="AJ312" i="10"/>
  <c r="AA344" i="10"/>
  <c r="AK344" i="10"/>
  <c r="AJ344" i="10"/>
  <c r="AH344" i="10"/>
  <c r="AI344" i="10"/>
  <c r="AD368" i="10"/>
  <c r="AH368" i="10"/>
  <c r="AI368" i="10"/>
  <c r="AJ368" i="10"/>
  <c r="AK368" i="10"/>
  <c r="AK414" i="10"/>
  <c r="AH414" i="10"/>
  <c r="AI414" i="10"/>
  <c r="AJ414" i="10"/>
  <c r="AB60" i="10"/>
  <c r="AI60" i="10"/>
  <c r="AJ60" i="10"/>
  <c r="AK60" i="10"/>
  <c r="AH60" i="10"/>
  <c r="AH171" i="10"/>
  <c r="AA450" i="10"/>
  <c r="AK450" i="10"/>
  <c r="AH450" i="10"/>
  <c r="AI450" i="10"/>
  <c r="AJ450" i="10"/>
  <c r="AA53" i="10"/>
  <c r="AH53" i="10"/>
  <c r="AI53" i="10"/>
  <c r="AK53" i="10"/>
  <c r="AJ53" i="10"/>
  <c r="AD331" i="10"/>
  <c r="AK331" i="10"/>
  <c r="AJ331" i="10"/>
  <c r="AH331" i="10"/>
  <c r="AA52" i="10"/>
  <c r="AH52" i="10"/>
  <c r="AI52" i="10"/>
  <c r="AJ52" i="10"/>
  <c r="AK52" i="10"/>
  <c r="AA328" i="10"/>
  <c r="AK328" i="10"/>
  <c r="AH328" i="10"/>
  <c r="AJ328" i="10"/>
  <c r="AI328" i="10"/>
  <c r="AC352" i="10"/>
  <c r="AH352" i="10"/>
  <c r="AI352" i="10"/>
  <c r="AJ352" i="10"/>
  <c r="AA392" i="10"/>
  <c r="AK392" i="10"/>
  <c r="AJ392" i="10"/>
  <c r="AH392" i="10"/>
  <c r="AI392" i="10"/>
  <c r="AA432" i="10"/>
  <c r="AJ432" i="10"/>
  <c r="AH432" i="10"/>
  <c r="AI432" i="10"/>
  <c r="AK432" i="10"/>
  <c r="AB215" i="10"/>
  <c r="AJ215" i="10"/>
  <c r="AK215" i="10"/>
  <c r="AH215" i="10"/>
  <c r="AI215" i="10"/>
  <c r="AD291" i="10"/>
  <c r="AI291" i="10"/>
  <c r="AJ291" i="10"/>
  <c r="AH291" i="10"/>
  <c r="AC227" i="10"/>
  <c r="AJ227" i="10"/>
  <c r="AK227" i="10"/>
  <c r="AH227" i="10"/>
  <c r="AI227" i="10"/>
  <c r="AB163" i="10"/>
  <c r="AH163" i="10"/>
  <c r="AI163" i="10"/>
  <c r="AJ163" i="10"/>
  <c r="AK163" i="10"/>
  <c r="AB99" i="10"/>
  <c r="AH99" i="10"/>
  <c r="AI99" i="10"/>
  <c r="AJ99" i="10"/>
  <c r="AK99" i="10"/>
  <c r="AA127" i="10"/>
  <c r="AH127" i="10"/>
  <c r="AI127" i="10"/>
  <c r="AJ127" i="10"/>
  <c r="AK127" i="10"/>
  <c r="AI337" i="10"/>
  <c r="AI395" i="10"/>
  <c r="AK291" i="10"/>
  <c r="AK11" i="10"/>
  <c r="AI360" i="10"/>
  <c r="AD301" i="10"/>
  <c r="AJ301" i="10"/>
  <c r="AK301" i="10"/>
  <c r="AI301" i="10"/>
  <c r="AA237" i="10"/>
  <c r="AK237" i="10"/>
  <c r="AI237" i="10"/>
  <c r="AD173" i="10"/>
  <c r="AI173" i="10"/>
  <c r="AK173" i="10"/>
  <c r="AD109" i="10"/>
  <c r="AH109" i="10"/>
  <c r="AI109" i="10"/>
  <c r="AJ109" i="10"/>
  <c r="AK109" i="10"/>
  <c r="AA143" i="10"/>
  <c r="AH143" i="10"/>
  <c r="AI143" i="10"/>
  <c r="AJ143" i="10"/>
  <c r="AH151" i="10"/>
  <c r="AI151" i="10"/>
  <c r="AJ151" i="10"/>
  <c r="AK151" i="10"/>
  <c r="AA72" i="10"/>
  <c r="AK72" i="10"/>
  <c r="AH72" i="10"/>
  <c r="AI72" i="10"/>
  <c r="AB321" i="10"/>
  <c r="AH321" i="10"/>
  <c r="AI321" i="10"/>
  <c r="AK321" i="10"/>
  <c r="AJ257" i="10"/>
  <c r="AK257" i="10"/>
  <c r="AH257" i="10"/>
  <c r="AI257" i="10"/>
  <c r="AJ193" i="10"/>
  <c r="AK193" i="10"/>
  <c r="AH193" i="10"/>
  <c r="AI193" i="10"/>
  <c r="AH129" i="10"/>
  <c r="AI129" i="10"/>
  <c r="AJ129" i="10"/>
  <c r="AK129" i="10"/>
  <c r="AH32" i="10"/>
  <c r="AI32" i="10"/>
  <c r="AK32" i="10"/>
  <c r="AA67" i="10"/>
  <c r="AI67" i="10"/>
  <c r="AJ67" i="10"/>
  <c r="AK67" i="10"/>
  <c r="AD373" i="10"/>
  <c r="AH373" i="10"/>
  <c r="AI373" i="10"/>
  <c r="AK372" i="10"/>
  <c r="AH372" i="10"/>
  <c r="AI372" i="10"/>
  <c r="AJ372" i="10"/>
  <c r="AJ377" i="10"/>
  <c r="AH377" i="10"/>
  <c r="AI377" i="10"/>
  <c r="AK377" i="10"/>
  <c r="AA232" i="10"/>
  <c r="AK232" i="10"/>
  <c r="AH232" i="10"/>
  <c r="AI232" i="10"/>
  <c r="AD410" i="10"/>
  <c r="AI410" i="10"/>
  <c r="AJ410" i="10"/>
  <c r="AK410" i="10"/>
  <c r="AD346" i="10"/>
  <c r="AH346" i="10"/>
  <c r="AI346" i="10"/>
  <c r="AJ346" i="10"/>
  <c r="AB282" i="10"/>
  <c r="AK282" i="10"/>
  <c r="AH282" i="10"/>
  <c r="AI282" i="10"/>
  <c r="AJ282" i="10"/>
  <c r="AA218" i="10"/>
  <c r="AK218" i="10"/>
  <c r="AH218" i="10"/>
  <c r="AI218" i="10"/>
  <c r="AJ218" i="10"/>
  <c r="AA154" i="10"/>
  <c r="AK154" i="10"/>
  <c r="AH154" i="10"/>
  <c r="AI154" i="10"/>
  <c r="AJ154" i="10"/>
  <c r="AA90" i="10"/>
  <c r="AK90" i="10"/>
  <c r="AH90" i="10"/>
  <c r="AI90" i="10"/>
  <c r="AJ90" i="10"/>
  <c r="AB296" i="10"/>
  <c r="AK296" i="10"/>
  <c r="AJ296" i="10"/>
  <c r="AH296" i="10"/>
  <c r="AI296" i="10"/>
  <c r="AC216" i="10"/>
  <c r="AK216" i="10"/>
  <c r="AH216" i="10"/>
  <c r="AI216" i="10"/>
  <c r="AK268" i="10"/>
  <c r="AH268" i="10"/>
  <c r="AI268" i="10"/>
  <c r="AJ268" i="10"/>
  <c r="AK204" i="10"/>
  <c r="AH204" i="10"/>
  <c r="AI204" i="10"/>
  <c r="AK140" i="10"/>
  <c r="AH140" i="10"/>
  <c r="AI140" i="10"/>
  <c r="AJ140" i="10"/>
  <c r="AA96" i="10"/>
  <c r="AI96" i="10"/>
  <c r="AJ96" i="10"/>
  <c r="AK96" i="10"/>
  <c r="AD411" i="10"/>
  <c r="AK411" i="10"/>
  <c r="AJ411" i="10"/>
  <c r="AI411" i="10"/>
  <c r="AD389" i="10"/>
  <c r="AH389" i="10"/>
  <c r="AA398" i="10"/>
  <c r="AK398" i="10"/>
  <c r="AA383" i="10"/>
  <c r="AJ383" i="10"/>
  <c r="AH383" i="10"/>
  <c r="AI383" i="10"/>
  <c r="AB388" i="10"/>
  <c r="AK388" i="10"/>
  <c r="AH388" i="10"/>
  <c r="AI388" i="10"/>
  <c r="AJ388" i="10"/>
  <c r="AJ406" i="10"/>
  <c r="AJ390" i="10"/>
  <c r="AJ374" i="10"/>
  <c r="AJ358" i="10"/>
  <c r="AJ342" i="10"/>
  <c r="AJ326" i="10"/>
  <c r="AJ310" i="10"/>
  <c r="AK294" i="10"/>
  <c r="AK278" i="10"/>
  <c r="AJ254" i="10"/>
  <c r="AI230" i="10"/>
  <c r="AK214" i="10"/>
  <c r="AJ190" i="10"/>
  <c r="AI150" i="10"/>
  <c r="AK134" i="10"/>
  <c r="AH126" i="10"/>
  <c r="AJ110" i="10"/>
  <c r="AI86" i="10"/>
  <c r="AK70" i="10"/>
  <c r="AI42" i="10"/>
  <c r="AK22" i="10"/>
  <c r="AH14" i="10"/>
  <c r="AJ233" i="10"/>
  <c r="AJ105" i="10"/>
  <c r="AI7" i="10"/>
  <c r="AJ419" i="10"/>
  <c r="AI315" i="10"/>
  <c r="AJ251" i="10"/>
  <c r="AJ187" i="10"/>
  <c r="AH123" i="10"/>
  <c r="AK241" i="10"/>
  <c r="AH97" i="10"/>
  <c r="AH416" i="10"/>
  <c r="AI416" i="10"/>
  <c r="AJ416" i="10"/>
  <c r="AJ304" i="10"/>
  <c r="AJ159" i="10"/>
  <c r="AK159" i="10"/>
  <c r="AH159" i="10"/>
  <c r="AI159" i="10"/>
  <c r="AJ297" i="10"/>
  <c r="AK297" i="10"/>
  <c r="AH297" i="10"/>
  <c r="AI297" i="10"/>
  <c r="AH169" i="10"/>
  <c r="AI169" i="10"/>
  <c r="AJ169" i="10"/>
  <c r="AK169" i="10"/>
  <c r="AJ207" i="10"/>
  <c r="AK207" i="10"/>
  <c r="AC365" i="10"/>
  <c r="AJ365" i="10"/>
  <c r="AK365" i="10"/>
  <c r="AI365" i="10"/>
  <c r="AI369" i="10"/>
  <c r="AH369" i="10"/>
  <c r="AJ369" i="10"/>
  <c r="AA120" i="10"/>
  <c r="AK120" i="10"/>
  <c r="AH120" i="10"/>
  <c r="AI120" i="10"/>
  <c r="AA402" i="10"/>
  <c r="AK402" i="10"/>
  <c r="AH402" i="10"/>
  <c r="AI402" i="10"/>
  <c r="AJ402" i="10"/>
  <c r="AA338" i="10"/>
  <c r="AH338" i="10"/>
  <c r="AK338" i="10"/>
  <c r="AI338" i="10"/>
  <c r="AJ338" i="10"/>
  <c r="AB274" i="10"/>
  <c r="AH274" i="10"/>
  <c r="AI274" i="10"/>
  <c r="AJ274" i="10"/>
  <c r="AK274" i="10"/>
  <c r="AA146" i="10"/>
  <c r="AH146" i="10"/>
  <c r="AI146" i="10"/>
  <c r="AJ146" i="10"/>
  <c r="AK146" i="10"/>
  <c r="AA82" i="10"/>
  <c r="AH82" i="10"/>
  <c r="AI82" i="10"/>
  <c r="AJ82" i="10"/>
  <c r="AK82" i="10"/>
  <c r="AA240" i="10"/>
  <c r="AI240" i="10"/>
  <c r="AJ240" i="10"/>
  <c r="AK240" i="10"/>
  <c r="AB176" i="10"/>
  <c r="AI176" i="10"/>
  <c r="AJ176" i="10"/>
  <c r="AK176" i="10"/>
  <c r="AC260" i="10"/>
  <c r="AH260" i="10"/>
  <c r="AI260" i="10"/>
  <c r="AJ260" i="10"/>
  <c r="AK260" i="10"/>
  <c r="AH196" i="10"/>
  <c r="AI196" i="10"/>
  <c r="AJ196" i="10"/>
  <c r="AK196" i="10"/>
  <c r="AH132" i="10"/>
  <c r="AI132" i="10"/>
  <c r="AJ132" i="10"/>
  <c r="AK132" i="10"/>
  <c r="AJ50" i="10"/>
  <c r="AK50" i="10"/>
  <c r="AA256" i="10"/>
  <c r="AI256" i="10"/>
  <c r="AJ256" i="10"/>
  <c r="AK256" i="10"/>
  <c r="AA403" i="10"/>
  <c r="AJ403" i="10"/>
  <c r="AK403" i="10"/>
  <c r="AB381" i="10"/>
  <c r="AK381" i="10"/>
  <c r="AJ381" i="10"/>
  <c r="AH381" i="10"/>
  <c r="AI381" i="10"/>
  <c r="AB380" i="10"/>
  <c r="AH380" i="10"/>
  <c r="AI380" i="10"/>
  <c r="AJ380" i="10"/>
  <c r="AK383" i="10"/>
  <c r="AI419" i="10"/>
  <c r="AI374" i="10"/>
  <c r="AI358" i="10"/>
  <c r="AI326" i="10"/>
  <c r="AJ294" i="10"/>
  <c r="AJ278" i="10"/>
  <c r="AI254" i="10"/>
  <c r="AK238" i="10"/>
  <c r="AH230" i="10"/>
  <c r="AJ214" i="10"/>
  <c r="AI190" i="10"/>
  <c r="AI174" i="10"/>
  <c r="AK158" i="10"/>
  <c r="AH150" i="10"/>
  <c r="AJ134" i="10"/>
  <c r="AI110" i="10"/>
  <c r="AK94" i="10"/>
  <c r="AH86" i="10"/>
  <c r="AJ70" i="10"/>
  <c r="AK47" i="10"/>
  <c r="AH42" i="10"/>
  <c r="AJ22" i="10"/>
  <c r="AI105" i="10"/>
  <c r="AK37" i="10"/>
  <c r="AH7" i="10"/>
  <c r="AK304" i="10"/>
  <c r="AK389" i="10"/>
  <c r="AH315" i="10"/>
  <c r="AH50" i="10"/>
  <c r="AJ232" i="10"/>
  <c r="AK380" i="10"/>
  <c r="AD44" i="10"/>
  <c r="AK44" i="10"/>
  <c r="AH44" i="10"/>
  <c r="AI44" i="10"/>
  <c r="AH175" i="10"/>
  <c r="AI175" i="10"/>
  <c r="AJ175" i="10"/>
  <c r="AK175" i="10"/>
  <c r="AD293" i="10"/>
  <c r="AJ293" i="10"/>
  <c r="AK293" i="10"/>
  <c r="AH293" i="10"/>
  <c r="AI293" i="10"/>
  <c r="AA229" i="10"/>
  <c r="AJ229" i="10"/>
  <c r="AK229" i="10"/>
  <c r="AH229" i="10"/>
  <c r="AI229" i="10"/>
  <c r="AA165" i="10"/>
  <c r="AH165" i="10"/>
  <c r="AI165" i="10"/>
  <c r="AJ165" i="10"/>
  <c r="AK165" i="10"/>
  <c r="AA101" i="10"/>
  <c r="AJ101" i="10"/>
  <c r="AH101" i="10"/>
  <c r="AB56" i="10"/>
  <c r="AH56" i="10"/>
  <c r="AI56" i="10"/>
  <c r="AJ56" i="10"/>
  <c r="AK56" i="10"/>
  <c r="AA28" i="10"/>
  <c r="AI28" i="10"/>
  <c r="AJ28" i="10"/>
  <c r="AK28" i="10"/>
  <c r="AH28" i="10"/>
  <c r="AD343" i="10"/>
  <c r="AH343" i="10"/>
  <c r="AI343" i="10"/>
  <c r="AK343" i="10"/>
  <c r="AJ343" i="10"/>
  <c r="AA79" i="10"/>
  <c r="AH79" i="10"/>
  <c r="AI79" i="10"/>
  <c r="AJ79" i="10"/>
  <c r="AK79" i="10"/>
  <c r="AB263" i="10"/>
  <c r="AH263" i="10"/>
  <c r="AJ263" i="10"/>
  <c r="AK263" i="10"/>
  <c r="AJ313" i="10"/>
  <c r="AH313" i="10"/>
  <c r="AI313" i="10"/>
  <c r="AK313" i="10"/>
  <c r="AJ249" i="10"/>
  <c r="AK249" i="10"/>
  <c r="AH249" i="10"/>
  <c r="AI249" i="10"/>
  <c r="AB185" i="10"/>
  <c r="AJ185" i="10"/>
  <c r="AK185" i="10"/>
  <c r="AI185" i="10"/>
  <c r="AJ121" i="10"/>
  <c r="AK121" i="10"/>
  <c r="AH121" i="10"/>
  <c r="AI121" i="10"/>
  <c r="AA55" i="10"/>
  <c r="AH55" i="10"/>
  <c r="AI55" i="10"/>
  <c r="AJ55" i="10"/>
  <c r="AK55" i="10"/>
  <c r="AH27" i="10"/>
  <c r="AI27" i="10"/>
  <c r="AJ27" i="10"/>
  <c r="AK27" i="10"/>
  <c r="AA31" i="10"/>
  <c r="AI31" i="10"/>
  <c r="AJ31" i="10"/>
  <c r="AK31" i="10"/>
  <c r="AC349" i="10"/>
  <c r="AJ349" i="10"/>
  <c r="AI349" i="10"/>
  <c r="AK349" i="10"/>
  <c r="AH348" i="10"/>
  <c r="AI348" i="10"/>
  <c r="AJ348" i="10"/>
  <c r="AK348" i="10"/>
  <c r="AD353" i="10"/>
  <c r="AJ353" i="10"/>
  <c r="AK353" i="10"/>
  <c r="AI353" i="10"/>
  <c r="AA310" i="10"/>
  <c r="AK310" i="10"/>
  <c r="AC386" i="10"/>
  <c r="AH386" i="10"/>
  <c r="AI386" i="10"/>
  <c r="AK386" i="10"/>
  <c r="AJ386" i="10"/>
  <c r="AA258" i="10"/>
  <c r="AJ258" i="10"/>
  <c r="AK258" i="10"/>
  <c r="AH258" i="10"/>
  <c r="AI258" i="10"/>
  <c r="AA194" i="10"/>
  <c r="AJ194" i="10"/>
  <c r="AK194" i="10"/>
  <c r="AH194" i="10"/>
  <c r="AI194" i="10"/>
  <c r="AA130" i="10"/>
  <c r="AJ130" i="10"/>
  <c r="AK130" i="10"/>
  <c r="AH130" i="10"/>
  <c r="AI130" i="10"/>
  <c r="AD136" i="10"/>
  <c r="AK136" i="10"/>
  <c r="AH136" i="10"/>
  <c r="AI136" i="10"/>
  <c r="AK308" i="10"/>
  <c r="AH308" i="10"/>
  <c r="AI308" i="10"/>
  <c r="AJ308" i="10"/>
  <c r="AH244" i="10"/>
  <c r="AI244" i="10"/>
  <c r="AJ244" i="10"/>
  <c r="AK244" i="10"/>
  <c r="AH180" i="10"/>
  <c r="AI180" i="10"/>
  <c r="AJ180" i="10"/>
  <c r="AK180" i="10"/>
  <c r="AB116" i="10"/>
  <c r="AH116" i="10"/>
  <c r="AI116" i="10"/>
  <c r="AJ116" i="10"/>
  <c r="AK116" i="10"/>
  <c r="AA304" i="10"/>
  <c r="AI304" i="10"/>
  <c r="AC264" i="10"/>
  <c r="AK264" i="10"/>
  <c r="AH264" i="10"/>
  <c r="AI264" i="10"/>
  <c r="AD88" i="10"/>
  <c r="AK88" i="10"/>
  <c r="AH88" i="10"/>
  <c r="AI88" i="10"/>
  <c r="AD387" i="10"/>
  <c r="AJ387" i="10"/>
  <c r="AK387" i="10"/>
  <c r="AD272" i="10"/>
  <c r="AI272" i="10"/>
  <c r="AJ272" i="10"/>
  <c r="AK272" i="10"/>
  <c r="AB408" i="10"/>
  <c r="AK408" i="10"/>
  <c r="AJ408" i="10"/>
  <c r="AH408" i="10"/>
  <c r="AA417" i="10"/>
  <c r="AK417" i="10"/>
  <c r="AK286" i="10"/>
  <c r="AH278" i="10"/>
  <c r="AJ262" i="10"/>
  <c r="AI238" i="10"/>
  <c r="AK222" i="10"/>
  <c r="AH214" i="10"/>
  <c r="AJ198" i="10"/>
  <c r="AI158" i="10"/>
  <c r="AH134" i="10"/>
  <c r="AJ118" i="10"/>
  <c r="AI94" i="10"/>
  <c r="AH70" i="10"/>
  <c r="AI47" i="10"/>
  <c r="AK29" i="10"/>
  <c r="AH22" i="10"/>
  <c r="AJ137" i="10"/>
  <c r="AI37" i="10"/>
  <c r="AI371" i="10"/>
  <c r="AH185" i="10"/>
  <c r="AK113" i="10"/>
  <c r="AJ32" i="10"/>
  <c r="AJ216" i="10"/>
  <c r="AJ88" i="10"/>
  <c r="AI417" i="10"/>
  <c r="AH365" i="10"/>
  <c r="AI325" i="10"/>
  <c r="AH426" i="10"/>
  <c r="AA15" i="10"/>
  <c r="AI15" i="10"/>
  <c r="AJ15" i="10"/>
  <c r="AK15" i="10"/>
  <c r="AB333" i="10"/>
  <c r="AK333" i="10"/>
  <c r="AJ333" i="10"/>
  <c r="AH333" i="10"/>
  <c r="AI333" i="10"/>
  <c r="AD269" i="10"/>
  <c r="AJ269" i="10"/>
  <c r="AK269" i="10"/>
  <c r="AH269" i="10"/>
  <c r="AI269" i="10"/>
  <c r="AA205" i="10"/>
  <c r="AJ205" i="10"/>
  <c r="AK205" i="10"/>
  <c r="AH205" i="10"/>
  <c r="AI205" i="10"/>
  <c r="AA141" i="10"/>
  <c r="AK141" i="10"/>
  <c r="AH141" i="10"/>
  <c r="AI141" i="10"/>
  <c r="AD77" i="10"/>
  <c r="AH77" i="10"/>
  <c r="AI77" i="10"/>
  <c r="AJ77" i="10"/>
  <c r="AK77" i="10"/>
  <c r="AB23" i="10"/>
  <c r="AH23" i="10"/>
  <c r="AI23" i="10"/>
  <c r="AJ23" i="10"/>
  <c r="AK23" i="10"/>
  <c r="AD271" i="10"/>
  <c r="AJ271" i="10"/>
  <c r="AK271" i="10"/>
  <c r="AH271" i="10"/>
  <c r="AH40" i="10"/>
  <c r="AI40" i="10"/>
  <c r="AJ40" i="10"/>
  <c r="AK40" i="10"/>
  <c r="AB20" i="10"/>
  <c r="AK20" i="10"/>
  <c r="AH20" i="10"/>
  <c r="AI20" i="10"/>
  <c r="AJ20" i="10"/>
  <c r="AH103" i="10"/>
  <c r="AI103" i="10"/>
  <c r="AJ103" i="10"/>
  <c r="AK103" i="10"/>
  <c r="AJ225" i="10"/>
  <c r="AK225" i="10"/>
  <c r="AH225" i="10"/>
  <c r="AI225" i="10"/>
  <c r="AH167" i="10"/>
  <c r="AI167" i="10"/>
  <c r="AJ167" i="10"/>
  <c r="AK167" i="10"/>
  <c r="AD375" i="10"/>
  <c r="AH375" i="10"/>
  <c r="AJ375" i="10"/>
  <c r="AI375" i="10"/>
  <c r="AK375" i="10"/>
  <c r="AB340" i="10"/>
  <c r="AK340" i="10"/>
  <c r="AH340" i="10"/>
  <c r="AI340" i="10"/>
  <c r="AJ340" i="10"/>
  <c r="AA378" i="10"/>
  <c r="AI378" i="10"/>
  <c r="AJ378" i="10"/>
  <c r="AA314" i="10"/>
  <c r="AH314" i="10"/>
  <c r="AI314" i="10"/>
  <c r="AJ314" i="10"/>
  <c r="AA250" i="10"/>
  <c r="AH250" i="10"/>
  <c r="AI250" i="10"/>
  <c r="AJ250" i="10"/>
  <c r="AK250" i="10"/>
  <c r="AA186" i="10"/>
  <c r="AH186" i="10"/>
  <c r="AI186" i="10"/>
  <c r="AJ186" i="10"/>
  <c r="AK186" i="10"/>
  <c r="AB122" i="10"/>
  <c r="AH122" i="10"/>
  <c r="AI122" i="10"/>
  <c r="AJ122" i="10"/>
  <c r="AK122" i="10"/>
  <c r="AD54" i="10"/>
  <c r="AI54" i="10"/>
  <c r="AK54" i="10"/>
  <c r="AC300" i="10"/>
  <c r="AH300" i="10"/>
  <c r="AI300" i="10"/>
  <c r="AJ300" i="10"/>
  <c r="AK300" i="10"/>
  <c r="AB236" i="10"/>
  <c r="AK236" i="10"/>
  <c r="AH236" i="10"/>
  <c r="AI236" i="10"/>
  <c r="AJ236" i="10"/>
  <c r="AA172" i="10"/>
  <c r="AI172" i="10"/>
  <c r="AJ172" i="10"/>
  <c r="AK172" i="10"/>
  <c r="AH172" i="10"/>
  <c r="AA108" i="10"/>
  <c r="AK108" i="10"/>
  <c r="AH108" i="10"/>
  <c r="AI108" i="10"/>
  <c r="AJ108" i="10"/>
  <c r="AA224" i="10"/>
  <c r="AI224" i="10"/>
  <c r="AJ224" i="10"/>
  <c r="AK224" i="10"/>
  <c r="AA192" i="10"/>
  <c r="AI192" i="10"/>
  <c r="AJ192" i="10"/>
  <c r="AK192" i="10"/>
  <c r="AD443" i="10"/>
  <c r="AK443" i="10"/>
  <c r="AJ443" i="10"/>
  <c r="AH443" i="10"/>
  <c r="AI443" i="10"/>
  <c r="AC248" i="10"/>
  <c r="AK248" i="10"/>
  <c r="AH248" i="10"/>
  <c r="AI248" i="10"/>
  <c r="AA400" i="10"/>
  <c r="AH400" i="10"/>
  <c r="AI400" i="10"/>
  <c r="AJ400" i="10"/>
  <c r="AA415" i="10"/>
  <c r="AJ415" i="10"/>
  <c r="AI415" i="10"/>
  <c r="AH415" i="10"/>
  <c r="AB409" i="10"/>
  <c r="AH409" i="10"/>
  <c r="AI409" i="10"/>
  <c r="AK314" i="10"/>
  <c r="AJ398" i="10"/>
  <c r="AJ382" i="10"/>
  <c r="AJ366" i="10"/>
  <c r="AJ350" i="10"/>
  <c r="AJ334" i="10"/>
  <c r="AJ302" i="10"/>
  <c r="AJ286" i="10"/>
  <c r="AI262" i="10"/>
  <c r="AK246" i="10"/>
  <c r="AH238" i="10"/>
  <c r="AJ222" i="10"/>
  <c r="AI198" i="10"/>
  <c r="AK182" i="10"/>
  <c r="AK166" i="10"/>
  <c r="AI118" i="10"/>
  <c r="AK102" i="10"/>
  <c r="AJ29" i="10"/>
  <c r="AI137" i="10"/>
  <c r="AK89" i="10"/>
  <c r="AH37" i="10"/>
  <c r="AI207" i="10"/>
  <c r="AK405" i="10"/>
  <c r="AI289" i="10"/>
  <c r="AK63" i="10"/>
  <c r="AH272" i="10"/>
  <c r="AI405" i="10"/>
  <c r="AH378" i="10"/>
  <c r="AD315" i="10"/>
  <c r="AK315" i="10"/>
  <c r="AA57" i="10"/>
  <c r="AI57" i="10"/>
  <c r="AJ57" i="10"/>
  <c r="AK57" i="10"/>
  <c r="AD295" i="10"/>
  <c r="AK295" i="10"/>
  <c r="AH295" i="10"/>
  <c r="AI295" i="10"/>
  <c r="AA16" i="10"/>
  <c r="AH16" i="10"/>
  <c r="AI16" i="10"/>
  <c r="AJ16" i="10"/>
  <c r="AD309" i="10"/>
  <c r="AH309" i="10"/>
  <c r="AI309" i="10"/>
  <c r="AB245" i="10"/>
  <c r="AJ245" i="10"/>
  <c r="AK245" i="10"/>
  <c r="AH245" i="10"/>
  <c r="AB181" i="10"/>
  <c r="AJ181" i="10"/>
  <c r="AK181" i="10"/>
  <c r="AH181" i="10"/>
  <c r="AA117" i="10"/>
  <c r="AK117" i="10"/>
  <c r="AH117" i="10"/>
  <c r="AJ117" i="10"/>
  <c r="AD41" i="10"/>
  <c r="AK41" i="10"/>
  <c r="AH41" i="10"/>
  <c r="AI41" i="10"/>
  <c r="AA13" i="10"/>
  <c r="AH13" i="10"/>
  <c r="AI13" i="10"/>
  <c r="AJ13" i="10"/>
  <c r="AK13" i="10"/>
  <c r="AD255" i="10"/>
  <c r="AJ255" i="10"/>
  <c r="AK255" i="10"/>
  <c r="AI255" i="10"/>
  <c r="AH255" i="10"/>
  <c r="AB191" i="10"/>
  <c r="AJ191" i="10"/>
  <c r="AK191" i="10"/>
  <c r="AH191" i="10"/>
  <c r="AK76" i="10"/>
  <c r="AH76" i="10"/>
  <c r="AI76" i="10"/>
  <c r="AK329" i="10"/>
  <c r="AH329" i="10"/>
  <c r="AI329" i="10"/>
  <c r="AJ329" i="10"/>
  <c r="AB265" i="10"/>
  <c r="AH265" i="10"/>
  <c r="AI265" i="10"/>
  <c r="AJ265" i="10"/>
  <c r="AB201" i="10"/>
  <c r="AK201" i="10"/>
  <c r="AH201" i="10"/>
  <c r="AI201" i="10"/>
  <c r="AJ201" i="10"/>
  <c r="AA73" i="10"/>
  <c r="AH73" i="10"/>
  <c r="AI73" i="10"/>
  <c r="AJ73" i="10"/>
  <c r="AK73" i="10"/>
  <c r="AC19" i="10"/>
  <c r="AH19" i="10"/>
  <c r="AI19" i="10"/>
  <c r="AJ19" i="10"/>
  <c r="AB61" i="10"/>
  <c r="AK61" i="10"/>
  <c r="AH61" i="10"/>
  <c r="AI61" i="10"/>
  <c r="AJ61" i="10"/>
  <c r="AC336" i="10"/>
  <c r="AH336" i="10"/>
  <c r="AI336" i="10"/>
  <c r="AJ336" i="10"/>
  <c r="AC367" i="10"/>
  <c r="AJ367" i="10"/>
  <c r="AH367" i="10"/>
  <c r="AI367" i="10"/>
  <c r="AH332" i="10"/>
  <c r="AI332" i="10"/>
  <c r="AJ332" i="10"/>
  <c r="AK332" i="10"/>
  <c r="AA46" i="10"/>
  <c r="AH46" i="10"/>
  <c r="AI46" i="10"/>
  <c r="AJ46" i="10"/>
  <c r="AK46" i="10"/>
  <c r="AA434" i="10"/>
  <c r="AK434" i="10"/>
  <c r="AA370" i="10"/>
  <c r="AH370" i="10"/>
  <c r="AI370" i="10"/>
  <c r="AJ370" i="10"/>
  <c r="AK370" i="10"/>
  <c r="AD306" i="10"/>
  <c r="AH306" i="10"/>
  <c r="AJ306" i="10"/>
  <c r="AK306" i="10"/>
  <c r="AB242" i="10"/>
  <c r="AH242" i="10"/>
  <c r="AI242" i="10"/>
  <c r="AJ242" i="10"/>
  <c r="AB178" i="10"/>
  <c r="AH178" i="10"/>
  <c r="AI178" i="10"/>
  <c r="AJ178" i="10"/>
  <c r="AK178" i="10"/>
  <c r="AA114" i="10"/>
  <c r="AH114" i="10"/>
  <c r="AI114" i="10"/>
  <c r="AJ114" i="10"/>
  <c r="AB38" i="10"/>
  <c r="AH38" i="10"/>
  <c r="AI38" i="10"/>
  <c r="AJ38" i="10"/>
  <c r="AK38" i="10"/>
  <c r="AA66" i="10"/>
  <c r="AH66" i="10"/>
  <c r="AI66" i="10"/>
  <c r="AJ66" i="10"/>
  <c r="AK66" i="10"/>
  <c r="AH292" i="10"/>
  <c r="AI292" i="10"/>
  <c r="AJ292" i="10"/>
  <c r="AK292" i="10"/>
  <c r="AH228" i="10"/>
  <c r="AI228" i="10"/>
  <c r="AJ228" i="10"/>
  <c r="AK228" i="10"/>
  <c r="AH164" i="10"/>
  <c r="AI164" i="10"/>
  <c r="AJ164" i="10"/>
  <c r="AK164" i="10"/>
  <c r="AH100" i="10"/>
  <c r="AI100" i="10"/>
  <c r="AJ100" i="10"/>
  <c r="AK100" i="10"/>
  <c r="AA200" i="10"/>
  <c r="AK200" i="10"/>
  <c r="AH200" i="10"/>
  <c r="AI200" i="10"/>
  <c r="AA104" i="10"/>
  <c r="AK104" i="10"/>
  <c r="AH104" i="10"/>
  <c r="AI104" i="10"/>
  <c r="AK435" i="10"/>
  <c r="AJ435" i="10"/>
  <c r="AI435" i="10"/>
  <c r="AH435" i="10"/>
  <c r="AD371" i="10"/>
  <c r="AK371" i="10"/>
  <c r="AJ371" i="10"/>
  <c r="AB208" i="10"/>
  <c r="AI208" i="10"/>
  <c r="AJ208" i="10"/>
  <c r="AK208" i="10"/>
  <c r="AA413" i="10"/>
  <c r="AK413" i="10"/>
  <c r="AD407" i="10"/>
  <c r="AH407" i="10"/>
  <c r="AI407" i="10"/>
  <c r="AK407" i="10"/>
  <c r="AJ407" i="10"/>
  <c r="AK412" i="10"/>
  <c r="AH412" i="10"/>
  <c r="AI412" i="10"/>
  <c r="AJ412" i="10"/>
  <c r="AA406" i="10"/>
  <c r="AK406" i="10"/>
  <c r="AA401" i="10"/>
  <c r="AH401" i="10"/>
  <c r="AK401" i="10"/>
  <c r="AJ401" i="10"/>
  <c r="AH207" i="10"/>
  <c r="AI398" i="10"/>
  <c r="AI382" i="10"/>
  <c r="AI366" i="10"/>
  <c r="AI334" i="10"/>
  <c r="AI302" i="10"/>
  <c r="AI286" i="10"/>
  <c r="AH262" i="10"/>
  <c r="AJ246" i="10"/>
  <c r="AI222" i="10"/>
  <c r="AJ182" i="10"/>
  <c r="AJ166" i="10"/>
  <c r="AK126" i="10"/>
  <c r="AJ102" i="10"/>
  <c r="AI29" i="10"/>
  <c r="AK14" i="10"/>
  <c r="AI233" i="10"/>
  <c r="AH137" i="10"/>
  <c r="AJ89" i="10"/>
  <c r="AK325" i="10"/>
  <c r="AK409" i="10"/>
  <c r="AI387" i="10"/>
  <c r="AI251" i="10"/>
  <c r="AI187" i="10"/>
  <c r="AK123" i="10"/>
  <c r="AH289" i="10"/>
  <c r="AK161" i="10"/>
  <c r="AJ63" i="10"/>
  <c r="AJ264" i="10"/>
  <c r="AJ200" i="10"/>
  <c r="AJ136" i="10"/>
  <c r="AJ72" i="10"/>
  <c r="AI271" i="10"/>
  <c r="AJ141" i="10"/>
  <c r="AK101" i="10"/>
  <c r="AB135" i="10"/>
  <c r="AI135" i="10"/>
  <c r="AJ135" i="10"/>
  <c r="AK135" i="10"/>
  <c r="AH135" i="10"/>
  <c r="AD285" i="10"/>
  <c r="AI285" i="10"/>
  <c r="AJ285" i="10"/>
  <c r="AK285" i="10"/>
  <c r="AA221" i="10"/>
  <c r="AI221" i="10"/>
  <c r="AJ221" i="10"/>
  <c r="AK221" i="10"/>
  <c r="AA157" i="10"/>
  <c r="AK157" i="10"/>
  <c r="AH157" i="10"/>
  <c r="AI157" i="10"/>
  <c r="AD93" i="10"/>
  <c r="AI93" i="10"/>
  <c r="AJ93" i="10"/>
  <c r="AK93" i="10"/>
  <c r="AA51" i="10"/>
  <c r="AJ51" i="10"/>
  <c r="AK51" i="10"/>
  <c r="AH51" i="10"/>
  <c r="AI51" i="10"/>
  <c r="AB335" i="10"/>
  <c r="AJ335" i="10"/>
  <c r="AI335" i="10"/>
  <c r="AH335" i="10"/>
  <c r="AA12" i="10"/>
  <c r="AH12" i="10"/>
  <c r="AI12" i="10"/>
  <c r="AJ12" i="10"/>
  <c r="AK12" i="10"/>
  <c r="AD239" i="10"/>
  <c r="AJ239" i="10"/>
  <c r="AK239" i="10"/>
  <c r="AJ305" i="10"/>
  <c r="AH305" i="10"/>
  <c r="AI305" i="10"/>
  <c r="AK305" i="10"/>
  <c r="AH241" i="10"/>
  <c r="AI241" i="10"/>
  <c r="AI177" i="10"/>
  <c r="AJ177" i="10"/>
  <c r="AK177" i="10"/>
  <c r="AH177" i="10"/>
  <c r="AH113" i="10"/>
  <c r="AJ113" i="10"/>
  <c r="AH17" i="10"/>
  <c r="AI17" i="10"/>
  <c r="AJ17" i="10"/>
  <c r="AD287" i="10"/>
  <c r="AJ287" i="10"/>
  <c r="AK287" i="10"/>
  <c r="AD359" i="10"/>
  <c r="AH359" i="10"/>
  <c r="AI359" i="10"/>
  <c r="AJ359" i="10"/>
  <c r="AK324" i="10"/>
  <c r="AJ324" i="10"/>
  <c r="AH324" i="10"/>
  <c r="AI324" i="10"/>
  <c r="AC350" i="10"/>
  <c r="AK350" i="10"/>
  <c r="AA426" i="10"/>
  <c r="AI426" i="10"/>
  <c r="AK426" i="10"/>
  <c r="AB362" i="10"/>
  <c r="AI362" i="10"/>
  <c r="AJ362" i="10"/>
  <c r="AA298" i="10"/>
  <c r="AH298" i="10"/>
  <c r="AJ298" i="10"/>
  <c r="AK298" i="10"/>
  <c r="AA234" i="10"/>
  <c r="AI234" i="10"/>
  <c r="AJ234" i="10"/>
  <c r="AK234" i="10"/>
  <c r="AH234" i="10"/>
  <c r="AA170" i="10"/>
  <c r="AI170" i="10"/>
  <c r="AJ170" i="10"/>
  <c r="AK170" i="10"/>
  <c r="AH170" i="10"/>
  <c r="AA106" i="10"/>
  <c r="AI106" i="10"/>
  <c r="AJ106" i="10"/>
  <c r="AK106" i="10"/>
  <c r="AH106" i="10"/>
  <c r="AA18" i="10"/>
  <c r="AJ18" i="10"/>
  <c r="AK18" i="10"/>
  <c r="AH18" i="10"/>
  <c r="AI18" i="10"/>
  <c r="AC30" i="10"/>
  <c r="AH30" i="10"/>
  <c r="AI30" i="10"/>
  <c r="AJ30" i="10"/>
  <c r="AK30" i="10"/>
  <c r="AK284" i="10"/>
  <c r="AH284" i="10"/>
  <c r="AI284" i="10"/>
  <c r="AJ284" i="10"/>
  <c r="AK220" i="10"/>
  <c r="AH220" i="10"/>
  <c r="AI220" i="10"/>
  <c r="AJ220" i="10"/>
  <c r="AK156" i="10"/>
  <c r="AH156" i="10"/>
  <c r="AI156" i="10"/>
  <c r="AJ156" i="10"/>
  <c r="AK92" i="10"/>
  <c r="AH92" i="10"/>
  <c r="AI92" i="10"/>
  <c r="AJ92" i="10"/>
  <c r="AA152" i="10"/>
  <c r="AK152" i="10"/>
  <c r="AH152" i="10"/>
  <c r="AI152" i="10"/>
  <c r="AC80" i="10"/>
  <c r="AI80" i="10"/>
  <c r="AJ80" i="10"/>
  <c r="AK80" i="10"/>
  <c r="AD174" i="10"/>
  <c r="AK174" i="10"/>
  <c r="AD363" i="10"/>
  <c r="AK363" i="10"/>
  <c r="AD168" i="10"/>
  <c r="AK168" i="10"/>
  <c r="AH168" i="10"/>
  <c r="AI168" i="10"/>
  <c r="AB384" i="10"/>
  <c r="AH384" i="10"/>
  <c r="AI384" i="10"/>
  <c r="AJ384" i="10"/>
  <c r="AD405" i="10"/>
  <c r="AH405" i="10"/>
  <c r="AC399" i="10"/>
  <c r="AJ399" i="10"/>
  <c r="AI399" i="10"/>
  <c r="AH399" i="10"/>
  <c r="AB390" i="10"/>
  <c r="AK390" i="10"/>
  <c r="AB393" i="10"/>
  <c r="AH393" i="10"/>
  <c r="AI393" i="10"/>
  <c r="AJ393" i="10"/>
  <c r="AK393" i="10"/>
  <c r="AH239" i="10"/>
  <c r="AK367" i="10"/>
  <c r="AJ409" i="10"/>
  <c r="AH398" i="10"/>
  <c r="AH366" i="10"/>
  <c r="AH350" i="10"/>
  <c r="AH334" i="10"/>
  <c r="AH302" i="10"/>
  <c r="AI246" i="10"/>
  <c r="AK230" i="10"/>
  <c r="AH222" i="10"/>
  <c r="AI182" i="10"/>
  <c r="AI166" i="10"/>
  <c r="AK150" i="10"/>
  <c r="AJ126" i="10"/>
  <c r="AI102" i="10"/>
  <c r="AK86" i="10"/>
  <c r="AK42" i="10"/>
  <c r="AH29" i="10"/>
  <c r="AJ14" i="10"/>
  <c r="AH233" i="10"/>
  <c r="AI89" i="10"/>
  <c r="AK7" i="10"/>
  <c r="AK373" i="10"/>
  <c r="AI413" i="10"/>
  <c r="AI434" i="10"/>
  <c r="AH387" i="10"/>
  <c r="AI363" i="10"/>
  <c r="AH251" i="10"/>
  <c r="AH187" i="10"/>
  <c r="AJ123" i="10"/>
  <c r="AJ289" i="10"/>
  <c r="AJ161" i="10"/>
  <c r="AJ97" i="10"/>
  <c r="AH63" i="10"/>
  <c r="AH256" i="10"/>
  <c r="AH192" i="10"/>
  <c r="AH67" i="10"/>
  <c r="AJ44" i="10"/>
  <c r="AH349" i="10"/>
  <c r="AH237" i="10"/>
  <c r="AJ173" i="10"/>
  <c r="AI101" i="10"/>
  <c r="AK359" i="10"/>
  <c r="AH410" i="10"/>
  <c r="AK143" i="10"/>
  <c r="AH15" i="10"/>
  <c r="AD325" i="10"/>
  <c r="AH325" i="10"/>
  <c r="AB261" i="10"/>
  <c r="AH261" i="10"/>
  <c r="AJ261" i="10"/>
  <c r="AC197" i="10"/>
  <c r="AH197" i="10"/>
  <c r="AJ197" i="10"/>
  <c r="AA133" i="10"/>
  <c r="AH133" i="10"/>
  <c r="AJ133" i="10"/>
  <c r="AK133" i="10"/>
  <c r="AA69" i="10"/>
  <c r="AH69" i="10"/>
  <c r="AI69" i="10"/>
  <c r="AJ69" i="10"/>
  <c r="AA36" i="10"/>
  <c r="AH36" i="10"/>
  <c r="AI36" i="10"/>
  <c r="AJ36" i="10"/>
  <c r="AK36" i="10"/>
  <c r="AA8" i="10"/>
  <c r="AK8" i="10"/>
  <c r="AH8" i="10"/>
  <c r="AI8" i="10"/>
  <c r="AB231" i="10"/>
  <c r="AI231" i="10"/>
  <c r="AK231" i="10"/>
  <c r="AH231" i="10"/>
  <c r="AJ231" i="10"/>
  <c r="AC68" i="10"/>
  <c r="AH68" i="10"/>
  <c r="AI68" i="10"/>
  <c r="AJ68" i="10"/>
  <c r="AK68" i="10"/>
  <c r="AI35" i="10"/>
  <c r="AJ35" i="10"/>
  <c r="AK35" i="10"/>
  <c r="AH35" i="10"/>
  <c r="AD345" i="10"/>
  <c r="AJ345" i="10"/>
  <c r="AH345" i="10"/>
  <c r="AI345" i="10"/>
  <c r="AK345" i="10"/>
  <c r="AD281" i="10"/>
  <c r="AJ281" i="10"/>
  <c r="AK281" i="10"/>
  <c r="AH281" i="10"/>
  <c r="AI281" i="10"/>
  <c r="AJ217" i="10"/>
  <c r="AK217" i="10"/>
  <c r="AH217" i="10"/>
  <c r="AI217" i="10"/>
  <c r="AA153" i="10"/>
  <c r="AJ153" i="10"/>
  <c r="AK153" i="10"/>
  <c r="AH153" i="10"/>
  <c r="AA111" i="10"/>
  <c r="AH111" i="10"/>
  <c r="AI111" i="10"/>
  <c r="AJ111" i="10"/>
  <c r="AK111" i="10"/>
  <c r="AA320" i="10"/>
  <c r="AH320" i="10"/>
  <c r="AI320" i="10"/>
  <c r="AC351" i="10"/>
  <c r="AJ351" i="10"/>
  <c r="AH351" i="10"/>
  <c r="AI351" i="10"/>
  <c r="AH316" i="10"/>
  <c r="AI316" i="10"/>
  <c r="AJ316" i="10"/>
  <c r="AK316" i="10"/>
  <c r="AC342" i="10"/>
  <c r="AK342" i="10"/>
  <c r="AA26" i="10"/>
  <c r="AH26" i="10"/>
  <c r="AI26" i="10"/>
  <c r="AJ26" i="10"/>
  <c r="AD418" i="10"/>
  <c r="AK418" i="10"/>
  <c r="AH418" i="10"/>
  <c r="AI418" i="10"/>
  <c r="AJ418" i="10"/>
  <c r="AA354" i="10"/>
  <c r="AH354" i="10"/>
  <c r="AK354" i="10"/>
  <c r="AI354" i="10"/>
  <c r="AJ354" i="10"/>
  <c r="AA290" i="10"/>
  <c r="AH290" i="10"/>
  <c r="AI290" i="10"/>
  <c r="AJ290" i="10"/>
  <c r="AK290" i="10"/>
  <c r="AD226" i="10"/>
  <c r="AH226" i="10"/>
  <c r="AI226" i="10"/>
  <c r="AJ226" i="10"/>
  <c r="AK226" i="10"/>
  <c r="AB162" i="10"/>
  <c r="AH162" i="10"/>
  <c r="AI162" i="10"/>
  <c r="AJ162" i="10"/>
  <c r="AK162" i="10"/>
  <c r="AD98" i="10"/>
  <c r="AH98" i="10"/>
  <c r="AI98" i="10"/>
  <c r="AJ98" i="10"/>
  <c r="AK98" i="10"/>
  <c r="AC34" i="10"/>
  <c r="AH34" i="10"/>
  <c r="AI34" i="10"/>
  <c r="AK34" i="10"/>
  <c r="AH10" i="10"/>
  <c r="AI10" i="10"/>
  <c r="AJ10" i="10"/>
  <c r="AK10" i="10"/>
  <c r="AH276" i="10"/>
  <c r="AI276" i="10"/>
  <c r="AJ276" i="10"/>
  <c r="AK276" i="10"/>
  <c r="AA212" i="10"/>
  <c r="AH212" i="10"/>
  <c r="AI212" i="10"/>
  <c r="AJ212" i="10"/>
  <c r="AK212" i="10"/>
  <c r="AH148" i="10"/>
  <c r="AI148" i="10"/>
  <c r="AJ148" i="10"/>
  <c r="AK148" i="10"/>
  <c r="AH84" i="10"/>
  <c r="AI84" i="10"/>
  <c r="AJ84" i="10"/>
  <c r="AK84" i="10"/>
  <c r="AB128" i="10"/>
  <c r="AI128" i="10"/>
  <c r="AJ128" i="10"/>
  <c r="AK128" i="10"/>
  <c r="AA294" i="10"/>
  <c r="AH294" i="10"/>
  <c r="AD355" i="10"/>
  <c r="AK355" i="10"/>
  <c r="AJ355" i="10"/>
  <c r="AA144" i="10"/>
  <c r="AI144" i="10"/>
  <c r="AJ144" i="10"/>
  <c r="AK144" i="10"/>
  <c r="AA376" i="10"/>
  <c r="AJ376" i="10"/>
  <c r="AK376" i="10"/>
  <c r="AH376" i="10"/>
  <c r="AD397" i="10"/>
  <c r="AK397" i="10"/>
  <c r="AH397" i="10"/>
  <c r="AI397" i="10"/>
  <c r="AD391" i="10"/>
  <c r="AH391" i="10"/>
  <c r="AI391" i="10"/>
  <c r="AK391" i="10"/>
  <c r="AJ391" i="10"/>
  <c r="AC382" i="10"/>
  <c r="AK382" i="10"/>
  <c r="AA396" i="10"/>
  <c r="AH396" i="10"/>
  <c r="AI396" i="10"/>
  <c r="AJ396" i="10"/>
  <c r="AK396" i="10"/>
  <c r="AA385" i="10"/>
  <c r="AJ385" i="10"/>
  <c r="AK385" i="10"/>
  <c r="AI263" i="10"/>
  <c r="AJ373" i="10"/>
  <c r="AH413" i="10"/>
  <c r="AH434" i="10"/>
  <c r="AK254" i="10"/>
  <c r="AJ230" i="10"/>
  <c r="AH182" i="10"/>
  <c r="AH166" i="10"/>
  <c r="AJ150" i="10"/>
  <c r="AI126" i="10"/>
  <c r="AK110" i="10"/>
  <c r="AH102" i="10"/>
  <c r="AJ42" i="10"/>
  <c r="AI14" i="10"/>
  <c r="AI287" i="10"/>
  <c r="AK336" i="10"/>
  <c r="AI403" i="10"/>
  <c r="AH363" i="10"/>
  <c r="AK251" i="10"/>
  <c r="AK187" i="10"/>
  <c r="AI123" i="10"/>
  <c r="AH385" i="10"/>
  <c r="AI161" i="10"/>
  <c r="AI97" i="10"/>
  <c r="AJ321" i="10"/>
  <c r="AJ434" i="10"/>
  <c r="AI376" i="10"/>
  <c r="AJ320" i="10"/>
  <c r="AJ248" i="10"/>
  <c r="AJ120" i="10"/>
  <c r="AH31" i="10"/>
  <c r="AI389" i="10"/>
  <c r="AH301" i="10"/>
  <c r="AI261" i="10"/>
  <c r="AJ237" i="10"/>
  <c r="AI197" i="10"/>
  <c r="AH173" i="10"/>
  <c r="AI133" i="10"/>
  <c r="AJ417" i="10"/>
  <c r="AH362" i="10"/>
  <c r="AJ397" i="10"/>
  <c r="AH424" i="10"/>
  <c r="AJ424" i="10"/>
  <c r="AJ420" i="10"/>
  <c r="AI420" i="10"/>
  <c r="AK5" i="10"/>
  <c r="AJ5" i="10"/>
  <c r="AI5" i="10"/>
  <c r="AA388" i="10"/>
  <c r="AD393" i="10"/>
  <c r="AD415" i="10"/>
  <c r="AH5" i="10"/>
  <c r="AD413" i="10"/>
  <c r="AD380" i="10"/>
  <c r="AC413" i="10"/>
  <c r="U392" i="10"/>
  <c r="W392" i="10"/>
  <c r="AB413" i="10"/>
  <c r="O392" i="10"/>
  <c r="P392" i="10"/>
  <c r="AA380" i="10"/>
  <c r="T392" i="10"/>
  <c r="V392" i="10"/>
  <c r="AA408" i="10"/>
  <c r="N392" i="10"/>
  <c r="AD388" i="10"/>
  <c r="AD128" i="10"/>
  <c r="AD398" i="10"/>
  <c r="AD399" i="10"/>
  <c r="AB202" i="10"/>
  <c r="AC54" i="10"/>
  <c r="AD250" i="10"/>
  <c r="AB216" i="10"/>
  <c r="AA384" i="10"/>
  <c r="AD290" i="10"/>
  <c r="AC388" i="10"/>
  <c r="AB259" i="10"/>
  <c r="AD408" i="10"/>
  <c r="AD157" i="10"/>
  <c r="AC75" i="10"/>
  <c r="AC408" i="10"/>
  <c r="AB342" i="10"/>
  <c r="AD406" i="10"/>
  <c r="AC368" i="10"/>
  <c r="AD381" i="10"/>
  <c r="AA381" i="10"/>
  <c r="AB26" i="10"/>
  <c r="AD401" i="10"/>
  <c r="AB399" i="10"/>
  <c r="AC287" i="10"/>
  <c r="AC406" i="10"/>
  <c r="AB227" i="10"/>
  <c r="AD57" i="10"/>
  <c r="AD304" i="10"/>
  <c r="AD224" i="10"/>
  <c r="AC136" i="10"/>
  <c r="AC44" i="10"/>
  <c r="AA296" i="10"/>
  <c r="AD438" i="10"/>
  <c r="AC397" i="10"/>
  <c r="AB309" i="10"/>
  <c r="AD141" i="10"/>
  <c r="AD13" i="10"/>
  <c r="AC346" i="10"/>
  <c r="AB146" i="10"/>
  <c r="AC415" i="10"/>
  <c r="AA399" i="10"/>
  <c r="AC271" i="10"/>
  <c r="AA345" i="10"/>
  <c r="AA333" i="10"/>
  <c r="AB211" i="10"/>
  <c r="AB397" i="10"/>
  <c r="AC285" i="10"/>
  <c r="AC125" i="10"/>
  <c r="AB386" i="10"/>
  <c r="AA282" i="10"/>
  <c r="AC98" i="10"/>
  <c r="AD56" i="10"/>
  <c r="AB415" i="10"/>
  <c r="AB367" i="10"/>
  <c r="AC255" i="10"/>
  <c r="AD396" i="10"/>
  <c r="AA393" i="10"/>
  <c r="AB195" i="10"/>
  <c r="AA34" i="10"/>
  <c r="AA280" i="10"/>
  <c r="AD392" i="10"/>
  <c r="AD192" i="10"/>
  <c r="AA397" i="10"/>
  <c r="AB365" i="10"/>
  <c r="AC269" i="10"/>
  <c r="AC93" i="10"/>
  <c r="AC126" i="10"/>
  <c r="AD186" i="10"/>
  <c r="AA138" i="10"/>
  <c r="AD278" i="10"/>
  <c r="AA391" i="10"/>
  <c r="AC239" i="10"/>
  <c r="AB396" i="10"/>
  <c r="AC331" i="10"/>
  <c r="AA163" i="10"/>
  <c r="AB96" i="10"/>
  <c r="AB14" i="10"/>
  <c r="AB336" i="10"/>
  <c r="AC272" i="10"/>
  <c r="AC88" i="10"/>
  <c r="AA245" i="10"/>
  <c r="AC77" i="10"/>
  <c r="AC226" i="10"/>
  <c r="AB28" i="10"/>
  <c r="AB223" i="10"/>
  <c r="AA315" i="10"/>
  <c r="AA147" i="10"/>
  <c r="AB19" i="10"/>
  <c r="AC168" i="10"/>
  <c r="AA176" i="10"/>
  <c r="AD229" i="10"/>
  <c r="AD59" i="10"/>
  <c r="AB350" i="10"/>
  <c r="AB322" i="10"/>
  <c r="AB266" i="10"/>
  <c r="AB82" i="10"/>
  <c r="AA254" i="10"/>
  <c r="AA407" i="10"/>
  <c r="AC383" i="10"/>
  <c r="AB351" i="10"/>
  <c r="AD333" i="10"/>
  <c r="AB291" i="10"/>
  <c r="AA131" i="10"/>
  <c r="AB352" i="10"/>
  <c r="AB248" i="10"/>
  <c r="AA80" i="10"/>
  <c r="AC381" i="10"/>
  <c r="AB349" i="10"/>
  <c r="AC213" i="10"/>
  <c r="AC41" i="10"/>
  <c r="AD319" i="10"/>
  <c r="AC410" i="10"/>
  <c r="AA362" i="10"/>
  <c r="AD122" i="10"/>
  <c r="AA23" i="10"/>
  <c r="AB383" i="10"/>
  <c r="AD390" i="10"/>
  <c r="AB275" i="10"/>
  <c r="AA99" i="10"/>
  <c r="AD312" i="10"/>
  <c r="AB6" i="10"/>
  <c r="AB197" i="10"/>
  <c r="AC238" i="10"/>
  <c r="AD383" i="10"/>
  <c r="AD162" i="10"/>
  <c r="AA74" i="10"/>
  <c r="AA335" i="10"/>
  <c r="AB172" i="10"/>
  <c r="AA390" i="10"/>
  <c r="AA409" i="10"/>
  <c r="AB193" i="10"/>
  <c r="AC193" i="10"/>
  <c r="AD193" i="10"/>
  <c r="AA193" i="10"/>
  <c r="AA324" i="10"/>
  <c r="AB324" i="10"/>
  <c r="AC324" i="10"/>
  <c r="AA100" i="10"/>
  <c r="AC100" i="10"/>
  <c r="AD100" i="10"/>
  <c r="AB100" i="10"/>
  <c r="AB243" i="10"/>
  <c r="AB179" i="10"/>
  <c r="AA115" i="10"/>
  <c r="AD370" i="10"/>
  <c r="AC306" i="10"/>
  <c r="AD321" i="10"/>
  <c r="AC119" i="10"/>
  <c r="AD119" i="10"/>
  <c r="AA119" i="10"/>
  <c r="AC71" i="10"/>
  <c r="AD71" i="10"/>
  <c r="AA71" i="10"/>
  <c r="AB43" i="10"/>
  <c r="AD43" i="10"/>
  <c r="AC43" i="10"/>
  <c r="AB159" i="10"/>
  <c r="AC159" i="10"/>
  <c r="AD159" i="10"/>
  <c r="AA297" i="10"/>
  <c r="AB297" i="10"/>
  <c r="AC233" i="10"/>
  <c r="AD233" i="10"/>
  <c r="AA233" i="10"/>
  <c r="AB169" i="10"/>
  <c r="AD169" i="10"/>
  <c r="AC169" i="10"/>
  <c r="AB105" i="10"/>
  <c r="AC105" i="10"/>
  <c r="AD105" i="10"/>
  <c r="AC7" i="10"/>
  <c r="AD7" i="10"/>
  <c r="AA7" i="10"/>
  <c r="AC207" i="10"/>
  <c r="AD207" i="10"/>
  <c r="AA207" i="10"/>
  <c r="AB316" i="10"/>
  <c r="AC316" i="10"/>
  <c r="AD316" i="10"/>
  <c r="AD30" i="10"/>
  <c r="AB30" i="10"/>
  <c r="AA30" i="10"/>
  <c r="AA284" i="10"/>
  <c r="AB284" i="10"/>
  <c r="AC284" i="10"/>
  <c r="AD284" i="10"/>
  <c r="AA220" i="10"/>
  <c r="AB220" i="10"/>
  <c r="AC220" i="10"/>
  <c r="AB156" i="10"/>
  <c r="AA156" i="10"/>
  <c r="AC156" i="10"/>
  <c r="AB92" i="10"/>
  <c r="AA92" i="10"/>
  <c r="AC92" i="10"/>
  <c r="AB426" i="10"/>
  <c r="AB442" i="10"/>
  <c r="AC411" i="10"/>
  <c r="AC395" i="10"/>
  <c r="AC379" i="10"/>
  <c r="AC363" i="10"/>
  <c r="AC347" i="10"/>
  <c r="AB331" i="10"/>
  <c r="AC307" i="10"/>
  <c r="AA291" i="10"/>
  <c r="AA267" i="10"/>
  <c r="AA251" i="10"/>
  <c r="AA235" i="10"/>
  <c r="AA219" i="10"/>
  <c r="AA203" i="10"/>
  <c r="AA187" i="10"/>
  <c r="AD171" i="10"/>
  <c r="AC155" i="10"/>
  <c r="AC139" i="10"/>
  <c r="AC123" i="10"/>
  <c r="AC107" i="10"/>
  <c r="AD91" i="10"/>
  <c r="AD75" i="10"/>
  <c r="AC57" i="10"/>
  <c r="AD39" i="10"/>
  <c r="AB24" i="10"/>
  <c r="AA19" i="10"/>
  <c r="AA352" i="10"/>
  <c r="AC304" i="10"/>
  <c r="AA248" i="10"/>
  <c r="AC224" i="10"/>
  <c r="AB168" i="10"/>
  <c r="AB144" i="10"/>
  <c r="AA136" i="10"/>
  <c r="AD96" i="10"/>
  <c r="AA54" i="10"/>
  <c r="AA44" i="10"/>
  <c r="AD14" i="10"/>
  <c r="AC426" i="10"/>
  <c r="AC442" i="10"/>
  <c r="AC392" i="10"/>
  <c r="AB368" i="10"/>
  <c r="AD344" i="10"/>
  <c r="AA336" i="10"/>
  <c r="AC312" i="10"/>
  <c r="AB272" i="10"/>
  <c r="AD232" i="10"/>
  <c r="AA216" i="10"/>
  <c r="AC192" i="10"/>
  <c r="AC128" i="10"/>
  <c r="AB104" i="10"/>
  <c r="AA88" i="10"/>
  <c r="AC67" i="10"/>
  <c r="AD6" i="10"/>
  <c r="AD349" i="10"/>
  <c r="AA365" i="10"/>
  <c r="AA349" i="10"/>
  <c r="AC325" i="10"/>
  <c r="AA309" i="10"/>
  <c r="AB285" i="10"/>
  <c r="AB269" i="10"/>
  <c r="AD245" i="10"/>
  <c r="AC229" i="10"/>
  <c r="AB213" i="10"/>
  <c r="AD189" i="10"/>
  <c r="AC173" i="10"/>
  <c r="AC157" i="10"/>
  <c r="AC141" i="10"/>
  <c r="AB125" i="10"/>
  <c r="AB109" i="10"/>
  <c r="AB93" i="10"/>
  <c r="AB77" i="10"/>
  <c r="AB59" i="10"/>
  <c r="AB41" i="10"/>
  <c r="AD26" i="10"/>
  <c r="AC13" i="10"/>
  <c r="AA350" i="10"/>
  <c r="AB238" i="10"/>
  <c r="AB150" i="10"/>
  <c r="AA126" i="10"/>
  <c r="AD42" i="10"/>
  <c r="AD335" i="10"/>
  <c r="AB410" i="10"/>
  <c r="AD394" i="10"/>
  <c r="AA386" i="10"/>
  <c r="AC370" i="10"/>
  <c r="AB346" i="10"/>
  <c r="AD330" i="10"/>
  <c r="AA322" i="10"/>
  <c r="AB306" i="10"/>
  <c r="AC290" i="10"/>
  <c r="AA266" i="10"/>
  <c r="AC250" i="10"/>
  <c r="AB226" i="10"/>
  <c r="AD210" i="10"/>
  <c r="AA202" i="10"/>
  <c r="AC186" i="10"/>
  <c r="AC162" i="10"/>
  <c r="AD146" i="10"/>
  <c r="AC122" i="10"/>
  <c r="AB106" i="10"/>
  <c r="AA98" i="10"/>
  <c r="AD82" i="10"/>
  <c r="AC56" i="10"/>
  <c r="AD38" i="10"/>
  <c r="AD28" i="10"/>
  <c r="AB18" i="10"/>
  <c r="AA342" i="10"/>
  <c r="AC278" i="10"/>
  <c r="AB182" i="10"/>
  <c r="AB22" i="10"/>
  <c r="AA367" i="10"/>
  <c r="AA351" i="10"/>
  <c r="AC327" i="10"/>
  <c r="AA311" i="10"/>
  <c r="AB287" i="10"/>
  <c r="AB271" i="10"/>
  <c r="AB255" i="10"/>
  <c r="AB239" i="10"/>
  <c r="AA215" i="10"/>
  <c r="AB199" i="10"/>
  <c r="AB71" i="10"/>
  <c r="AC151" i="10"/>
  <c r="AD151" i="10"/>
  <c r="AA151" i="10"/>
  <c r="AB257" i="10"/>
  <c r="AC257" i="10"/>
  <c r="AD257" i="10"/>
  <c r="AA257" i="10"/>
  <c r="AD67" i="10"/>
  <c r="AD364" i="10"/>
  <c r="AA364" i="10"/>
  <c r="AB364" i="10"/>
  <c r="AC404" i="10"/>
  <c r="AD404" i="10"/>
  <c r="AA404" i="10"/>
  <c r="AD45" i="10"/>
  <c r="AA45" i="10"/>
  <c r="AB45" i="10"/>
  <c r="AA25" i="10"/>
  <c r="AB25" i="10"/>
  <c r="AC25" i="10"/>
  <c r="AD25" i="10"/>
  <c r="AA337" i="10"/>
  <c r="AB337" i="10"/>
  <c r="AC337" i="10"/>
  <c r="AB273" i="10"/>
  <c r="AC273" i="10"/>
  <c r="AD273" i="10"/>
  <c r="AA273" i="10"/>
  <c r="AB209" i="10"/>
  <c r="AC209" i="10"/>
  <c r="AD209" i="10"/>
  <c r="AA209" i="10"/>
  <c r="AA145" i="10"/>
  <c r="AB145" i="10"/>
  <c r="AC145" i="10"/>
  <c r="AD145" i="10"/>
  <c r="AA81" i="10"/>
  <c r="AB81" i="10"/>
  <c r="AC81" i="10"/>
  <c r="AD81" i="10"/>
  <c r="AB9" i="10"/>
  <c r="AC9" i="10"/>
  <c r="AD9" i="10"/>
  <c r="AB95" i="10"/>
  <c r="AC95" i="10"/>
  <c r="AD95" i="10"/>
  <c r="AA372" i="10"/>
  <c r="AB372" i="10"/>
  <c r="AC372" i="10"/>
  <c r="AD372" i="10"/>
  <c r="AB377" i="10"/>
  <c r="AC377" i="10"/>
  <c r="AD10" i="10"/>
  <c r="AB10" i="10"/>
  <c r="AA10" i="10"/>
  <c r="AC276" i="10"/>
  <c r="AD276" i="10"/>
  <c r="AA276" i="10"/>
  <c r="AB212" i="10"/>
  <c r="AC212" i="10"/>
  <c r="AD212" i="10"/>
  <c r="AA148" i="10"/>
  <c r="AC148" i="10"/>
  <c r="AD148" i="10"/>
  <c r="AB148" i="10"/>
  <c r="AA84" i="10"/>
  <c r="AC84" i="10"/>
  <c r="AD84" i="10"/>
  <c r="AB84" i="10"/>
  <c r="AD166" i="10"/>
  <c r="AB166" i="10"/>
  <c r="AA166" i="10"/>
  <c r="AA102" i="10"/>
  <c r="AD102" i="10"/>
  <c r="AB102" i="10"/>
  <c r="AC419" i="10"/>
  <c r="AD419" i="10"/>
  <c r="AD377" i="10"/>
  <c r="AB444" i="10"/>
  <c r="AB411" i="10"/>
  <c r="AB395" i="10"/>
  <c r="AB379" i="10"/>
  <c r="AB363" i="10"/>
  <c r="AB347" i="10"/>
  <c r="AA331" i="10"/>
  <c r="AB307" i="10"/>
  <c r="AC283" i="10"/>
  <c r="AD267" i="10"/>
  <c r="AD251" i="10"/>
  <c r="AD235" i="10"/>
  <c r="AD219" i="10"/>
  <c r="AD203" i="10"/>
  <c r="AD187" i="10"/>
  <c r="AC171" i="10"/>
  <c r="AD155" i="10"/>
  <c r="AD139" i="10"/>
  <c r="AD123" i="10"/>
  <c r="AD107" i="10"/>
  <c r="AB91" i="10"/>
  <c r="AB75" i="10"/>
  <c r="AB57" i="10"/>
  <c r="AC39" i="10"/>
  <c r="AD24" i="10"/>
  <c r="AC11" i="10"/>
  <c r="AB304" i="10"/>
  <c r="AB264" i="10"/>
  <c r="AB224" i="10"/>
  <c r="AD184" i="10"/>
  <c r="AA168" i="10"/>
  <c r="AD144" i="10"/>
  <c r="AC96" i="10"/>
  <c r="AB62" i="10"/>
  <c r="AD49" i="10"/>
  <c r="AC14" i="10"/>
  <c r="AC444" i="10"/>
  <c r="AB392" i="10"/>
  <c r="AD376" i="10"/>
  <c r="AA368" i="10"/>
  <c r="AC344" i="10"/>
  <c r="AB312" i="10"/>
  <c r="AD288" i="10"/>
  <c r="AA272" i="10"/>
  <c r="AC232" i="10"/>
  <c r="AB192" i="10"/>
  <c r="AB160" i="10"/>
  <c r="AA128" i="10"/>
  <c r="AD104" i="10"/>
  <c r="AB67" i="10"/>
  <c r="AC6" i="10"/>
  <c r="AD365" i="10"/>
  <c r="AD426" i="10"/>
  <c r="AD442" i="10"/>
  <c r="AB325" i="10"/>
  <c r="AC301" i="10"/>
  <c r="AA285" i="10"/>
  <c r="AD261" i="10"/>
  <c r="AC245" i="10"/>
  <c r="AB229" i="10"/>
  <c r="AD205" i="10"/>
  <c r="AC189" i="10"/>
  <c r="AB173" i="10"/>
  <c r="AB157" i="10"/>
  <c r="AB141" i="10"/>
  <c r="AA125" i="10"/>
  <c r="AA109" i="10"/>
  <c r="AA93" i="10"/>
  <c r="AA77" i="10"/>
  <c r="AA59" i="10"/>
  <c r="AA41" i="10"/>
  <c r="AC26" i="10"/>
  <c r="AB13" i="10"/>
  <c r="AC398" i="10"/>
  <c r="AA238" i="10"/>
  <c r="AD150" i="10"/>
  <c r="AC42" i="10"/>
  <c r="AD351" i="10"/>
  <c r="AA410" i="10"/>
  <c r="AC394" i="10"/>
  <c r="AB370" i="10"/>
  <c r="AD354" i="10"/>
  <c r="AA346" i="10"/>
  <c r="AC330" i="10"/>
  <c r="AA306" i="10"/>
  <c r="AB290" i="10"/>
  <c r="AA274" i="10"/>
  <c r="AB250" i="10"/>
  <c r="AD234" i="10"/>
  <c r="AA226" i="10"/>
  <c r="AC210" i="10"/>
  <c r="AB186" i="10"/>
  <c r="AD170" i="10"/>
  <c r="AA162" i="10"/>
  <c r="AC146" i="10"/>
  <c r="AB130" i="10"/>
  <c r="AA122" i="10"/>
  <c r="AD106" i="10"/>
  <c r="AC82" i="10"/>
  <c r="AB64" i="10"/>
  <c r="AA56" i="10"/>
  <c r="AC38" i="10"/>
  <c r="AC28" i="10"/>
  <c r="AD18" i="10"/>
  <c r="AB278" i="10"/>
  <c r="AD230" i="10"/>
  <c r="AA182" i="10"/>
  <c r="AD22" i="10"/>
  <c r="AB327" i="10"/>
  <c r="AC303" i="10"/>
  <c r="AA287" i="10"/>
  <c r="AA263" i="10"/>
  <c r="AA247" i="10"/>
  <c r="AA231" i="10"/>
  <c r="AD215" i="10"/>
  <c r="AC10" i="10"/>
  <c r="AC443" i="10"/>
  <c r="AA377" i="10"/>
  <c r="AC297" i="10"/>
  <c r="AA169" i="10"/>
  <c r="AA63" i="10"/>
  <c r="AB63" i="10"/>
  <c r="AC63" i="10"/>
  <c r="AD63" i="10"/>
  <c r="AD358" i="10"/>
  <c r="AA358" i="10"/>
  <c r="AB358" i="10"/>
  <c r="AA164" i="10"/>
  <c r="AC164" i="10"/>
  <c r="AD164" i="10"/>
  <c r="AB164" i="10"/>
  <c r="AD118" i="10"/>
  <c r="AB118" i="10"/>
  <c r="AA118" i="10"/>
  <c r="AA208" i="10"/>
  <c r="AD183" i="10"/>
  <c r="AA183" i="10"/>
  <c r="AB183" i="10"/>
  <c r="AC48" i="10"/>
  <c r="AD48" i="10"/>
  <c r="AB175" i="10"/>
  <c r="AC175" i="10"/>
  <c r="AD175" i="10"/>
  <c r="AB79" i="10"/>
  <c r="AC79" i="10"/>
  <c r="AD79" i="10"/>
  <c r="AA313" i="10"/>
  <c r="AB313" i="10"/>
  <c r="AC313" i="10"/>
  <c r="AC249" i="10"/>
  <c r="AD249" i="10"/>
  <c r="AA249" i="10"/>
  <c r="AC185" i="10"/>
  <c r="AD185" i="10"/>
  <c r="AA185" i="10"/>
  <c r="AB121" i="10"/>
  <c r="AC121" i="10"/>
  <c r="AD121" i="10"/>
  <c r="AB55" i="10"/>
  <c r="AC55" i="10"/>
  <c r="AD55" i="10"/>
  <c r="AD27" i="10"/>
  <c r="AC27" i="10"/>
  <c r="AA27" i="10"/>
  <c r="AA369" i="10"/>
  <c r="AB369" i="10"/>
  <c r="AC369" i="10"/>
  <c r="AA334" i="10"/>
  <c r="AB334" i="10"/>
  <c r="AC334" i="10"/>
  <c r="AD334" i="10"/>
  <c r="AB268" i="10"/>
  <c r="AC268" i="10"/>
  <c r="AD268" i="10"/>
  <c r="AA204" i="10"/>
  <c r="AB204" i="10"/>
  <c r="AC204" i="10"/>
  <c r="AD204" i="10"/>
  <c r="AA140" i="10"/>
  <c r="AC140" i="10"/>
  <c r="AD140" i="10"/>
  <c r="AB140" i="10"/>
  <c r="AA286" i="10"/>
  <c r="AB286" i="10"/>
  <c r="AC286" i="10"/>
  <c r="AD286" i="10"/>
  <c r="AD222" i="10"/>
  <c r="AA222" i="10"/>
  <c r="AB222" i="10"/>
  <c r="AB158" i="10"/>
  <c r="AA158" i="10"/>
  <c r="AC158" i="10"/>
  <c r="AA94" i="10"/>
  <c r="AC94" i="10"/>
  <c r="AD94" i="10"/>
  <c r="AB94" i="10"/>
  <c r="AA253" i="10"/>
  <c r="AB446" i="10"/>
  <c r="AA411" i="10"/>
  <c r="AA395" i="10"/>
  <c r="AA379" i="10"/>
  <c r="AA363" i="10"/>
  <c r="AA347" i="10"/>
  <c r="AC323" i="10"/>
  <c r="AA307" i="10"/>
  <c r="AB283" i="10"/>
  <c r="AC267" i="10"/>
  <c r="AC251" i="10"/>
  <c r="AC235" i="10"/>
  <c r="AC219" i="10"/>
  <c r="AC203" i="10"/>
  <c r="AC187" i="10"/>
  <c r="AB171" i="10"/>
  <c r="AB155" i="10"/>
  <c r="AB139" i="10"/>
  <c r="AB123" i="10"/>
  <c r="AB107" i="10"/>
  <c r="AA91" i="10"/>
  <c r="AB39" i="10"/>
  <c r="AC24" i="10"/>
  <c r="AD11" i="10"/>
  <c r="AD320" i="10"/>
  <c r="AA264" i="10"/>
  <c r="AD240" i="10"/>
  <c r="AC184" i="10"/>
  <c r="AC144" i="10"/>
  <c r="AB112" i="10"/>
  <c r="AD62" i="10"/>
  <c r="AC49" i="10"/>
  <c r="AB16" i="10"/>
  <c r="AC446" i="10"/>
  <c r="AD400" i="10"/>
  <c r="AC376" i="10"/>
  <c r="AB344" i="10"/>
  <c r="AD328" i="10"/>
  <c r="AC288" i="10"/>
  <c r="AB232" i="10"/>
  <c r="AD200" i="10"/>
  <c r="AD160" i="10"/>
  <c r="AC104" i="10"/>
  <c r="AB72" i="10"/>
  <c r="AD444" i="10"/>
  <c r="AC405" i="10"/>
  <c r="AC389" i="10"/>
  <c r="AC373" i="10"/>
  <c r="AC357" i="10"/>
  <c r="AC341" i="10"/>
  <c r="AA325" i="10"/>
  <c r="AB301" i="10"/>
  <c r="AD277" i="10"/>
  <c r="AC261" i="10"/>
  <c r="AD221" i="10"/>
  <c r="AC205" i="10"/>
  <c r="AB189" i="10"/>
  <c r="AA173" i="10"/>
  <c r="AD117" i="10"/>
  <c r="AD101" i="10"/>
  <c r="AD85" i="10"/>
  <c r="AD69" i="10"/>
  <c r="AB46" i="10"/>
  <c r="AB36" i="10"/>
  <c r="AB398" i="10"/>
  <c r="AD294" i="10"/>
  <c r="AC150" i="10"/>
  <c r="AB110" i="10"/>
  <c r="AA42" i="10"/>
  <c r="AD367" i="10"/>
  <c r="AA427" i="10"/>
  <c r="AA443" i="10"/>
  <c r="AB394" i="10"/>
  <c r="AD378" i="10"/>
  <c r="AC354" i="10"/>
  <c r="AB330" i="10"/>
  <c r="AD314" i="10"/>
  <c r="AD298" i="10"/>
  <c r="AD274" i="10"/>
  <c r="AD258" i="10"/>
  <c r="AC234" i="10"/>
  <c r="AB210" i="10"/>
  <c r="AD194" i="10"/>
  <c r="AC170" i="10"/>
  <c r="AB154" i="10"/>
  <c r="AD130" i="10"/>
  <c r="AC106" i="10"/>
  <c r="AB90" i="10"/>
  <c r="AD64" i="10"/>
  <c r="AA38" i="10"/>
  <c r="AC18" i="10"/>
  <c r="AD310" i="10"/>
  <c r="AC230" i="10"/>
  <c r="AC22" i="10"/>
  <c r="AD369" i="10"/>
  <c r="AB427" i="10"/>
  <c r="AB443" i="10"/>
  <c r="AC407" i="10"/>
  <c r="AC391" i="10"/>
  <c r="AC375" i="10"/>
  <c r="AC359" i="10"/>
  <c r="AC343" i="10"/>
  <c r="AA327" i="10"/>
  <c r="AB303" i="10"/>
  <c r="AC279" i="10"/>
  <c r="AD263" i="10"/>
  <c r="AD247" i="10"/>
  <c r="AD231" i="10"/>
  <c r="AC215" i="10"/>
  <c r="AC183" i="10"/>
  <c r="AB119" i="10"/>
  <c r="AC427" i="10"/>
  <c r="AD156" i="10"/>
  <c r="AA281" i="10"/>
  <c r="AB143" i="10"/>
  <c r="AC143" i="10"/>
  <c r="AD143" i="10"/>
  <c r="AA292" i="10"/>
  <c r="AB292" i="10"/>
  <c r="AC292" i="10"/>
  <c r="AD292" i="10"/>
  <c r="AA246" i="10"/>
  <c r="AB246" i="10"/>
  <c r="AC246" i="10"/>
  <c r="AD246" i="10"/>
  <c r="AC109" i="10"/>
  <c r="AC182" i="10"/>
  <c r="AC87" i="10"/>
  <c r="AD87" i="10"/>
  <c r="AA87" i="10"/>
  <c r="AB15" i="10"/>
  <c r="AC15" i="10"/>
  <c r="AD15" i="10"/>
  <c r="AA40" i="10"/>
  <c r="AC40" i="10"/>
  <c r="AD40" i="10"/>
  <c r="AB40" i="10"/>
  <c r="AA20" i="10"/>
  <c r="AC20" i="10"/>
  <c r="AD20" i="10"/>
  <c r="AC103" i="10"/>
  <c r="AD103" i="10"/>
  <c r="AA103" i="10"/>
  <c r="AA289" i="10"/>
  <c r="AB289" i="10"/>
  <c r="AC289" i="10"/>
  <c r="AB225" i="10"/>
  <c r="AC225" i="10"/>
  <c r="AD225" i="10"/>
  <c r="AA225" i="10"/>
  <c r="AA161" i="10"/>
  <c r="AB161" i="10"/>
  <c r="AC161" i="10"/>
  <c r="AD161" i="10"/>
  <c r="AA97" i="10"/>
  <c r="AB97" i="10"/>
  <c r="AC97" i="10"/>
  <c r="AD97" i="10"/>
  <c r="AA47" i="10"/>
  <c r="AB47" i="10"/>
  <c r="AC47" i="10"/>
  <c r="AD47" i="10"/>
  <c r="AC167" i="10"/>
  <c r="AD167" i="10"/>
  <c r="AA167" i="10"/>
  <c r="AA356" i="10"/>
  <c r="AB356" i="10"/>
  <c r="AC356" i="10"/>
  <c r="AD356" i="10"/>
  <c r="AB361" i="10"/>
  <c r="AC361" i="10"/>
  <c r="AD326" i="10"/>
  <c r="AA326" i="10"/>
  <c r="AB326" i="10"/>
  <c r="AD260" i="10"/>
  <c r="AA260" i="10"/>
  <c r="AB260" i="10"/>
  <c r="AD196" i="10"/>
  <c r="AA196" i="10"/>
  <c r="AB196" i="10"/>
  <c r="AD132" i="10"/>
  <c r="AB132" i="10"/>
  <c r="AA132" i="10"/>
  <c r="AA50" i="10"/>
  <c r="AC50" i="10"/>
  <c r="AD50" i="10"/>
  <c r="AB50" i="10"/>
  <c r="AB214" i="10"/>
  <c r="AC214" i="10"/>
  <c r="AD214" i="10"/>
  <c r="AA86" i="10"/>
  <c r="AC86" i="10"/>
  <c r="AD86" i="10"/>
  <c r="AB86" i="10"/>
  <c r="AB432" i="10"/>
  <c r="AB323" i="10"/>
  <c r="AC299" i="10"/>
  <c r="AA283" i="10"/>
  <c r="AD83" i="10"/>
  <c r="AD65" i="10"/>
  <c r="AB52" i="10"/>
  <c r="AB11" i="10"/>
  <c r="AC320" i="10"/>
  <c r="AD264" i="10"/>
  <c r="AC240" i="10"/>
  <c r="AB184" i="10"/>
  <c r="AB152" i="10"/>
  <c r="AD112" i="10"/>
  <c r="AC62" i="10"/>
  <c r="AB49" i="10"/>
  <c r="AD16" i="10"/>
  <c r="AA261" i="10"/>
  <c r="AC432" i="10"/>
  <c r="AC400" i="10"/>
  <c r="AB376" i="10"/>
  <c r="AD360" i="10"/>
  <c r="AC328" i="10"/>
  <c r="AB288" i="10"/>
  <c r="AD256" i="10"/>
  <c r="AC200" i="10"/>
  <c r="AC160" i="10"/>
  <c r="AB120" i="10"/>
  <c r="AD72" i="10"/>
  <c r="AD31" i="10"/>
  <c r="AD133" i="10"/>
  <c r="AD446" i="10"/>
  <c r="AB405" i="10"/>
  <c r="AB389" i="10"/>
  <c r="AB373" i="10"/>
  <c r="AB357" i="10"/>
  <c r="AB341" i="10"/>
  <c r="AC317" i="10"/>
  <c r="AA301" i="10"/>
  <c r="AC277" i="10"/>
  <c r="AD237" i="10"/>
  <c r="AC221" i="10"/>
  <c r="AB205" i="10"/>
  <c r="AA181" i="10"/>
  <c r="AD165" i="10"/>
  <c r="AD149" i="10"/>
  <c r="AC133" i="10"/>
  <c r="AC117" i="10"/>
  <c r="AC101" i="10"/>
  <c r="AC85" i="10"/>
  <c r="AC69" i="10"/>
  <c r="AD46" i="10"/>
  <c r="AD36" i="10"/>
  <c r="AD21" i="10"/>
  <c r="AB8" i="10"/>
  <c r="AC294" i="10"/>
  <c r="AC174" i="10"/>
  <c r="AD110" i="10"/>
  <c r="AD402" i="10"/>
  <c r="AC378" i="10"/>
  <c r="AB354" i="10"/>
  <c r="AD338" i="10"/>
  <c r="AC314" i="10"/>
  <c r="AC298" i="10"/>
  <c r="AC274" i="10"/>
  <c r="AC258" i="10"/>
  <c r="AB234" i="10"/>
  <c r="AD218" i="10"/>
  <c r="AC194" i="10"/>
  <c r="AB170" i="10"/>
  <c r="AD154" i="10"/>
  <c r="AC130" i="10"/>
  <c r="AB114" i="10"/>
  <c r="AD90" i="10"/>
  <c r="AC64" i="10"/>
  <c r="AD51" i="10"/>
  <c r="AD33" i="10"/>
  <c r="AC310" i="10"/>
  <c r="AB230" i="10"/>
  <c r="AB134" i="10"/>
  <c r="AB407" i="10"/>
  <c r="AB391" i="10"/>
  <c r="AB375" i="10"/>
  <c r="AB359" i="10"/>
  <c r="AB343" i="10"/>
  <c r="AC319" i="10"/>
  <c r="AA303" i="10"/>
  <c r="AB279" i="10"/>
  <c r="AC263" i="10"/>
  <c r="AC247" i="10"/>
  <c r="AC231" i="10"/>
  <c r="AA175" i="10"/>
  <c r="AD324" i="10"/>
  <c r="AC196" i="10"/>
  <c r="AC326" i="10"/>
  <c r="AB27" i="10"/>
  <c r="AA32" i="10"/>
  <c r="AC32" i="10"/>
  <c r="AD32" i="10"/>
  <c r="AB32" i="10"/>
  <c r="AC66" i="10"/>
  <c r="AD66" i="10"/>
  <c r="AB66" i="10"/>
  <c r="AD435" i="10"/>
  <c r="AC435" i="10"/>
  <c r="AA414" i="10"/>
  <c r="AB414" i="10"/>
  <c r="AC414" i="10"/>
  <c r="AD414" i="10"/>
  <c r="AA60" i="10"/>
  <c r="AC60" i="10"/>
  <c r="AD60" i="10"/>
  <c r="AC191" i="10"/>
  <c r="AD191" i="10"/>
  <c r="AA191" i="10"/>
  <c r="AA76" i="10"/>
  <c r="AC76" i="10"/>
  <c r="AD76" i="10"/>
  <c r="AB76" i="10"/>
  <c r="AA329" i="10"/>
  <c r="AB329" i="10"/>
  <c r="AC329" i="10"/>
  <c r="AC265" i="10"/>
  <c r="AD265" i="10"/>
  <c r="AA265" i="10"/>
  <c r="AC201" i="10"/>
  <c r="AD201" i="10"/>
  <c r="AA201" i="10"/>
  <c r="AB137" i="10"/>
  <c r="AC137" i="10"/>
  <c r="AD137" i="10"/>
  <c r="AB73" i="10"/>
  <c r="AC73" i="10"/>
  <c r="AD73" i="10"/>
  <c r="AC61" i="10"/>
  <c r="AD61" i="10"/>
  <c r="AA61" i="10"/>
  <c r="AA348" i="10"/>
  <c r="AB348" i="10"/>
  <c r="AC348" i="10"/>
  <c r="AD348" i="10"/>
  <c r="AA353" i="10"/>
  <c r="AB353" i="10"/>
  <c r="AC353" i="10"/>
  <c r="AC318" i="10"/>
  <c r="AD318" i="10"/>
  <c r="AA318" i="10"/>
  <c r="AA252" i="10"/>
  <c r="AB252" i="10"/>
  <c r="AC252" i="10"/>
  <c r="AD252" i="10"/>
  <c r="AA188" i="10"/>
  <c r="AB188" i="10"/>
  <c r="AC188" i="10"/>
  <c r="AD188" i="10"/>
  <c r="AA124" i="10"/>
  <c r="AC124" i="10"/>
  <c r="AD124" i="10"/>
  <c r="AB124" i="10"/>
  <c r="AA58" i="10"/>
  <c r="AC58" i="10"/>
  <c r="AD58" i="10"/>
  <c r="AB58" i="10"/>
  <c r="AA270" i="10"/>
  <c r="AB270" i="10"/>
  <c r="AC270" i="10"/>
  <c r="AA206" i="10"/>
  <c r="AB206" i="10"/>
  <c r="AD206" i="10"/>
  <c r="AA142" i="10"/>
  <c r="AC142" i="10"/>
  <c r="AD142" i="10"/>
  <c r="AB142" i="10"/>
  <c r="AA78" i="10"/>
  <c r="AC78" i="10"/>
  <c r="AD78" i="10"/>
  <c r="AD297" i="10"/>
  <c r="AB434" i="10"/>
  <c r="AB450" i="10"/>
  <c r="AC403" i="10"/>
  <c r="AC387" i="10"/>
  <c r="AC371" i="10"/>
  <c r="AC355" i="10"/>
  <c r="AC339" i="10"/>
  <c r="AA323" i="10"/>
  <c r="AB299" i="10"/>
  <c r="AA275" i="10"/>
  <c r="AA259" i="10"/>
  <c r="AA243" i="10"/>
  <c r="AA227" i="10"/>
  <c r="AA211" i="10"/>
  <c r="AA195" i="10"/>
  <c r="AA179" i="10"/>
  <c r="AD163" i="10"/>
  <c r="AD147" i="10"/>
  <c r="AD131" i="10"/>
  <c r="AD115" i="10"/>
  <c r="AD99" i="10"/>
  <c r="AC83" i="10"/>
  <c r="AC65" i="10"/>
  <c r="AD52" i="10"/>
  <c r="AB34" i="10"/>
  <c r="AB320" i="10"/>
  <c r="AD280" i="10"/>
  <c r="AB240" i="10"/>
  <c r="AD208" i="10"/>
  <c r="AD152" i="10"/>
  <c r="AC112" i="10"/>
  <c r="AB80" i="10"/>
  <c r="AC16" i="10"/>
  <c r="AA418" i="10"/>
  <c r="AC434" i="10"/>
  <c r="AC450" i="10"/>
  <c r="AB400" i="10"/>
  <c r="AD384" i="10"/>
  <c r="AC360" i="10"/>
  <c r="AB328" i="10"/>
  <c r="AD296" i="10"/>
  <c r="AC256" i="10"/>
  <c r="AB200" i="10"/>
  <c r="AD176" i="10"/>
  <c r="AD120" i="10"/>
  <c r="AC72" i="10"/>
  <c r="AC31" i="10"/>
  <c r="AD432" i="10"/>
  <c r="AA405" i="10"/>
  <c r="AA389" i="10"/>
  <c r="AA373" i="10"/>
  <c r="AA357" i="10"/>
  <c r="AA341" i="10"/>
  <c r="AB317" i="10"/>
  <c r="AC293" i="10"/>
  <c r="AB277" i="10"/>
  <c r="AD253" i="10"/>
  <c r="AC237" i="10"/>
  <c r="AB221" i="10"/>
  <c r="AA197" i="10"/>
  <c r="AD181" i="10"/>
  <c r="AC165" i="10"/>
  <c r="AC149" i="10"/>
  <c r="AB133" i="10"/>
  <c r="AB117" i="10"/>
  <c r="AB101" i="10"/>
  <c r="AB85" i="10"/>
  <c r="AB69" i="10"/>
  <c r="AC46" i="10"/>
  <c r="AC36" i="10"/>
  <c r="AC21" i="10"/>
  <c r="AD8" i="10"/>
  <c r="AB294" i="10"/>
  <c r="AB174" i="10"/>
  <c r="AC110" i="10"/>
  <c r="AA268" i="10"/>
  <c r="AC402" i="10"/>
  <c r="AB378" i="10"/>
  <c r="AD362" i="10"/>
  <c r="AC338" i="10"/>
  <c r="AB314" i="10"/>
  <c r="AB298" i="10"/>
  <c r="AD282" i="10"/>
  <c r="AB258" i="10"/>
  <c r="AD242" i="10"/>
  <c r="AC218" i="10"/>
  <c r="AB194" i="10"/>
  <c r="AD178" i="10"/>
  <c r="AC154" i="10"/>
  <c r="AB138" i="10"/>
  <c r="AD114" i="10"/>
  <c r="AC90" i="10"/>
  <c r="AB74" i="10"/>
  <c r="AC51" i="10"/>
  <c r="AC33" i="10"/>
  <c r="AD23" i="10"/>
  <c r="AB310" i="10"/>
  <c r="AD254" i="10"/>
  <c r="AD134" i="10"/>
  <c r="AD270" i="10"/>
  <c r="AA375" i="10"/>
  <c r="AA359" i="10"/>
  <c r="AA343" i="10"/>
  <c r="AB319" i="10"/>
  <c r="AC295" i="10"/>
  <c r="AA279" i="10"/>
  <c r="AB207" i="10"/>
  <c r="AB167" i="10"/>
  <c r="AB103" i="10"/>
  <c r="AA48" i="10"/>
  <c r="AA382" i="10"/>
  <c r="AB382" i="10"/>
  <c r="AD382" i="10"/>
  <c r="AD29" i="10"/>
  <c r="AC364" i="10"/>
  <c r="AB276" i="10"/>
  <c r="AC45" i="10"/>
  <c r="AA9" i="10"/>
  <c r="AA361" i="10"/>
  <c r="AB249" i="10"/>
  <c r="AA121" i="10"/>
  <c r="AB7" i="10"/>
  <c r="AD403" i="10"/>
  <c r="AC321" i="10"/>
  <c r="AA321" i="10"/>
  <c r="AA129" i="10"/>
  <c r="AB129" i="10"/>
  <c r="AC129" i="10"/>
  <c r="AD129" i="10"/>
  <c r="AA228" i="10"/>
  <c r="AB228" i="10"/>
  <c r="AC228" i="10"/>
  <c r="AD228" i="10"/>
  <c r="AA242" i="10"/>
  <c r="AC199" i="10"/>
  <c r="AB127" i="10"/>
  <c r="AC127" i="10"/>
  <c r="AD127" i="10"/>
  <c r="AC135" i="10"/>
  <c r="AD135" i="10"/>
  <c r="AA135" i="10"/>
  <c r="AC12" i="10"/>
  <c r="AD12" i="10"/>
  <c r="AB12" i="10"/>
  <c r="AA305" i="10"/>
  <c r="AB305" i="10"/>
  <c r="AC305" i="10"/>
  <c r="AB241" i="10"/>
  <c r="AC241" i="10"/>
  <c r="AD241" i="10"/>
  <c r="AA241" i="10"/>
  <c r="AB177" i="10"/>
  <c r="AC177" i="10"/>
  <c r="AD177" i="10"/>
  <c r="AA177" i="10"/>
  <c r="AA113" i="10"/>
  <c r="AB113" i="10"/>
  <c r="AC113" i="10"/>
  <c r="AD113" i="10"/>
  <c r="AB37" i="10"/>
  <c r="AC37" i="10"/>
  <c r="AD37" i="10"/>
  <c r="AA17" i="10"/>
  <c r="AB17" i="10"/>
  <c r="AC17" i="10"/>
  <c r="AD17" i="10"/>
  <c r="AC340" i="10"/>
  <c r="AD340" i="10"/>
  <c r="AA340" i="10"/>
  <c r="AA374" i="10"/>
  <c r="AB374" i="10"/>
  <c r="AC374" i="10"/>
  <c r="AD374" i="10"/>
  <c r="AA308" i="10"/>
  <c r="AB308" i="10"/>
  <c r="AC308" i="10"/>
  <c r="AD308" i="10"/>
  <c r="AA244" i="10"/>
  <c r="AB244" i="10"/>
  <c r="AC244" i="10"/>
  <c r="AD244" i="10"/>
  <c r="AA180" i="10"/>
  <c r="AB180" i="10"/>
  <c r="AC180" i="10"/>
  <c r="AD180" i="10"/>
  <c r="AA116" i="10"/>
  <c r="AC116" i="10"/>
  <c r="AD116" i="10"/>
  <c r="AB262" i="10"/>
  <c r="AC262" i="10"/>
  <c r="AD262" i="10"/>
  <c r="AA198" i="10"/>
  <c r="AB198" i="10"/>
  <c r="AC198" i="10"/>
  <c r="AD198" i="10"/>
  <c r="AD70" i="10"/>
  <c r="AB70" i="10"/>
  <c r="AA70" i="10"/>
  <c r="AD313" i="10"/>
  <c r="AB419" i="10"/>
  <c r="AB403" i="10"/>
  <c r="AB387" i="10"/>
  <c r="AB371" i="10"/>
  <c r="AB355" i="10"/>
  <c r="AB339" i="10"/>
  <c r="AC315" i="10"/>
  <c r="AA299" i="10"/>
  <c r="AD275" i="10"/>
  <c r="AD259" i="10"/>
  <c r="AD243" i="10"/>
  <c r="AD227" i="10"/>
  <c r="AD211" i="10"/>
  <c r="AD195" i="10"/>
  <c r="AD179" i="10"/>
  <c r="AC163" i="10"/>
  <c r="AC147" i="10"/>
  <c r="AC131" i="10"/>
  <c r="AC115" i="10"/>
  <c r="AC99" i="10"/>
  <c r="AB83" i="10"/>
  <c r="AB65" i="10"/>
  <c r="AC52" i="10"/>
  <c r="AD34" i="10"/>
  <c r="AD19" i="10"/>
  <c r="AD352" i="10"/>
  <c r="AC280" i="10"/>
  <c r="AD248" i="10"/>
  <c r="AC208" i="10"/>
  <c r="AC152" i="10"/>
  <c r="AB136" i="10"/>
  <c r="AD80" i="10"/>
  <c r="AB54" i="10"/>
  <c r="AB44" i="10"/>
  <c r="AC384" i="10"/>
  <c r="AB360" i="10"/>
  <c r="AD336" i="10"/>
  <c r="AC296" i="10"/>
  <c r="AB256" i="10"/>
  <c r="AD216" i="10"/>
  <c r="AC176" i="10"/>
  <c r="AC120" i="10"/>
  <c r="AB88" i="10"/>
  <c r="AB31" i="10"/>
  <c r="AB418" i="10"/>
  <c r="AD434" i="10"/>
  <c r="AD450" i="10"/>
  <c r="AC333" i="10"/>
  <c r="AA317" i="10"/>
  <c r="AB293" i="10"/>
  <c r="AA269" i="10"/>
  <c r="AC253" i="10"/>
  <c r="AB237" i="10"/>
  <c r="AA213" i="10"/>
  <c r="AD197" i="10"/>
  <c r="AC181" i="10"/>
  <c r="AB165" i="10"/>
  <c r="AB149" i="10"/>
  <c r="AB21" i="10"/>
  <c r="AC8" i="10"/>
  <c r="AD350" i="10"/>
  <c r="AA174" i="10"/>
  <c r="AB126" i="10"/>
  <c r="AB402" i="10"/>
  <c r="AD386" i="10"/>
  <c r="AC362" i="10"/>
  <c r="AB338" i="10"/>
  <c r="AD322" i="10"/>
  <c r="AC282" i="10"/>
  <c r="AD266" i="10"/>
  <c r="AC242" i="10"/>
  <c r="AB218" i="10"/>
  <c r="AD202" i="10"/>
  <c r="AC178" i="10"/>
  <c r="AD138" i="10"/>
  <c r="AC114" i="10"/>
  <c r="AB98" i="10"/>
  <c r="AD74" i="10"/>
  <c r="AB51" i="10"/>
  <c r="AB33" i="10"/>
  <c r="AC23" i="10"/>
  <c r="AD342" i="10"/>
  <c r="AC254" i="10"/>
  <c r="AC134" i="10"/>
  <c r="AD289" i="10"/>
  <c r="AC335" i="10"/>
  <c r="AB295" i="10"/>
  <c r="AA271" i="10"/>
  <c r="AA255" i="10"/>
  <c r="AA239" i="10"/>
  <c r="AA223" i="10"/>
  <c r="AA199" i="10"/>
  <c r="AA159" i="10"/>
  <c r="AA95" i="10"/>
  <c r="AA412" i="10"/>
  <c r="AB412" i="10"/>
  <c r="AC412" i="10"/>
  <c r="AD412" i="10"/>
  <c r="AA316" i="10"/>
  <c r="AB233" i="10"/>
  <c r="AA105" i="10"/>
  <c r="AD158" i="10"/>
  <c r="AD339" i="10"/>
  <c r="AA178" i="10"/>
  <c r="AB311" i="10"/>
  <c r="AB53" i="10"/>
  <c r="AC53" i="10"/>
  <c r="AD53" i="10"/>
  <c r="AD68" i="10"/>
  <c r="AB68" i="10"/>
  <c r="AA68" i="10"/>
  <c r="AA35" i="10"/>
  <c r="AB35" i="10"/>
  <c r="AC35" i="10"/>
  <c r="AB345" i="10"/>
  <c r="AC345" i="10"/>
  <c r="AB281" i="10"/>
  <c r="AC281" i="10"/>
  <c r="AC217" i="10"/>
  <c r="AD217" i="10"/>
  <c r="AA217" i="10"/>
  <c r="AB153" i="10"/>
  <c r="AC153" i="10"/>
  <c r="AD153" i="10"/>
  <c r="AB89" i="10"/>
  <c r="AC89" i="10"/>
  <c r="AD89" i="10"/>
  <c r="AB29" i="10"/>
  <c r="AC29" i="10"/>
  <c r="AB111" i="10"/>
  <c r="AC111" i="10"/>
  <c r="AD111" i="10"/>
  <c r="AA332" i="10"/>
  <c r="AB332" i="10"/>
  <c r="AC332" i="10"/>
  <c r="AD332" i="10"/>
  <c r="AA366" i="10"/>
  <c r="AB366" i="10"/>
  <c r="AC366" i="10"/>
  <c r="AD366" i="10"/>
  <c r="AA302" i="10"/>
  <c r="AB302" i="10"/>
  <c r="AC302" i="10"/>
  <c r="AD302" i="10"/>
  <c r="AD300" i="10"/>
  <c r="AA300" i="10"/>
  <c r="AB300" i="10"/>
  <c r="AC236" i="10"/>
  <c r="AD236" i="10"/>
  <c r="AA236" i="10"/>
  <c r="AC172" i="10"/>
  <c r="AD172" i="10"/>
  <c r="AC108" i="10"/>
  <c r="AD108" i="10"/>
  <c r="AB108" i="10"/>
  <c r="AA190" i="10"/>
  <c r="AB190" i="10"/>
  <c r="AC190" i="10"/>
  <c r="AD190" i="10"/>
  <c r="AD329" i="10"/>
  <c r="AB438" i="10"/>
  <c r="AA419" i="10"/>
  <c r="AA387" i="10"/>
  <c r="AA371" i="10"/>
  <c r="AA355" i="10"/>
  <c r="AB315" i="10"/>
  <c r="AC291" i="10"/>
  <c r="AC438" i="10"/>
  <c r="AC309" i="10"/>
  <c r="AA293" i="10"/>
  <c r="AC418" i="10"/>
  <c r="AA435" i="10"/>
  <c r="AD305" i="10"/>
  <c r="AB435" i="10"/>
  <c r="AC311" i="10"/>
  <c r="AA295" i="10"/>
  <c r="AC223" i="10"/>
  <c r="AB151" i="10"/>
  <c r="AB87" i="10"/>
  <c r="AA43" i="10"/>
  <c r="AB318" i="10"/>
  <c r="AC118" i="10"/>
  <c r="AB404" i="10"/>
  <c r="AD220" i="10"/>
  <c r="AC132" i="10"/>
  <c r="AD92" i="10"/>
  <c r="AD35" i="10"/>
  <c r="AB217" i="10"/>
  <c r="AA89" i="10"/>
  <c r="AC358" i="10"/>
  <c r="AB406" i="10"/>
  <c r="AC417" i="10"/>
  <c r="AC401" i="10"/>
  <c r="AC385" i="10"/>
  <c r="AB417" i="10"/>
  <c r="AB401" i="10"/>
  <c r="AB385" i="10"/>
  <c r="AC396" i="10"/>
  <c r="AC380" i="10"/>
  <c r="AC390" i="10"/>
  <c r="AC409" i="10"/>
  <c r="AC393" i="10"/>
  <c r="AD5" i="10"/>
  <c r="AC5" i="10"/>
  <c r="AB5" i="10"/>
  <c r="W239" i="10"/>
  <c r="V42" i="10"/>
  <c r="U9" i="10"/>
  <c r="T70" i="10"/>
  <c r="T279" i="10"/>
  <c r="U219" i="10"/>
  <c r="T270" i="10"/>
  <c r="W198" i="10"/>
  <c r="V142" i="10"/>
  <c r="V243" i="10"/>
  <c r="W91" i="10"/>
  <c r="T166" i="10"/>
  <c r="V139" i="10"/>
  <c r="W115" i="10"/>
  <c r="V407" i="10"/>
  <c r="V110" i="10"/>
  <c r="V163" i="10"/>
  <c r="U31" i="10"/>
  <c r="T364" i="10"/>
  <c r="T206" i="10"/>
  <c r="T134" i="10"/>
  <c r="U47" i="10"/>
  <c r="V97" i="10"/>
  <c r="T259" i="10"/>
  <c r="U187" i="10"/>
  <c r="U75" i="10"/>
  <c r="U153" i="10"/>
  <c r="V238" i="10"/>
  <c r="V78" i="10"/>
  <c r="U283" i="10"/>
  <c r="T123" i="10"/>
  <c r="U99" i="10"/>
  <c r="W262" i="10"/>
  <c r="T102" i="10"/>
  <c r="V439" i="10"/>
  <c r="V174" i="10"/>
  <c r="V209" i="10"/>
  <c r="T37" i="10"/>
  <c r="T195" i="10"/>
  <c r="U65" i="10"/>
  <c r="V11" i="10"/>
  <c r="U12" i="10"/>
  <c r="W12" i="10"/>
  <c r="V12" i="10"/>
  <c r="T196" i="10"/>
  <c r="U196" i="10"/>
  <c r="V196" i="10"/>
  <c r="W196" i="10"/>
  <c r="U244" i="10"/>
  <c r="V244" i="10"/>
  <c r="W244" i="10"/>
  <c r="W300" i="10"/>
  <c r="U300" i="10"/>
  <c r="W348" i="10"/>
  <c r="U348" i="10"/>
  <c r="V348" i="10"/>
  <c r="T348" i="10"/>
  <c r="U419" i="10"/>
  <c r="V419" i="10"/>
  <c r="T419" i="10"/>
  <c r="U27" i="10"/>
  <c r="T27" i="10"/>
  <c r="V27" i="10"/>
  <c r="W35" i="10"/>
  <c r="U35" i="10"/>
  <c r="T35" i="10"/>
  <c r="T43" i="10"/>
  <c r="V43" i="10"/>
  <c r="W43" i="10"/>
  <c r="U43" i="10"/>
  <c r="T51" i="10"/>
  <c r="V51" i="10"/>
  <c r="W51" i="10"/>
  <c r="U51" i="10"/>
  <c r="W59" i="10"/>
  <c r="U59" i="10"/>
  <c r="T59" i="10"/>
  <c r="T67" i="10"/>
  <c r="V67" i="10"/>
  <c r="W67" i="10"/>
  <c r="U67" i="10"/>
  <c r="N155" i="10"/>
  <c r="V155" i="10"/>
  <c r="W291" i="10"/>
  <c r="V291" i="10"/>
  <c r="U299" i="10"/>
  <c r="T299" i="10"/>
  <c r="V299" i="10"/>
  <c r="U307" i="10"/>
  <c r="T307" i="10"/>
  <c r="V307" i="10"/>
  <c r="U321" i="10"/>
  <c r="T321" i="10"/>
  <c r="W321" i="10"/>
  <c r="U331" i="10"/>
  <c r="T331" i="10"/>
  <c r="V331" i="10"/>
  <c r="U339" i="10"/>
  <c r="T339" i="10"/>
  <c r="V339" i="10"/>
  <c r="V350" i="10"/>
  <c r="T350" i="10"/>
  <c r="W350" i="10"/>
  <c r="U355" i="10"/>
  <c r="T355" i="10"/>
  <c r="W366" i="10"/>
  <c r="V366" i="10"/>
  <c r="V370" i="10"/>
  <c r="T370" i="10"/>
  <c r="W370" i="10"/>
  <c r="V382" i="10"/>
  <c r="W382" i="10"/>
  <c r="U387" i="10"/>
  <c r="T387" i="10"/>
  <c r="U395" i="10"/>
  <c r="V395" i="10"/>
  <c r="T395" i="10"/>
  <c r="V406" i="10"/>
  <c r="W406" i="10"/>
  <c r="W412" i="10"/>
  <c r="U412" i="10"/>
  <c r="V412" i="10"/>
  <c r="T412" i="10"/>
  <c r="T418" i="10"/>
  <c r="W418" i="10"/>
  <c r="W430" i="10"/>
  <c r="V430" i="10"/>
  <c r="V437" i="10"/>
  <c r="T437" i="10"/>
  <c r="U437" i="10"/>
  <c r="W437" i="10"/>
  <c r="W227" i="10"/>
  <c r="V262" i="10"/>
  <c r="T230" i="10"/>
  <c r="W222" i="10"/>
  <c r="V198" i="10"/>
  <c r="W182" i="10"/>
  <c r="U174" i="10"/>
  <c r="W150" i="10"/>
  <c r="U142" i="10"/>
  <c r="W118" i="10"/>
  <c r="U110" i="10"/>
  <c r="W86" i="10"/>
  <c r="U78" i="10"/>
  <c r="U42" i="10"/>
  <c r="W14" i="10"/>
  <c r="T9" i="10"/>
  <c r="U209" i="10"/>
  <c r="W129" i="10"/>
  <c r="U97" i="10"/>
  <c r="U250" i="10"/>
  <c r="W383" i="10"/>
  <c r="T283" i="10"/>
  <c r="V267" i="10"/>
  <c r="U243" i="10"/>
  <c r="T219" i="10"/>
  <c r="V203" i="10"/>
  <c r="T179" i="10"/>
  <c r="W171" i="10"/>
  <c r="U163" i="10"/>
  <c r="U139" i="10"/>
  <c r="V115" i="10"/>
  <c r="V91" i="10"/>
  <c r="T52" i="10"/>
  <c r="W24" i="10"/>
  <c r="W19" i="10"/>
  <c r="T11" i="10"/>
  <c r="V16" i="10"/>
  <c r="U84" i="10"/>
  <c r="V355" i="10"/>
  <c r="V100" i="10"/>
  <c r="T100" i="10"/>
  <c r="U100" i="10"/>
  <c r="W100" i="10"/>
  <c r="V156" i="10"/>
  <c r="T156" i="10"/>
  <c r="U156" i="10"/>
  <c r="W156" i="10"/>
  <c r="T204" i="10"/>
  <c r="U204" i="10"/>
  <c r="V204" i="10"/>
  <c r="W204" i="10"/>
  <c r="W252" i="10"/>
  <c r="T252" i="10"/>
  <c r="U252" i="10"/>
  <c r="W308" i="10"/>
  <c r="V308" i="10"/>
  <c r="T308" i="10"/>
  <c r="U363" i="10"/>
  <c r="T363" i="10"/>
  <c r="V363" i="10"/>
  <c r="U403" i="10"/>
  <c r="V403" i="10"/>
  <c r="T403" i="10"/>
  <c r="V20" i="10"/>
  <c r="T30" i="10"/>
  <c r="U30" i="10"/>
  <c r="V30" i="10"/>
  <c r="T38" i="10"/>
  <c r="U38" i="10"/>
  <c r="V38" i="10"/>
  <c r="W38" i="10"/>
  <c r="T46" i="10"/>
  <c r="U46" i="10"/>
  <c r="V46" i="10"/>
  <c r="W46" i="10"/>
  <c r="U61" i="10"/>
  <c r="V61" i="10"/>
  <c r="W61" i="10"/>
  <c r="T269" i="10"/>
  <c r="U269" i="10"/>
  <c r="V269" i="10"/>
  <c r="W269" i="10"/>
  <c r="T286" i="10"/>
  <c r="U286" i="10"/>
  <c r="U294" i="10"/>
  <c r="T294" i="10"/>
  <c r="W302" i="10"/>
  <c r="V302" i="10"/>
  <c r="T310" i="10"/>
  <c r="V310" i="10"/>
  <c r="W310" i="10"/>
  <c r="T318" i="10"/>
  <c r="V318" i="10"/>
  <c r="W318" i="10"/>
  <c r="V326" i="10"/>
  <c r="T326" i="10"/>
  <c r="W334" i="10"/>
  <c r="T334" i="10"/>
  <c r="V334" i="10"/>
  <c r="V342" i="10"/>
  <c r="W342" i="10"/>
  <c r="T342" i="10"/>
  <c r="W349" i="10"/>
  <c r="V349" i="10"/>
  <c r="T349" i="10"/>
  <c r="U349" i="10"/>
  <c r="V358" i="10"/>
  <c r="T358" i="10"/>
  <c r="U365" i="10"/>
  <c r="W365" i="10"/>
  <c r="T365" i="10"/>
  <c r="V365" i="10"/>
  <c r="T374" i="10"/>
  <c r="V374" i="10"/>
  <c r="W374" i="10"/>
  <c r="W381" i="10"/>
  <c r="V381" i="10"/>
  <c r="T381" i="10"/>
  <c r="U381" i="10"/>
  <c r="W398" i="10"/>
  <c r="V398" i="10"/>
  <c r="V405" i="10"/>
  <c r="T405" i="10"/>
  <c r="U405" i="10"/>
  <c r="W405" i="10"/>
  <c r="W410" i="10"/>
  <c r="T410" i="10"/>
  <c r="V410" i="10"/>
  <c r="U429" i="10"/>
  <c r="W429" i="10"/>
  <c r="V429" i="10"/>
  <c r="W440" i="10"/>
  <c r="U440" i="10"/>
  <c r="V440" i="10"/>
  <c r="T440" i="10"/>
  <c r="W448" i="10"/>
  <c r="V448" i="10"/>
  <c r="T448" i="10"/>
  <c r="U448" i="10"/>
  <c r="W312" i="10"/>
  <c r="U312" i="10"/>
  <c r="V312" i="10"/>
  <c r="T312" i="10"/>
  <c r="U427" i="10"/>
  <c r="T427" i="10"/>
  <c r="V427" i="10"/>
  <c r="U238" i="10"/>
  <c r="W286" i="10"/>
  <c r="T254" i="10"/>
  <c r="W246" i="10"/>
  <c r="V222" i="10"/>
  <c r="T190" i="10"/>
  <c r="V182" i="10"/>
  <c r="T174" i="10"/>
  <c r="V150" i="10"/>
  <c r="T142" i="10"/>
  <c r="V118" i="10"/>
  <c r="T110" i="10"/>
  <c r="V86" i="10"/>
  <c r="T78" i="10"/>
  <c r="W60" i="10"/>
  <c r="T42" i="10"/>
  <c r="V14" i="10"/>
  <c r="W265" i="10"/>
  <c r="T209" i="10"/>
  <c r="V129" i="10"/>
  <c r="T97" i="10"/>
  <c r="W299" i="10"/>
  <c r="U310" i="10"/>
  <c r="W331" i="10"/>
  <c r="U342" i="10"/>
  <c r="W363" i="10"/>
  <c r="U374" i="10"/>
  <c r="W395" i="10"/>
  <c r="U406" i="10"/>
  <c r="W427" i="10"/>
  <c r="U267" i="10"/>
  <c r="T243" i="10"/>
  <c r="V227" i="10"/>
  <c r="U203" i="10"/>
  <c r="V171" i="10"/>
  <c r="T155" i="10"/>
  <c r="W147" i="10"/>
  <c r="T131" i="10"/>
  <c r="T115" i="10"/>
  <c r="U83" i="10"/>
  <c r="W52" i="10"/>
  <c r="W39" i="10"/>
  <c r="U24" i="10"/>
  <c r="V19" i="10"/>
  <c r="W31" i="10"/>
  <c r="V148" i="10"/>
  <c r="V321" i="10"/>
  <c r="T244" i="10"/>
  <c r="T28" i="10"/>
  <c r="U28" i="10"/>
  <c r="W28" i="10"/>
  <c r="V28" i="10"/>
  <c r="U68" i="10"/>
  <c r="W68" i="10"/>
  <c r="V68" i="10"/>
  <c r="V116" i="10"/>
  <c r="U116" i="10"/>
  <c r="W116" i="10"/>
  <c r="T164" i="10"/>
  <c r="U164" i="10"/>
  <c r="V164" i="10"/>
  <c r="W164" i="10"/>
  <c r="W332" i="10"/>
  <c r="U332" i="10"/>
  <c r="W388" i="10"/>
  <c r="U388" i="10"/>
  <c r="V388" i="10"/>
  <c r="T388" i="10"/>
  <c r="U435" i="10"/>
  <c r="T435" i="10"/>
  <c r="V435" i="10"/>
  <c r="U379" i="10"/>
  <c r="T379" i="10"/>
  <c r="V379" i="10"/>
  <c r="W435" i="10"/>
  <c r="T13" i="10"/>
  <c r="U13" i="10"/>
  <c r="V13" i="10"/>
  <c r="T21" i="10"/>
  <c r="U21" i="10"/>
  <c r="V21" i="10"/>
  <c r="W21" i="10"/>
  <c r="T45" i="10"/>
  <c r="U45" i="10"/>
  <c r="V45" i="10"/>
  <c r="W45" i="10"/>
  <c r="T53" i="10"/>
  <c r="U53" i="10"/>
  <c r="V53" i="10"/>
  <c r="W53" i="10"/>
  <c r="U64" i="10"/>
  <c r="W64" i="10"/>
  <c r="V64" i="10"/>
  <c r="V69" i="10"/>
  <c r="W69" i="10"/>
  <c r="T69" i="10"/>
  <c r="T77" i="10"/>
  <c r="U77" i="10"/>
  <c r="V77" i="10"/>
  <c r="T85" i="10"/>
  <c r="U85" i="10"/>
  <c r="V85" i="10"/>
  <c r="W85" i="10"/>
  <c r="T93" i="10"/>
  <c r="U93" i="10"/>
  <c r="V93" i="10"/>
  <c r="W93" i="10"/>
  <c r="V101" i="10"/>
  <c r="W101" i="10"/>
  <c r="T101" i="10"/>
  <c r="T109" i="10"/>
  <c r="U109" i="10"/>
  <c r="V109" i="10"/>
  <c r="T117" i="10"/>
  <c r="U117" i="10"/>
  <c r="V117" i="10"/>
  <c r="W117" i="10"/>
  <c r="T125" i="10"/>
  <c r="U125" i="10"/>
  <c r="V125" i="10"/>
  <c r="W125" i="10"/>
  <c r="V133" i="10"/>
  <c r="W133" i="10"/>
  <c r="T133" i="10"/>
  <c r="T141" i="10"/>
  <c r="U141" i="10"/>
  <c r="V141" i="10"/>
  <c r="T149" i="10"/>
  <c r="U149" i="10"/>
  <c r="V149" i="10"/>
  <c r="W149" i="10"/>
  <c r="T157" i="10"/>
  <c r="U157" i="10"/>
  <c r="V157" i="10"/>
  <c r="W157" i="10"/>
  <c r="V165" i="10"/>
  <c r="W165" i="10"/>
  <c r="T165" i="10"/>
  <c r="T173" i="10"/>
  <c r="U173" i="10"/>
  <c r="V173" i="10"/>
  <c r="T181" i="10"/>
  <c r="U181" i="10"/>
  <c r="V181" i="10"/>
  <c r="W181" i="10"/>
  <c r="T189" i="10"/>
  <c r="U189" i="10"/>
  <c r="V189" i="10"/>
  <c r="W189" i="10"/>
  <c r="T197" i="10"/>
  <c r="U197" i="10"/>
  <c r="V197" i="10"/>
  <c r="T205" i="10"/>
  <c r="U205" i="10"/>
  <c r="V205" i="10"/>
  <c r="W205" i="10"/>
  <c r="V213" i="10"/>
  <c r="W213" i="10"/>
  <c r="T213" i="10"/>
  <c r="T221" i="10"/>
  <c r="U221" i="10"/>
  <c r="V221" i="10"/>
  <c r="W221" i="10"/>
  <c r="T229" i="10"/>
  <c r="U229" i="10"/>
  <c r="V229" i="10"/>
  <c r="W229" i="10"/>
  <c r="W237" i="10"/>
  <c r="T237" i="10"/>
  <c r="U237" i="10"/>
  <c r="T245" i="10"/>
  <c r="U245" i="10"/>
  <c r="V245" i="10"/>
  <c r="W245" i="10"/>
  <c r="U253" i="10"/>
  <c r="V253" i="10"/>
  <c r="W253" i="10"/>
  <c r="T261" i="10"/>
  <c r="U261" i="10"/>
  <c r="V261" i="10"/>
  <c r="V277" i="10"/>
  <c r="W277" i="10"/>
  <c r="T277" i="10"/>
  <c r="T285" i="10"/>
  <c r="U285" i="10"/>
  <c r="V285" i="10"/>
  <c r="W285" i="10"/>
  <c r="V293" i="10"/>
  <c r="W293" i="10"/>
  <c r="T293" i="10"/>
  <c r="U301" i="10"/>
  <c r="W301" i="10"/>
  <c r="T301" i="10"/>
  <c r="V301" i="10"/>
  <c r="V309" i="10"/>
  <c r="T309" i="10"/>
  <c r="U309" i="10"/>
  <c r="W309" i="10"/>
  <c r="W317" i="10"/>
  <c r="V317" i="10"/>
  <c r="T317" i="10"/>
  <c r="U317" i="10"/>
  <c r="U325" i="10"/>
  <c r="T325" i="10"/>
  <c r="W325" i="10"/>
  <c r="V325" i="10"/>
  <c r="U333" i="10"/>
  <c r="W333" i="10"/>
  <c r="T333" i="10"/>
  <c r="V333" i="10"/>
  <c r="V341" i="10"/>
  <c r="T341" i="10"/>
  <c r="U341" i="10"/>
  <c r="W341" i="10"/>
  <c r="U357" i="10"/>
  <c r="T357" i="10"/>
  <c r="W357" i="10"/>
  <c r="V357" i="10"/>
  <c r="V373" i="10"/>
  <c r="T373" i="10"/>
  <c r="U373" i="10"/>
  <c r="W373" i="10"/>
  <c r="U389" i="10"/>
  <c r="W389" i="10"/>
  <c r="V389" i="10"/>
  <c r="T389" i="10"/>
  <c r="U397" i="10"/>
  <c r="W397" i="10"/>
  <c r="V397" i="10"/>
  <c r="W416" i="10"/>
  <c r="V416" i="10"/>
  <c r="T416" i="10"/>
  <c r="U416" i="10"/>
  <c r="U421" i="10"/>
  <c r="W421" i="10"/>
  <c r="V421" i="10"/>
  <c r="T421" i="10"/>
  <c r="U447" i="10"/>
  <c r="T447" i="10"/>
  <c r="U311" i="10"/>
  <c r="V311" i="10"/>
  <c r="W368" i="10"/>
  <c r="U368" i="10"/>
  <c r="V368" i="10"/>
  <c r="T368" i="10"/>
  <c r="T20" i="10"/>
  <c r="T382" i="10"/>
  <c r="T398" i="10"/>
  <c r="T430" i="10"/>
  <c r="V286" i="10"/>
  <c r="W270" i="10"/>
  <c r="V246" i="10"/>
  <c r="T214" i="10"/>
  <c r="W206" i="10"/>
  <c r="U182" i="10"/>
  <c r="W158" i="10"/>
  <c r="U150" i="10"/>
  <c r="W126" i="10"/>
  <c r="U118" i="10"/>
  <c r="W94" i="10"/>
  <c r="U86" i="10"/>
  <c r="U60" i="10"/>
  <c r="W47" i="10"/>
  <c r="W22" i="10"/>
  <c r="U14" i="10"/>
  <c r="V265" i="10"/>
  <c r="W161" i="10"/>
  <c r="U129" i="10"/>
  <c r="W17" i="10"/>
  <c r="W311" i="10"/>
  <c r="W343" i="10"/>
  <c r="U386" i="10"/>
  <c r="W407" i="10"/>
  <c r="U418" i="10"/>
  <c r="W439" i="10"/>
  <c r="T267" i="10"/>
  <c r="V251" i="10"/>
  <c r="U227" i="10"/>
  <c r="T203" i="10"/>
  <c r="T187" i="10"/>
  <c r="U171" i="10"/>
  <c r="V147" i="10"/>
  <c r="W123" i="10"/>
  <c r="W99" i="10"/>
  <c r="W75" i="10"/>
  <c r="W57" i="10"/>
  <c r="U52" i="10"/>
  <c r="V39" i="10"/>
  <c r="T24" i="10"/>
  <c r="T19" i="10"/>
  <c r="W54" i="10"/>
  <c r="V31" i="10"/>
  <c r="U148" i="10"/>
  <c r="W390" i="10"/>
  <c r="U277" i="10"/>
  <c r="V237" i="10"/>
  <c r="W109" i="10"/>
  <c r="W13" i="10"/>
  <c r="W297" i="10"/>
  <c r="T311" i="10"/>
  <c r="T407" i="10"/>
  <c r="V387" i="10"/>
  <c r="V108" i="10"/>
  <c r="T108" i="10"/>
  <c r="U108" i="10"/>
  <c r="W108" i="10"/>
  <c r="T260" i="10"/>
  <c r="U260" i="10"/>
  <c r="V260" i="10"/>
  <c r="W260" i="10"/>
  <c r="W284" i="10"/>
  <c r="T284" i="10"/>
  <c r="U284" i="10"/>
  <c r="W340" i="10"/>
  <c r="V340" i="10"/>
  <c r="T340" i="10"/>
  <c r="W396" i="10"/>
  <c r="U396" i="10"/>
  <c r="W328" i="10"/>
  <c r="U328" i="10"/>
  <c r="V328" i="10"/>
  <c r="T328" i="10"/>
  <c r="W442" i="10"/>
  <c r="T442" i="10"/>
  <c r="V442" i="10"/>
  <c r="W84" i="10"/>
  <c r="U8" i="10"/>
  <c r="W8" i="10"/>
  <c r="V8" i="10"/>
  <c r="U32" i="10"/>
  <c r="W32" i="10"/>
  <c r="V32" i="10"/>
  <c r="V40" i="10"/>
  <c r="T40" i="10"/>
  <c r="U40" i="10"/>
  <c r="W48" i="10"/>
  <c r="U48" i="10"/>
  <c r="T48" i="10"/>
  <c r="V48" i="10"/>
  <c r="T56" i="10"/>
  <c r="U56" i="10"/>
  <c r="W56" i="10"/>
  <c r="V56" i="10"/>
  <c r="V63" i="10"/>
  <c r="W63" i="10"/>
  <c r="U63" i="10"/>
  <c r="T72" i="10"/>
  <c r="U72" i="10"/>
  <c r="W72" i="10"/>
  <c r="W80" i="10"/>
  <c r="T80" i="10"/>
  <c r="U80" i="10"/>
  <c r="V80" i="10"/>
  <c r="W88" i="10"/>
  <c r="V88" i="10"/>
  <c r="T88" i="10"/>
  <c r="V96" i="10"/>
  <c r="T96" i="10"/>
  <c r="U96" i="10"/>
  <c r="W96" i="10"/>
  <c r="T104" i="10"/>
  <c r="U104" i="10"/>
  <c r="W104" i="10"/>
  <c r="W112" i="10"/>
  <c r="T112" i="10"/>
  <c r="U112" i="10"/>
  <c r="V112" i="10"/>
  <c r="V120" i="10"/>
  <c r="W120" i="10"/>
  <c r="T120" i="10"/>
  <c r="W128" i="10"/>
  <c r="T128" i="10"/>
  <c r="U128" i="10"/>
  <c r="V128" i="10"/>
  <c r="T136" i="10"/>
  <c r="U136" i="10"/>
  <c r="V136" i="10"/>
  <c r="T144" i="10"/>
  <c r="U144" i="10"/>
  <c r="V144" i="10"/>
  <c r="W144" i="10"/>
  <c r="V152" i="10"/>
  <c r="W152" i="10"/>
  <c r="T152" i="10"/>
  <c r="W160" i="10"/>
  <c r="T160" i="10"/>
  <c r="U160" i="10"/>
  <c r="V160" i="10"/>
  <c r="T168" i="10"/>
  <c r="U168" i="10"/>
  <c r="V168" i="10"/>
  <c r="T176" i="10"/>
  <c r="U176" i="10"/>
  <c r="V176" i="10"/>
  <c r="W176" i="10"/>
  <c r="V184" i="10"/>
  <c r="W184" i="10"/>
  <c r="T184" i="10"/>
  <c r="T192" i="10"/>
  <c r="U192" i="10"/>
  <c r="V192" i="10"/>
  <c r="W192" i="10"/>
  <c r="T200" i="10"/>
  <c r="U200" i="10"/>
  <c r="V200" i="10"/>
  <c r="W200" i="10"/>
  <c r="U208" i="10"/>
  <c r="V208" i="10"/>
  <c r="W208" i="10"/>
  <c r="W216" i="10"/>
  <c r="T216" i="10"/>
  <c r="U216" i="10"/>
  <c r="T224" i="10"/>
  <c r="U224" i="10"/>
  <c r="V224" i="10"/>
  <c r="W224" i="10"/>
  <c r="T232" i="10"/>
  <c r="U232" i="10"/>
  <c r="V232" i="10"/>
  <c r="W232" i="10"/>
  <c r="U240" i="10"/>
  <c r="V240" i="10"/>
  <c r="W240" i="10"/>
  <c r="W248" i="10"/>
  <c r="T248" i="10"/>
  <c r="U248" i="10"/>
  <c r="T256" i="10"/>
  <c r="U256" i="10"/>
  <c r="V256" i="10"/>
  <c r="W256" i="10"/>
  <c r="T264" i="10"/>
  <c r="U264" i="10"/>
  <c r="V264" i="10"/>
  <c r="W264" i="10"/>
  <c r="U272" i="10"/>
  <c r="V272" i="10"/>
  <c r="W272" i="10"/>
  <c r="W280" i="10"/>
  <c r="T280" i="10"/>
  <c r="U280" i="10"/>
  <c r="T288" i="10"/>
  <c r="U288" i="10"/>
  <c r="V288" i="10"/>
  <c r="W288" i="10"/>
  <c r="W296" i="10"/>
  <c r="U296" i="10"/>
  <c r="V296" i="10"/>
  <c r="T296" i="10"/>
  <c r="W304" i="10"/>
  <c r="U304" i="10"/>
  <c r="V304" i="10"/>
  <c r="T304" i="10"/>
  <c r="W314" i="10"/>
  <c r="V314" i="10"/>
  <c r="U319" i="10"/>
  <c r="T319" i="10"/>
  <c r="V319" i="10"/>
  <c r="U327" i="10"/>
  <c r="T327" i="10"/>
  <c r="V327" i="10"/>
  <c r="W336" i="10"/>
  <c r="U336" i="10"/>
  <c r="V336" i="10"/>
  <c r="T336" i="10"/>
  <c r="W346" i="10"/>
  <c r="T346" i="10"/>
  <c r="V346" i="10"/>
  <c r="U351" i="10"/>
  <c r="V351" i="10"/>
  <c r="T351" i="10"/>
  <c r="W360" i="10"/>
  <c r="U360" i="10"/>
  <c r="V360" i="10"/>
  <c r="T360" i="10"/>
  <c r="U367" i="10"/>
  <c r="V367" i="10"/>
  <c r="T367" i="10"/>
  <c r="W376" i="10"/>
  <c r="U376" i="10"/>
  <c r="V376" i="10"/>
  <c r="T376" i="10"/>
  <c r="W384" i="10"/>
  <c r="V384" i="10"/>
  <c r="T384" i="10"/>
  <c r="U384" i="10"/>
  <c r="U391" i="10"/>
  <c r="T391" i="10"/>
  <c r="U399" i="10"/>
  <c r="T399" i="10"/>
  <c r="W408" i="10"/>
  <c r="U408" i="10"/>
  <c r="V408" i="10"/>
  <c r="T408" i="10"/>
  <c r="U415" i="10"/>
  <c r="T415" i="10"/>
  <c r="W424" i="10"/>
  <c r="U424" i="10"/>
  <c r="V424" i="10"/>
  <c r="T424" i="10"/>
  <c r="U431" i="10"/>
  <c r="T431" i="10"/>
  <c r="W364" i="10"/>
  <c r="U364" i="10"/>
  <c r="U347" i="10"/>
  <c r="V347" i="10"/>
  <c r="T347" i="10"/>
  <c r="T6" i="10"/>
  <c r="U6" i="10"/>
  <c r="V6" i="10"/>
  <c r="W6" i="10"/>
  <c r="W259" i="10"/>
  <c r="V399" i="10"/>
  <c r="V415" i="10"/>
  <c r="V431" i="10"/>
  <c r="V447" i="10"/>
  <c r="V270" i="10"/>
  <c r="T238" i="10"/>
  <c r="W230" i="10"/>
  <c r="V206" i="10"/>
  <c r="W190" i="10"/>
  <c r="V158" i="10"/>
  <c r="V126" i="10"/>
  <c r="V94" i="10"/>
  <c r="T60" i="10"/>
  <c r="V47" i="10"/>
  <c r="W29" i="10"/>
  <c r="V22" i="10"/>
  <c r="W20" i="10"/>
  <c r="U265" i="10"/>
  <c r="V161" i="10"/>
  <c r="V17" i="10"/>
  <c r="U302" i="10"/>
  <c r="U334" i="10"/>
  <c r="W355" i="10"/>
  <c r="U366" i="10"/>
  <c r="W387" i="10"/>
  <c r="U398" i="10"/>
  <c r="W419" i="10"/>
  <c r="U430" i="10"/>
  <c r="U291" i="10"/>
  <c r="V275" i="10"/>
  <c r="U251" i="10"/>
  <c r="V211" i="10"/>
  <c r="W179" i="10"/>
  <c r="T163" i="10"/>
  <c r="U147" i="10"/>
  <c r="U123" i="10"/>
  <c r="V99" i="10"/>
  <c r="V75" i="10"/>
  <c r="V57" i="10"/>
  <c r="T39" i="10"/>
  <c r="U11" i="10"/>
  <c r="V54" i="10"/>
  <c r="V84" i="10"/>
  <c r="T429" i="10"/>
  <c r="T240" i="10"/>
  <c r="W168" i="10"/>
  <c r="U133" i="10"/>
  <c r="T300" i="10"/>
  <c r="T116" i="10"/>
  <c r="V35" i="10"/>
  <c r="T366" i="10"/>
  <c r="U36" i="10"/>
  <c r="W36" i="10"/>
  <c r="V36" i="10"/>
  <c r="V92" i="10"/>
  <c r="T92" i="10"/>
  <c r="U92" i="10"/>
  <c r="V132" i="10"/>
  <c r="W132" i="10"/>
  <c r="T132" i="10"/>
  <c r="V188" i="10"/>
  <c r="W188" i="10"/>
  <c r="T188" i="10"/>
  <c r="T236" i="10"/>
  <c r="U236" i="10"/>
  <c r="V236" i="10"/>
  <c r="W236" i="10"/>
  <c r="U315" i="10"/>
  <c r="V315" i="10"/>
  <c r="T315" i="10"/>
  <c r="U371" i="10"/>
  <c r="T371" i="10"/>
  <c r="V371" i="10"/>
  <c r="W428" i="10"/>
  <c r="U428" i="10"/>
  <c r="W403" i="10"/>
  <c r="V7" i="10"/>
  <c r="W7" i="10"/>
  <c r="U7" i="10"/>
  <c r="W15" i="10"/>
  <c r="U15" i="10"/>
  <c r="T15" i="10"/>
  <c r="T23" i="10"/>
  <c r="V23" i="10"/>
  <c r="W23" i="10"/>
  <c r="U23" i="10"/>
  <c r="W55" i="10"/>
  <c r="U55" i="10"/>
  <c r="T55" i="10"/>
  <c r="T62" i="10"/>
  <c r="U62" i="10"/>
  <c r="V62" i="10"/>
  <c r="T71" i="10"/>
  <c r="V71" i="10"/>
  <c r="W71" i="10"/>
  <c r="U71" i="10"/>
  <c r="V79" i="10"/>
  <c r="W79" i="10"/>
  <c r="U79" i="10"/>
  <c r="U87" i="10"/>
  <c r="T87" i="10"/>
  <c r="V87" i="10"/>
  <c r="T95" i="10"/>
  <c r="V95" i="10"/>
  <c r="W95" i="10"/>
  <c r="T103" i="10"/>
  <c r="V103" i="10"/>
  <c r="W103" i="10"/>
  <c r="U103" i="10"/>
  <c r="V111" i="10"/>
  <c r="W111" i="10"/>
  <c r="U111" i="10"/>
  <c r="T119" i="10"/>
  <c r="U119" i="10"/>
  <c r="V119" i="10"/>
  <c r="U127" i="10"/>
  <c r="V127" i="10"/>
  <c r="W127" i="10"/>
  <c r="U135" i="10"/>
  <c r="V135" i="10"/>
  <c r="W135" i="10"/>
  <c r="T143" i="10"/>
  <c r="U143" i="10"/>
  <c r="V143" i="10"/>
  <c r="U151" i="10"/>
  <c r="V151" i="10"/>
  <c r="W151" i="10"/>
  <c r="T151" i="10"/>
  <c r="U159" i="10"/>
  <c r="V159" i="10"/>
  <c r="W159" i="10"/>
  <c r="T159" i="10"/>
  <c r="W167" i="10"/>
  <c r="U167" i="10"/>
  <c r="T175" i="10"/>
  <c r="U175" i="10"/>
  <c r="V175" i="10"/>
  <c r="W175" i="10"/>
  <c r="U183" i="10"/>
  <c r="T183" i="10"/>
  <c r="V183" i="10"/>
  <c r="W183" i="10"/>
  <c r="T191" i="10"/>
  <c r="U191" i="10"/>
  <c r="V191" i="10"/>
  <c r="W191" i="10"/>
  <c r="W199" i="10"/>
  <c r="T199" i="10"/>
  <c r="U199" i="10"/>
  <c r="T207" i="10"/>
  <c r="U207" i="10"/>
  <c r="V207" i="10"/>
  <c r="W215" i="10"/>
  <c r="U215" i="10"/>
  <c r="V215" i="10"/>
  <c r="T223" i="10"/>
  <c r="W223" i="10"/>
  <c r="U223" i="10"/>
  <c r="V223" i="10"/>
  <c r="T231" i="10"/>
  <c r="U231" i="10"/>
  <c r="V231" i="10"/>
  <c r="W231" i="10"/>
  <c r="V239" i="10"/>
  <c r="T239" i="10"/>
  <c r="W247" i="10"/>
  <c r="T247" i="10"/>
  <c r="U247" i="10"/>
  <c r="V247" i="10"/>
  <c r="T255" i="10"/>
  <c r="U255" i="10"/>
  <c r="V255" i="10"/>
  <c r="W255" i="10"/>
  <c r="W263" i="10"/>
  <c r="T263" i="10"/>
  <c r="U263" i="10"/>
  <c r="T271" i="10"/>
  <c r="U271" i="10"/>
  <c r="V271" i="10"/>
  <c r="U279" i="10"/>
  <c r="W279" i="10"/>
  <c r="W287" i="10"/>
  <c r="V287" i="10"/>
  <c r="T287" i="10"/>
  <c r="U287" i="10"/>
  <c r="U295" i="10"/>
  <c r="V295" i="10"/>
  <c r="T295" i="10"/>
  <c r="U303" i="10"/>
  <c r="V303" i="10"/>
  <c r="T303" i="10"/>
  <c r="U313" i="10"/>
  <c r="W313" i="10"/>
  <c r="V313" i="10"/>
  <c r="W320" i="10"/>
  <c r="V320" i="10"/>
  <c r="T320" i="10"/>
  <c r="U320" i="10"/>
  <c r="T330" i="10"/>
  <c r="W330" i="10"/>
  <c r="V330" i="10"/>
  <c r="U335" i="10"/>
  <c r="T335" i="10"/>
  <c r="U345" i="10"/>
  <c r="W345" i="10"/>
  <c r="V345" i="10"/>
  <c r="T354" i="10"/>
  <c r="W354" i="10"/>
  <c r="V354" i="10"/>
  <c r="U359" i="10"/>
  <c r="V359" i="10"/>
  <c r="T359" i="10"/>
  <c r="W369" i="10"/>
  <c r="V369" i="10"/>
  <c r="T369" i="10"/>
  <c r="U375" i="10"/>
  <c r="V375" i="10"/>
  <c r="U383" i="10"/>
  <c r="T383" i="10"/>
  <c r="V394" i="10"/>
  <c r="W394" i="10"/>
  <c r="T402" i="10"/>
  <c r="V402" i="10"/>
  <c r="W402" i="10"/>
  <c r="T417" i="10"/>
  <c r="U417" i="10"/>
  <c r="W417" i="10"/>
  <c r="U423" i="10"/>
  <c r="T423" i="10"/>
  <c r="V434" i="10"/>
  <c r="T434" i="10"/>
  <c r="W434" i="10"/>
  <c r="U441" i="10"/>
  <c r="W441" i="10"/>
  <c r="V441" i="10"/>
  <c r="T441" i="10"/>
  <c r="T449" i="10"/>
  <c r="U449" i="10"/>
  <c r="W449" i="10"/>
  <c r="W352" i="10"/>
  <c r="V352" i="10"/>
  <c r="T352" i="10"/>
  <c r="U352" i="10"/>
  <c r="V210" i="10"/>
  <c r="W210" i="10"/>
  <c r="T210" i="10"/>
  <c r="T167" i="10"/>
  <c r="T262" i="10"/>
  <c r="W254" i="10"/>
  <c r="V230" i="10"/>
  <c r="T198" i="10"/>
  <c r="V190" i="10"/>
  <c r="W166" i="10"/>
  <c r="U158" i="10"/>
  <c r="W134" i="10"/>
  <c r="U126" i="10"/>
  <c r="W102" i="10"/>
  <c r="U94" i="10"/>
  <c r="W70" i="10"/>
  <c r="V29" i="10"/>
  <c r="U22" i="10"/>
  <c r="U161" i="10"/>
  <c r="W37" i="10"/>
  <c r="U17" i="10"/>
  <c r="W207" i="10"/>
  <c r="W303" i="10"/>
  <c r="U314" i="10"/>
  <c r="W335" i="10"/>
  <c r="U346" i="10"/>
  <c r="W367" i="10"/>
  <c r="W399" i="10"/>
  <c r="U410" i="10"/>
  <c r="W431" i="10"/>
  <c r="U442" i="10"/>
  <c r="T291" i="10"/>
  <c r="U275" i="10"/>
  <c r="T251" i="10"/>
  <c r="V235" i="10"/>
  <c r="U211" i="10"/>
  <c r="V179" i="10"/>
  <c r="W155" i="10"/>
  <c r="W131" i="10"/>
  <c r="W107" i="10"/>
  <c r="W83" i="10"/>
  <c r="U57" i="10"/>
  <c r="W34" i="10"/>
  <c r="U54" i="10"/>
  <c r="T16" i="10"/>
  <c r="U184" i="10"/>
  <c r="T32" i="10"/>
  <c r="W294" i="10"/>
  <c r="U369" i="10"/>
  <c r="W77" i="10"/>
  <c r="V59" i="10"/>
  <c r="W40" i="10"/>
  <c r="T64" i="10"/>
  <c r="V263" i="10"/>
  <c r="T127" i="10"/>
  <c r="T111" i="10"/>
  <c r="W87" i="10"/>
  <c r="V284" i="10"/>
  <c r="V55" i="10"/>
  <c r="T302" i="10"/>
  <c r="T44" i="10"/>
  <c r="U44" i="10"/>
  <c r="W44" i="10"/>
  <c r="W140" i="10"/>
  <c r="V140" i="10"/>
  <c r="T140" i="10"/>
  <c r="U140" i="10"/>
  <c r="T180" i="10"/>
  <c r="U180" i="10"/>
  <c r="V180" i="10"/>
  <c r="T228" i="10"/>
  <c r="U228" i="10"/>
  <c r="V228" i="10"/>
  <c r="W228" i="10"/>
  <c r="T292" i="10"/>
  <c r="U292" i="10"/>
  <c r="V292" i="10"/>
  <c r="W292" i="10"/>
  <c r="W356" i="10"/>
  <c r="U356" i="10"/>
  <c r="V356" i="10"/>
  <c r="T356" i="10"/>
  <c r="W413" i="10"/>
  <c r="V413" i="10"/>
  <c r="T413" i="10"/>
  <c r="U413" i="10"/>
  <c r="U132" i="10"/>
  <c r="T10" i="10"/>
  <c r="U10" i="10"/>
  <c r="V10" i="10"/>
  <c r="W10" i="10"/>
  <c r="T18" i="10"/>
  <c r="U18" i="10"/>
  <c r="V18" i="10"/>
  <c r="W18" i="10"/>
  <c r="U26" i="10"/>
  <c r="V26" i="10"/>
  <c r="W26" i="10"/>
  <c r="T50" i="10"/>
  <c r="U50" i="10"/>
  <c r="V50" i="10"/>
  <c r="T58" i="10"/>
  <c r="U58" i="10"/>
  <c r="V58" i="10"/>
  <c r="W58" i="10"/>
  <c r="T66" i="10"/>
  <c r="U66" i="10"/>
  <c r="V66" i="10"/>
  <c r="T74" i="10"/>
  <c r="U74" i="10"/>
  <c r="V74" i="10"/>
  <c r="W74" i="10"/>
  <c r="T82" i="10"/>
  <c r="U82" i="10"/>
  <c r="V82" i="10"/>
  <c r="W82" i="10"/>
  <c r="U90" i="10"/>
  <c r="V90" i="10"/>
  <c r="W90" i="10"/>
  <c r="W98" i="10"/>
  <c r="T98" i="10"/>
  <c r="U98" i="10"/>
  <c r="T106" i="10"/>
  <c r="U106" i="10"/>
  <c r="V106" i="10"/>
  <c r="W106" i="10"/>
  <c r="T114" i="10"/>
  <c r="U114" i="10"/>
  <c r="V114" i="10"/>
  <c r="W114" i="10"/>
  <c r="U122" i="10"/>
  <c r="V122" i="10"/>
  <c r="W122" i="10"/>
  <c r="W130" i="10"/>
  <c r="T130" i="10"/>
  <c r="U130" i="10"/>
  <c r="T138" i="10"/>
  <c r="U138" i="10"/>
  <c r="V138" i="10"/>
  <c r="W138" i="10"/>
  <c r="T146" i="10"/>
  <c r="U146" i="10"/>
  <c r="V146" i="10"/>
  <c r="W146" i="10"/>
  <c r="W154" i="10"/>
  <c r="T154" i="10"/>
  <c r="U154" i="10"/>
  <c r="T162" i="10"/>
  <c r="U162" i="10"/>
  <c r="V162" i="10"/>
  <c r="W162" i="10"/>
  <c r="T170" i="10"/>
  <c r="U170" i="10"/>
  <c r="V170" i="10"/>
  <c r="W170" i="10"/>
  <c r="V178" i="10"/>
  <c r="W178" i="10"/>
  <c r="T178" i="10"/>
  <c r="T186" i="10"/>
  <c r="U186" i="10"/>
  <c r="V186" i="10"/>
  <c r="W186" i="10"/>
  <c r="U194" i="10"/>
  <c r="V194" i="10"/>
  <c r="W194" i="10"/>
  <c r="T194" i="10"/>
  <c r="T202" i="10"/>
  <c r="V202" i="10"/>
  <c r="W202" i="10"/>
  <c r="W218" i="10"/>
  <c r="T218" i="10"/>
  <c r="U226" i="10"/>
  <c r="T226" i="10"/>
  <c r="V226" i="10"/>
  <c r="W226" i="10"/>
  <c r="U234" i="10"/>
  <c r="V234" i="10"/>
  <c r="W234" i="10"/>
  <c r="T234" i="10"/>
  <c r="T242" i="10"/>
  <c r="U242" i="10"/>
  <c r="V242" i="10"/>
  <c r="V250" i="10"/>
  <c r="W250" i="10"/>
  <c r="U258" i="10"/>
  <c r="V258" i="10"/>
  <c r="W258" i="10"/>
  <c r="T258" i="10"/>
  <c r="U274" i="10"/>
  <c r="V274" i="10"/>
  <c r="W274" i="10"/>
  <c r="T274" i="10"/>
  <c r="T282" i="10"/>
  <c r="W282" i="10"/>
  <c r="U282" i="10"/>
  <c r="U290" i="10"/>
  <c r="V290" i="10"/>
  <c r="W290" i="10"/>
  <c r="W298" i="10"/>
  <c r="T298" i="10"/>
  <c r="V298" i="10"/>
  <c r="T306" i="10"/>
  <c r="W306" i="10"/>
  <c r="W324" i="10"/>
  <c r="U324" i="10"/>
  <c r="V324" i="10"/>
  <c r="T324" i="10"/>
  <c r="V329" i="10"/>
  <c r="U329" i="10"/>
  <c r="T338" i="10"/>
  <c r="V338" i="10"/>
  <c r="W338" i="10"/>
  <c r="U353" i="10"/>
  <c r="T353" i="10"/>
  <c r="W353" i="10"/>
  <c r="T362" i="10"/>
  <c r="W362" i="10"/>
  <c r="V362" i="10"/>
  <c r="W378" i="10"/>
  <c r="T378" i="10"/>
  <c r="V378" i="10"/>
  <c r="W386" i="10"/>
  <c r="T386" i="10"/>
  <c r="V393" i="10"/>
  <c r="T393" i="10"/>
  <c r="U393" i="10"/>
  <c r="W401" i="10"/>
  <c r="V401" i="10"/>
  <c r="T401" i="10"/>
  <c r="U409" i="10"/>
  <c r="W409" i="10"/>
  <c r="V409" i="10"/>
  <c r="T409" i="10"/>
  <c r="V426" i="10"/>
  <c r="T426" i="10"/>
  <c r="W426" i="10"/>
  <c r="W433" i="10"/>
  <c r="V433" i="10"/>
  <c r="T433" i="10"/>
  <c r="W436" i="10"/>
  <c r="V436" i="10"/>
  <c r="T436" i="10"/>
  <c r="W344" i="10"/>
  <c r="U344" i="10"/>
  <c r="V344" i="10"/>
  <c r="T344" i="10"/>
  <c r="U266" i="10"/>
  <c r="T266" i="10"/>
  <c r="V266" i="10"/>
  <c r="W266" i="10"/>
  <c r="W195" i="10"/>
  <c r="U278" i="10"/>
  <c r="W278" i="10"/>
  <c r="V254" i="10"/>
  <c r="T222" i="10"/>
  <c r="W214" i="10"/>
  <c r="V166" i="10"/>
  <c r="V134" i="10"/>
  <c r="V102" i="10"/>
  <c r="V70" i="10"/>
  <c r="U29" i="10"/>
  <c r="V9" i="10"/>
  <c r="V37" i="10"/>
  <c r="U218" i="10"/>
  <c r="T290" i="10"/>
  <c r="W315" i="10"/>
  <c r="U326" i="10"/>
  <c r="W347" i="10"/>
  <c r="U358" i="10"/>
  <c r="W379" i="10"/>
  <c r="U390" i="10"/>
  <c r="U422" i="10"/>
  <c r="T275" i="10"/>
  <c r="V259" i="10"/>
  <c r="U235" i="10"/>
  <c r="T211" i="10"/>
  <c r="V195" i="10"/>
  <c r="W187" i="10"/>
  <c r="U155" i="10"/>
  <c r="V131" i="10"/>
  <c r="V107" i="10"/>
  <c r="V83" i="10"/>
  <c r="W65" i="10"/>
  <c r="T57" i="10"/>
  <c r="V34" i="10"/>
  <c r="W16" i="10"/>
  <c r="W148" i="10"/>
  <c r="T313" i="10"/>
  <c r="T208" i="10"/>
  <c r="W136" i="10"/>
  <c r="W62" i="10"/>
  <c r="W422" i="10"/>
  <c r="W261" i="10"/>
  <c r="U101" i="10"/>
  <c r="T8" i="10"/>
  <c r="U188" i="10"/>
  <c r="T332" i="10"/>
  <c r="T428" i="10"/>
  <c r="V449" i="10"/>
  <c r="V218" i="10"/>
  <c r="T12" i="10"/>
  <c r="W27" i="10"/>
  <c r="T61" i="10"/>
  <c r="W30" i="10"/>
  <c r="V396" i="10"/>
  <c r="T439" i="10"/>
  <c r="T394" i="10"/>
  <c r="U214" i="10"/>
  <c r="T76" i="10"/>
  <c r="U76" i="10"/>
  <c r="V76" i="10"/>
  <c r="T124" i="10"/>
  <c r="U124" i="10"/>
  <c r="W124" i="10"/>
  <c r="W172" i="10"/>
  <c r="T172" i="10"/>
  <c r="U172" i="10"/>
  <c r="W220" i="10"/>
  <c r="T220" i="10"/>
  <c r="U220" i="10"/>
  <c r="U276" i="10"/>
  <c r="V276" i="10"/>
  <c r="W276" i="10"/>
  <c r="W380" i="10"/>
  <c r="U380" i="10"/>
  <c r="V380" i="10"/>
  <c r="T380" i="10"/>
  <c r="W445" i="10"/>
  <c r="V445" i="10"/>
  <c r="T445" i="10"/>
  <c r="U445" i="10"/>
  <c r="T25" i="10"/>
  <c r="U25" i="10"/>
  <c r="V25" i="10"/>
  <c r="W25" i="10"/>
  <c r="V33" i="10"/>
  <c r="W33" i="10"/>
  <c r="T33" i="10"/>
  <c r="T41" i="10"/>
  <c r="U41" i="10"/>
  <c r="W41" i="10"/>
  <c r="U49" i="10"/>
  <c r="V49" i="10"/>
  <c r="W49" i="10"/>
  <c r="T73" i="10"/>
  <c r="U73" i="10"/>
  <c r="W73" i="10"/>
  <c r="T81" i="10"/>
  <c r="U81" i="10"/>
  <c r="W81" i="10"/>
  <c r="T89" i="10"/>
  <c r="U89" i="10"/>
  <c r="V89" i="10"/>
  <c r="W89" i="10"/>
  <c r="V105" i="10"/>
  <c r="W105" i="10"/>
  <c r="T105" i="10"/>
  <c r="T113" i="10"/>
  <c r="U113" i="10"/>
  <c r="V113" i="10"/>
  <c r="W113" i="10"/>
  <c r="V121" i="10"/>
  <c r="W121" i="10"/>
  <c r="T121" i="10"/>
  <c r="T137" i="10"/>
  <c r="U137" i="10"/>
  <c r="V137" i="10"/>
  <c r="T145" i="10"/>
  <c r="U145" i="10"/>
  <c r="V145" i="10"/>
  <c r="W145" i="10"/>
  <c r="V153" i="10"/>
  <c r="W153" i="10"/>
  <c r="T169" i="10"/>
  <c r="U169" i="10"/>
  <c r="V169" i="10"/>
  <c r="W169" i="10"/>
  <c r="U177" i="10"/>
  <c r="V177" i="10"/>
  <c r="W177" i="10"/>
  <c r="U185" i="10"/>
  <c r="V185" i="10"/>
  <c r="W185" i="10"/>
  <c r="T193" i="10"/>
  <c r="U193" i="10"/>
  <c r="V193" i="10"/>
  <c r="W193" i="10"/>
  <c r="T201" i="10"/>
  <c r="U201" i="10"/>
  <c r="V201" i="10"/>
  <c r="W201" i="10"/>
  <c r="U212" i="10"/>
  <c r="V212" i="10"/>
  <c r="W212" i="10"/>
  <c r="U217" i="10"/>
  <c r="V217" i="10"/>
  <c r="W217" i="10"/>
  <c r="T225" i="10"/>
  <c r="U225" i="10"/>
  <c r="V225" i="10"/>
  <c r="W225" i="10"/>
  <c r="T233" i="10"/>
  <c r="U233" i="10"/>
  <c r="V233" i="10"/>
  <c r="W241" i="10"/>
  <c r="T241" i="10"/>
  <c r="U241" i="10"/>
  <c r="T249" i="10"/>
  <c r="U249" i="10"/>
  <c r="V249" i="10"/>
  <c r="W249" i="10"/>
  <c r="W257" i="10"/>
  <c r="U257" i="10"/>
  <c r="T268" i="10"/>
  <c r="U268" i="10"/>
  <c r="V268" i="10"/>
  <c r="W268" i="10"/>
  <c r="T273" i="10"/>
  <c r="U273" i="10"/>
  <c r="V273" i="10"/>
  <c r="W273" i="10"/>
  <c r="T281" i="10"/>
  <c r="U281" i="10"/>
  <c r="V281" i="10"/>
  <c r="W281" i="10"/>
  <c r="W289" i="10"/>
  <c r="T289" i="10"/>
  <c r="U289" i="10"/>
  <c r="V297" i="10"/>
  <c r="U297" i="10"/>
  <c r="W305" i="10"/>
  <c r="V305" i="10"/>
  <c r="T305" i="10"/>
  <c r="W316" i="10"/>
  <c r="U316" i="10"/>
  <c r="V316" i="10"/>
  <c r="T316" i="10"/>
  <c r="U323" i="10"/>
  <c r="V323" i="10"/>
  <c r="T323" i="10"/>
  <c r="W337" i="10"/>
  <c r="V337" i="10"/>
  <c r="T337" i="10"/>
  <c r="U343" i="10"/>
  <c r="V343" i="10"/>
  <c r="V361" i="10"/>
  <c r="U361" i="10"/>
  <c r="W372" i="10"/>
  <c r="V372" i="10"/>
  <c r="T372" i="10"/>
  <c r="U377" i="10"/>
  <c r="W377" i="10"/>
  <c r="V377" i="10"/>
  <c r="T377" i="10"/>
  <c r="T385" i="10"/>
  <c r="U385" i="10"/>
  <c r="W385" i="10"/>
  <c r="W400" i="10"/>
  <c r="U400" i="10"/>
  <c r="V400" i="10"/>
  <c r="T400" i="10"/>
  <c r="U411" i="10"/>
  <c r="V411" i="10"/>
  <c r="T411" i="10"/>
  <c r="W420" i="10"/>
  <c r="U420" i="10"/>
  <c r="V420" i="10"/>
  <c r="T420" i="10"/>
  <c r="V425" i="10"/>
  <c r="T425" i="10"/>
  <c r="U425" i="10"/>
  <c r="U443" i="10"/>
  <c r="T443" i="10"/>
  <c r="V443" i="10"/>
  <c r="T322" i="10"/>
  <c r="W322" i="10"/>
  <c r="V322" i="10"/>
  <c r="W283" i="10"/>
  <c r="T390" i="10"/>
  <c r="T406" i="10"/>
  <c r="T422" i="10"/>
  <c r="V294" i="10"/>
  <c r="V278" i="10"/>
  <c r="T246" i="10"/>
  <c r="W142" i="10"/>
  <c r="W295" i="10"/>
  <c r="U306" i="10"/>
  <c r="W327" i="10"/>
  <c r="U338" i="10"/>
  <c r="W359" i="10"/>
  <c r="U370" i="10"/>
  <c r="W391" i="10"/>
  <c r="U402" i="10"/>
  <c r="W423" i="10"/>
  <c r="U434" i="10"/>
  <c r="T235" i="10"/>
  <c r="V219" i="10"/>
  <c r="W139" i="10"/>
  <c r="T107" i="10"/>
  <c r="U91" i="10"/>
  <c r="V65" i="10"/>
  <c r="U34" i="10"/>
  <c r="T257" i="10"/>
  <c r="T135" i="10"/>
  <c r="T329" i="10"/>
  <c r="V280" i="10"/>
  <c r="U152" i="10"/>
  <c r="W92" i="10"/>
  <c r="W326" i="10"/>
  <c r="U401" i="10"/>
  <c r="U213" i="10"/>
  <c r="W173" i="10"/>
  <c r="T26" i="10"/>
  <c r="W242" i="10"/>
  <c r="U178" i="10"/>
  <c r="T90" i="10"/>
  <c r="U308" i="10"/>
  <c r="W361" i="10"/>
  <c r="T68" i="10"/>
  <c r="U105" i="10"/>
  <c r="V300" i="10"/>
  <c r="T375" i="10"/>
  <c r="V252" i="10"/>
  <c r="T314" i="10"/>
  <c r="U202" i="10"/>
  <c r="P316" i="10"/>
  <c r="P377" i="10"/>
  <c r="N12" i="10"/>
  <c r="N36" i="10"/>
  <c r="P44" i="10"/>
  <c r="N84" i="10"/>
  <c r="M92" i="10"/>
  <c r="P132" i="10"/>
  <c r="N148" i="10"/>
  <c r="O156" i="10"/>
  <c r="N172" i="10"/>
  <c r="M188" i="10"/>
  <c r="O196" i="10"/>
  <c r="N252" i="10"/>
  <c r="O267" i="10"/>
  <c r="P276" i="10"/>
  <c r="N292" i="10"/>
  <c r="O315" i="10"/>
  <c r="N332" i="10"/>
  <c r="M340" i="10"/>
  <c r="O348" i="10"/>
  <c r="O356" i="10"/>
  <c r="P363" i="10"/>
  <c r="O371" i="10"/>
  <c r="N380" i="10"/>
  <c r="N388" i="10"/>
  <c r="N396" i="10"/>
  <c r="O413" i="10"/>
  <c r="N428" i="10"/>
  <c r="P435" i="10"/>
  <c r="O445" i="10"/>
  <c r="P328" i="10"/>
  <c r="N442" i="10"/>
  <c r="O33" i="10"/>
  <c r="P177" i="10"/>
  <c r="O343" i="10"/>
  <c r="N400" i="10"/>
  <c r="N19" i="10"/>
  <c r="P43" i="10"/>
  <c r="P75" i="10"/>
  <c r="N107" i="10"/>
  <c r="N123" i="10"/>
  <c r="O219" i="10"/>
  <c r="N235" i="10"/>
  <c r="P350" i="10"/>
  <c r="N366" i="10"/>
  <c r="N382" i="10"/>
  <c r="N387" i="10"/>
  <c r="N406" i="10"/>
  <c r="N412" i="10"/>
  <c r="N430" i="10"/>
  <c r="O437" i="10"/>
  <c r="M379" i="10"/>
  <c r="P121" i="10"/>
  <c r="M289" i="10"/>
  <c r="M337" i="10"/>
  <c r="O46" i="10"/>
  <c r="P269" i="10"/>
  <c r="M302" i="10"/>
  <c r="N310" i="10"/>
  <c r="M318" i="10"/>
  <c r="M326" i="10"/>
  <c r="O334" i="10"/>
  <c r="M342" i="10"/>
  <c r="N349" i="10"/>
  <c r="N358" i="10"/>
  <c r="N365" i="10"/>
  <c r="O374" i="10"/>
  <c r="O381" i="10"/>
  <c r="N390" i="10"/>
  <c r="N398" i="10"/>
  <c r="O405" i="10"/>
  <c r="M410" i="10"/>
  <c r="N422" i="10"/>
  <c r="O429" i="10"/>
  <c r="N440" i="10"/>
  <c r="N448" i="10"/>
  <c r="M312" i="10"/>
  <c r="P273" i="10"/>
  <c r="N372" i="10"/>
  <c r="M21" i="10"/>
  <c r="P53" i="10"/>
  <c r="N85" i="10"/>
  <c r="N117" i="10"/>
  <c r="N149" i="10"/>
  <c r="O157" i="10"/>
  <c r="P173" i="10"/>
  <c r="O181" i="10"/>
  <c r="P189" i="10"/>
  <c r="O197" i="10"/>
  <c r="P205" i="10"/>
  <c r="O213" i="10"/>
  <c r="P221" i="10"/>
  <c r="O229" i="10"/>
  <c r="P237" i="10"/>
  <c r="P245" i="10"/>
  <c r="P253" i="10"/>
  <c r="P261" i="10"/>
  <c r="P277" i="10"/>
  <c r="M285" i="10"/>
  <c r="P293" i="10"/>
  <c r="M301" i="10"/>
  <c r="P309" i="10"/>
  <c r="M317" i="10"/>
  <c r="M325" i="10"/>
  <c r="M333" i="10"/>
  <c r="O341" i="10"/>
  <c r="N357" i="10"/>
  <c r="N373" i="10"/>
  <c r="P389" i="10"/>
  <c r="O397" i="10"/>
  <c r="N416" i="10"/>
  <c r="O421" i="10"/>
  <c r="O439" i="10"/>
  <c r="O447" i="10"/>
  <c r="P368" i="10"/>
  <c r="O427" i="10"/>
  <c r="N41" i="10"/>
  <c r="M105" i="10"/>
  <c r="P193" i="10"/>
  <c r="P241" i="10"/>
  <c r="N420" i="10"/>
  <c r="N40" i="10"/>
  <c r="O152" i="10"/>
  <c r="P192" i="10"/>
  <c r="N232" i="10"/>
  <c r="P256" i="10"/>
  <c r="P272" i="10"/>
  <c r="M319" i="10"/>
  <c r="P327" i="10"/>
  <c r="M336" i="10"/>
  <c r="M351" i="10"/>
  <c r="N360" i="10"/>
  <c r="M367" i="10"/>
  <c r="M376" i="10"/>
  <c r="N384" i="10"/>
  <c r="O391" i="10"/>
  <c r="O399" i="10"/>
  <c r="N408" i="10"/>
  <c r="O415" i="10"/>
  <c r="N424" i="10"/>
  <c r="P431" i="10"/>
  <c r="O364" i="10"/>
  <c r="N161" i="10"/>
  <c r="N212" i="10"/>
  <c r="P257" i="10"/>
  <c r="O305" i="10"/>
  <c r="M361" i="10"/>
  <c r="O425" i="10"/>
  <c r="N23" i="10"/>
  <c r="P55" i="10"/>
  <c r="N62" i="10"/>
  <c r="P127" i="10"/>
  <c r="P143" i="10"/>
  <c r="P159" i="10"/>
  <c r="P175" i="10"/>
  <c r="M199" i="10"/>
  <c r="N263" i="10"/>
  <c r="M279" i="10"/>
  <c r="P303" i="10"/>
  <c r="M320" i="10"/>
  <c r="O330" i="10"/>
  <c r="O335" i="10"/>
  <c r="P345" i="10"/>
  <c r="M354" i="10"/>
  <c r="M359" i="10"/>
  <c r="O369" i="10"/>
  <c r="M375" i="10"/>
  <c r="O383" i="10"/>
  <c r="O394" i="10"/>
  <c r="O407" i="10"/>
  <c r="O417" i="10"/>
  <c r="O423" i="10"/>
  <c r="P434" i="10"/>
  <c r="O441" i="10"/>
  <c r="O449" i="10"/>
  <c r="P352" i="10"/>
  <c r="O347" i="10"/>
  <c r="N6" i="10"/>
  <c r="N25" i="10"/>
  <c r="P137" i="10"/>
  <c r="O385" i="10"/>
  <c r="P266" i="10"/>
  <c r="N10" i="10"/>
  <c r="M42" i="10"/>
  <c r="O74" i="10"/>
  <c r="N114" i="10"/>
  <c r="M122" i="10"/>
  <c r="P162" i="10"/>
  <c r="M178" i="10"/>
  <c r="N202" i="10"/>
  <c r="O226" i="10"/>
  <c r="M242" i="10"/>
  <c r="M282" i="10"/>
  <c r="P290" i="10"/>
  <c r="M324" i="10"/>
  <c r="P329" i="10"/>
  <c r="O353" i="10"/>
  <c r="P362" i="10"/>
  <c r="P378" i="10"/>
  <c r="N386" i="10"/>
  <c r="O393" i="10"/>
  <c r="O401" i="10"/>
  <c r="P409" i="10"/>
  <c r="O433" i="10"/>
  <c r="N436" i="10"/>
  <c r="M344" i="10"/>
  <c r="O266" i="10"/>
  <c r="M210" i="10"/>
  <c r="M364" i="10"/>
  <c r="N352" i="10"/>
  <c r="N427" i="10"/>
  <c r="N334" i="10"/>
  <c r="N368" i="10"/>
  <c r="N409" i="10"/>
  <c r="N359" i="10"/>
  <c r="M427" i="10"/>
  <c r="O328" i="10"/>
  <c r="P341" i="10"/>
  <c r="P213" i="10"/>
  <c r="O442" i="10"/>
  <c r="O361" i="10"/>
  <c r="M358" i="10"/>
  <c r="N344" i="10"/>
  <c r="N431" i="10"/>
  <c r="O389" i="10"/>
  <c r="P340" i="10"/>
  <c r="P391" i="10"/>
  <c r="M388" i="10"/>
  <c r="M373" i="10"/>
  <c r="O189" i="10"/>
  <c r="O210" i="10"/>
  <c r="O408" i="10"/>
  <c r="P390" i="10"/>
  <c r="M391" i="10"/>
  <c r="P375" i="10"/>
  <c r="O409" i="10"/>
  <c r="P413" i="10"/>
  <c r="P325" i="10"/>
  <c r="M173" i="10"/>
  <c r="P210" i="10"/>
  <c r="P373" i="10"/>
  <c r="M413" i="10"/>
  <c r="O431" i="10"/>
  <c r="M332" i="10"/>
  <c r="P433" i="10"/>
  <c r="P318" i="10"/>
  <c r="O301" i="10"/>
  <c r="M149" i="10"/>
  <c r="N210" i="10"/>
  <c r="N347" i="10"/>
  <c r="M433" i="10"/>
  <c r="P372" i="10"/>
  <c r="M408" i="10"/>
  <c r="N285" i="10"/>
  <c r="M117" i="10"/>
  <c r="M6" i="10"/>
  <c r="P312" i="10"/>
  <c r="M345" i="10"/>
  <c r="M310" i="10"/>
  <c r="N269" i="10"/>
  <c r="M85" i="10"/>
  <c r="P379" i="10"/>
  <c r="P6" i="10"/>
  <c r="P344" i="10"/>
  <c r="O312" i="10"/>
  <c r="O316" i="10"/>
  <c r="O245" i="10"/>
  <c r="O6" i="10"/>
  <c r="P337" i="10"/>
  <c r="O388" i="10"/>
  <c r="O344" i="10"/>
  <c r="N312" i="10"/>
  <c r="N389" i="10"/>
  <c r="P343" i="10"/>
  <c r="M229" i="10"/>
  <c r="P442" i="10"/>
  <c r="N35" i="10"/>
  <c r="O35" i="10"/>
  <c r="M35" i="10"/>
  <c r="P35" i="10"/>
  <c r="N83" i="10"/>
  <c r="O83" i="10"/>
  <c r="M83" i="10"/>
  <c r="P83" i="10"/>
  <c r="O139" i="10"/>
  <c r="M139" i="10"/>
  <c r="P139" i="10"/>
  <c r="P195" i="10"/>
  <c r="M195" i="10"/>
  <c r="N195" i="10"/>
  <c r="O195" i="10"/>
  <c r="P251" i="10"/>
  <c r="M251" i="10"/>
  <c r="N251" i="10"/>
  <c r="P307" i="10"/>
  <c r="M307" i="10"/>
  <c r="N307" i="10"/>
  <c r="O307" i="10"/>
  <c r="P370" i="10"/>
  <c r="N370" i="10"/>
  <c r="P14" i="10"/>
  <c r="M14" i="10"/>
  <c r="N14" i="10"/>
  <c r="N22" i="10"/>
  <c r="O22" i="10"/>
  <c r="P22" i="10"/>
  <c r="M22" i="10"/>
  <c r="N30" i="10"/>
  <c r="O30" i="10"/>
  <c r="P30" i="10"/>
  <c r="M30" i="10"/>
  <c r="N38" i="10"/>
  <c r="O38" i="10"/>
  <c r="P38" i="10"/>
  <c r="M38" i="10"/>
  <c r="N46" i="10"/>
  <c r="P46" i="10"/>
  <c r="M54" i="10"/>
  <c r="N54" i="10"/>
  <c r="O54" i="10"/>
  <c r="N61" i="10"/>
  <c r="O61" i="10"/>
  <c r="M61" i="10"/>
  <c r="P61" i="10"/>
  <c r="N70" i="10"/>
  <c r="O70" i="10"/>
  <c r="P70" i="10"/>
  <c r="M70" i="10"/>
  <c r="O78" i="10"/>
  <c r="P78" i="10"/>
  <c r="M78" i="10"/>
  <c r="N86" i="10"/>
  <c r="O86" i="10"/>
  <c r="P86" i="10"/>
  <c r="N94" i="10"/>
  <c r="O94" i="10"/>
  <c r="P94" i="10"/>
  <c r="M94" i="10"/>
  <c r="P102" i="10"/>
  <c r="M102" i="10"/>
  <c r="N102" i="10"/>
  <c r="N110" i="10"/>
  <c r="O110" i="10"/>
  <c r="P110" i="10"/>
  <c r="M110" i="10"/>
  <c r="N118" i="10"/>
  <c r="O118" i="10"/>
  <c r="P118" i="10"/>
  <c r="M118" i="10"/>
  <c r="M126" i="10"/>
  <c r="N126" i="10"/>
  <c r="O126" i="10"/>
  <c r="N134" i="10"/>
  <c r="O134" i="10"/>
  <c r="P134" i="10"/>
  <c r="M134" i="10"/>
  <c r="O142" i="10"/>
  <c r="P142" i="10"/>
  <c r="M142" i="10"/>
  <c r="N150" i="10"/>
  <c r="O150" i="10"/>
  <c r="P150" i="10"/>
  <c r="N158" i="10"/>
  <c r="M158" i="10"/>
  <c r="O158" i="10"/>
  <c r="P158" i="10"/>
  <c r="O166" i="10"/>
  <c r="P166" i="10"/>
  <c r="N166" i="10"/>
  <c r="N174" i="10"/>
  <c r="M174" i="10"/>
  <c r="O174" i="10"/>
  <c r="P174" i="10"/>
  <c r="M182" i="10"/>
  <c r="N182" i="10"/>
  <c r="P182" i="10"/>
  <c r="O182" i="10"/>
  <c r="O190" i="10"/>
  <c r="M190" i="10"/>
  <c r="N190" i="10"/>
  <c r="M198" i="10"/>
  <c r="N198" i="10"/>
  <c r="P198" i="10"/>
  <c r="O198" i="10"/>
  <c r="N206" i="10"/>
  <c r="P206" i="10"/>
  <c r="O206" i="10"/>
  <c r="M214" i="10"/>
  <c r="N214" i="10"/>
  <c r="P214" i="10"/>
  <c r="M222" i="10"/>
  <c r="N222" i="10"/>
  <c r="P222" i="10"/>
  <c r="O222" i="10"/>
  <c r="O230" i="10"/>
  <c r="P230" i="10"/>
  <c r="M230" i="10"/>
  <c r="M238" i="10"/>
  <c r="N238" i="10"/>
  <c r="O238" i="10"/>
  <c r="P238" i="10"/>
  <c r="O246" i="10"/>
  <c r="P246" i="10"/>
  <c r="M246" i="10"/>
  <c r="N246" i="10"/>
  <c r="P254" i="10"/>
  <c r="M254" i="10"/>
  <c r="N254" i="10"/>
  <c r="O262" i="10"/>
  <c r="P262" i="10"/>
  <c r="N262" i="10"/>
  <c r="M278" i="10"/>
  <c r="N278" i="10"/>
  <c r="O278" i="10"/>
  <c r="P278" i="10"/>
  <c r="M286" i="10"/>
  <c r="N286" i="10"/>
  <c r="O286" i="10"/>
  <c r="P286" i="10"/>
  <c r="P294" i="10"/>
  <c r="M294" i="10"/>
  <c r="N294" i="10"/>
  <c r="O365" i="10"/>
  <c r="O390" i="10"/>
  <c r="O412" i="10"/>
  <c r="N328" i="10"/>
  <c r="M366" i="10"/>
  <c r="P436" i="10"/>
  <c r="P333" i="10"/>
  <c r="M369" i="10"/>
  <c r="M393" i="10"/>
  <c r="M415" i="10"/>
  <c r="M437" i="10"/>
  <c r="M348" i="10"/>
  <c r="N369" i="10"/>
  <c r="N391" i="10"/>
  <c r="N413" i="10"/>
  <c r="N433" i="10"/>
  <c r="P335" i="10"/>
  <c r="N364" i="10"/>
  <c r="O340" i="10"/>
  <c r="N316" i="10"/>
  <c r="N367" i="10"/>
  <c r="P393" i="10"/>
  <c r="P415" i="10"/>
  <c r="P437" i="10"/>
  <c r="P369" i="10"/>
  <c r="O351" i="10"/>
  <c r="M390" i="10"/>
  <c r="M412" i="10"/>
  <c r="P374" i="10"/>
  <c r="P342" i="10"/>
  <c r="M334" i="10"/>
  <c r="O318" i="10"/>
  <c r="M262" i="10"/>
  <c r="M365" i="10"/>
  <c r="O317" i="10"/>
  <c r="N301" i="10"/>
  <c r="P285" i="10"/>
  <c r="O261" i="10"/>
  <c r="N245" i="10"/>
  <c r="P229" i="10"/>
  <c r="O205" i="10"/>
  <c r="N189" i="10"/>
  <c r="O173" i="10"/>
  <c r="O232" i="10"/>
  <c r="N305" i="10"/>
  <c r="N139" i="10"/>
  <c r="N27" i="10"/>
  <c r="O27" i="10"/>
  <c r="M27" i="10"/>
  <c r="N91" i="10"/>
  <c r="O91" i="10"/>
  <c r="P91" i="10"/>
  <c r="M91" i="10"/>
  <c r="N147" i="10"/>
  <c r="O147" i="10"/>
  <c r="M147" i="10"/>
  <c r="P147" i="10"/>
  <c r="N203" i="10"/>
  <c r="O203" i="10"/>
  <c r="P203" i="10"/>
  <c r="P259" i="10"/>
  <c r="M259" i="10"/>
  <c r="N259" i="10"/>
  <c r="O259" i="10"/>
  <c r="O321" i="10"/>
  <c r="P321" i="10"/>
  <c r="M321" i="10"/>
  <c r="N321" i="10"/>
  <c r="O430" i="10"/>
  <c r="O13" i="10"/>
  <c r="P13" i="10"/>
  <c r="P21" i="10"/>
  <c r="N21" i="10"/>
  <c r="O29" i="10"/>
  <c r="M29" i="10"/>
  <c r="P29" i="10"/>
  <c r="N37" i="10"/>
  <c r="O37" i="10"/>
  <c r="M37" i="10"/>
  <c r="N45" i="10"/>
  <c r="O45" i="10"/>
  <c r="M45" i="10"/>
  <c r="P45" i="10"/>
  <c r="N53" i="10"/>
  <c r="O53" i="10"/>
  <c r="M53" i="10"/>
  <c r="N64" i="10"/>
  <c r="O64" i="10"/>
  <c r="P64" i="10"/>
  <c r="M64" i="10"/>
  <c r="O69" i="10"/>
  <c r="P69" i="10"/>
  <c r="O77" i="10"/>
  <c r="M77" i="10"/>
  <c r="O85" i="10"/>
  <c r="P85" i="10"/>
  <c r="O93" i="10"/>
  <c r="M93" i="10"/>
  <c r="O101" i="10"/>
  <c r="P101" i="10"/>
  <c r="O109" i="10"/>
  <c r="M109" i="10"/>
  <c r="O117" i="10"/>
  <c r="P117" i="10"/>
  <c r="O125" i="10"/>
  <c r="M125" i="10"/>
  <c r="O133" i="10"/>
  <c r="P133" i="10"/>
  <c r="O141" i="10"/>
  <c r="M141" i="10"/>
  <c r="O149" i="10"/>
  <c r="P149" i="10"/>
  <c r="O165" i="10"/>
  <c r="P165" i="10"/>
  <c r="P311" i="10"/>
  <c r="N311" i="10"/>
  <c r="O311" i="10"/>
  <c r="M311" i="10"/>
  <c r="O327" i="10"/>
  <c r="O436" i="10"/>
  <c r="M368" i="10"/>
  <c r="O368" i="10"/>
  <c r="P336" i="10"/>
  <c r="M328" i="10"/>
  <c r="M374" i="10"/>
  <c r="P396" i="10"/>
  <c r="P416" i="10"/>
  <c r="P365" i="10"/>
  <c r="M335" i="10"/>
  <c r="N374" i="10"/>
  <c r="M397" i="10"/>
  <c r="M417" i="10"/>
  <c r="M439" i="10"/>
  <c r="O350" i="10"/>
  <c r="M372" i="10"/>
  <c r="N393" i="10"/>
  <c r="N415" i="10"/>
  <c r="N437" i="10"/>
  <c r="P367" i="10"/>
  <c r="P364" i="10"/>
  <c r="N340" i="10"/>
  <c r="P324" i="10"/>
  <c r="M316" i="10"/>
  <c r="N375" i="10"/>
  <c r="P397" i="10"/>
  <c r="P417" i="10"/>
  <c r="P439" i="10"/>
  <c r="O359" i="10"/>
  <c r="M436" i="10"/>
  <c r="O342" i="10"/>
  <c r="N318" i="10"/>
  <c r="P302" i="10"/>
  <c r="M357" i="10"/>
  <c r="N317" i="10"/>
  <c r="P301" i="10"/>
  <c r="O277" i="10"/>
  <c r="N261" i="10"/>
  <c r="M245" i="10"/>
  <c r="O221" i="10"/>
  <c r="N205" i="10"/>
  <c r="M189" i="10"/>
  <c r="N173" i="10"/>
  <c r="P141" i="10"/>
  <c r="P109" i="10"/>
  <c r="P77" i="10"/>
  <c r="P41" i="10"/>
  <c r="O21" i="10"/>
  <c r="M44" i="10"/>
  <c r="P410" i="10"/>
  <c r="P386" i="10"/>
  <c r="O372" i="10"/>
  <c r="P37" i="10"/>
  <c r="O214" i="10"/>
  <c r="M86" i="10"/>
  <c r="O251" i="10"/>
  <c r="O51" i="10"/>
  <c r="M51" i="10"/>
  <c r="P51" i="10"/>
  <c r="N99" i="10"/>
  <c r="O99" i="10"/>
  <c r="M99" i="10"/>
  <c r="P99" i="10"/>
  <c r="O155" i="10"/>
  <c r="P155" i="10"/>
  <c r="M155" i="10"/>
  <c r="P275" i="10"/>
  <c r="M275" i="10"/>
  <c r="N275" i="10"/>
  <c r="O275" i="10"/>
  <c r="M8" i="10"/>
  <c r="N8" i="10"/>
  <c r="M16" i="10"/>
  <c r="N16" i="10"/>
  <c r="O16" i="10"/>
  <c r="N24" i="10"/>
  <c r="O24" i="10"/>
  <c r="P24" i="10"/>
  <c r="N32" i="10"/>
  <c r="O32" i="10"/>
  <c r="P32" i="10"/>
  <c r="M32" i="10"/>
  <c r="O40" i="10"/>
  <c r="P40" i="10"/>
  <c r="M40" i="10"/>
  <c r="N48" i="10"/>
  <c r="O48" i="10"/>
  <c r="P48" i="10"/>
  <c r="M48" i="10"/>
  <c r="N56" i="10"/>
  <c r="O56" i="10"/>
  <c r="P56" i="10"/>
  <c r="N63" i="10"/>
  <c r="O63" i="10"/>
  <c r="P63" i="10"/>
  <c r="M63" i="10"/>
  <c r="N72" i="10"/>
  <c r="O72" i="10"/>
  <c r="P72" i="10"/>
  <c r="M72" i="10"/>
  <c r="N80" i="10"/>
  <c r="O80" i="10"/>
  <c r="P80" i="10"/>
  <c r="M80" i="10"/>
  <c r="N88" i="10"/>
  <c r="O88" i="10"/>
  <c r="P88" i="10"/>
  <c r="M88" i="10"/>
  <c r="N96" i="10"/>
  <c r="O96" i="10"/>
  <c r="P96" i="10"/>
  <c r="M96" i="10"/>
  <c r="N104" i="10"/>
  <c r="O104" i="10"/>
  <c r="P104" i="10"/>
  <c r="M104" i="10"/>
  <c r="N112" i="10"/>
  <c r="O112" i="10"/>
  <c r="P112" i="10"/>
  <c r="M112" i="10"/>
  <c r="N120" i="10"/>
  <c r="P120" i="10"/>
  <c r="O128" i="10"/>
  <c r="P128" i="10"/>
  <c r="M128" i="10"/>
  <c r="P136" i="10"/>
  <c r="M136" i="10"/>
  <c r="N136" i="10"/>
  <c r="N144" i="10"/>
  <c r="O144" i="10"/>
  <c r="P144" i="10"/>
  <c r="M144" i="10"/>
  <c r="M152" i="10"/>
  <c r="N152" i="10"/>
  <c r="P152" i="10"/>
  <c r="M160" i="10"/>
  <c r="N160" i="10"/>
  <c r="P160" i="10"/>
  <c r="O160" i="10"/>
  <c r="O168" i="10"/>
  <c r="M168" i="10"/>
  <c r="N168" i="10"/>
  <c r="M176" i="10"/>
  <c r="N176" i="10"/>
  <c r="P176" i="10"/>
  <c r="O176" i="10"/>
  <c r="N184" i="10"/>
  <c r="P184" i="10"/>
  <c r="O184" i="10"/>
  <c r="O192" i="10"/>
  <c r="M192" i="10"/>
  <c r="N192" i="10"/>
  <c r="M200" i="10"/>
  <c r="N200" i="10"/>
  <c r="P200" i="10"/>
  <c r="O200" i="10"/>
  <c r="M208" i="10"/>
  <c r="N208" i="10"/>
  <c r="P208" i="10"/>
  <c r="O208" i="10"/>
  <c r="O216" i="10"/>
  <c r="M216" i="10"/>
  <c r="N216" i="10"/>
  <c r="P224" i="10"/>
  <c r="O224" i="10"/>
  <c r="M224" i="10"/>
  <c r="P232" i="10"/>
  <c r="M232" i="10"/>
  <c r="M240" i="10"/>
  <c r="N240" i="10"/>
  <c r="O240" i="10"/>
  <c r="P240" i="10"/>
  <c r="M248" i="10"/>
  <c r="N248" i="10"/>
  <c r="O248" i="10"/>
  <c r="M256" i="10"/>
  <c r="N256" i="10"/>
  <c r="O256" i="10"/>
  <c r="P264" i="10"/>
  <c r="M264" i="10"/>
  <c r="N264" i="10"/>
  <c r="O264" i="10"/>
  <c r="M272" i="10"/>
  <c r="N272" i="10"/>
  <c r="O272" i="10"/>
  <c r="N280" i="10"/>
  <c r="O280" i="10"/>
  <c r="P280" i="10"/>
  <c r="M288" i="10"/>
  <c r="N288" i="10"/>
  <c r="O288" i="10"/>
  <c r="P288" i="10"/>
  <c r="P296" i="10"/>
  <c r="M296" i="10"/>
  <c r="N296" i="10"/>
  <c r="M304" i="10"/>
  <c r="N304" i="10"/>
  <c r="O304" i="10"/>
  <c r="P304" i="10"/>
  <c r="M314" i="10"/>
  <c r="N314" i="10"/>
  <c r="O314" i="10"/>
  <c r="P314" i="10"/>
  <c r="N319" i="10"/>
  <c r="O319" i="10"/>
  <c r="P319" i="10"/>
  <c r="N327" i="10"/>
  <c r="M327" i="10"/>
  <c r="P346" i="10"/>
  <c r="M346" i="10"/>
  <c r="M360" i="10"/>
  <c r="O360" i="10"/>
  <c r="N333" i="10"/>
  <c r="O373" i="10"/>
  <c r="O396" i="10"/>
  <c r="O416" i="10"/>
  <c r="P360" i="10"/>
  <c r="O336" i="10"/>
  <c r="O376" i="10"/>
  <c r="P398" i="10"/>
  <c r="P420" i="10"/>
  <c r="P440" i="10"/>
  <c r="P376" i="10"/>
  <c r="M399" i="10"/>
  <c r="M421" i="10"/>
  <c r="M441" i="10"/>
  <c r="N353" i="10"/>
  <c r="N397" i="10"/>
  <c r="N417" i="10"/>
  <c r="N439" i="10"/>
  <c r="N341" i="10"/>
  <c r="O324" i="10"/>
  <c r="O377" i="10"/>
  <c r="P399" i="10"/>
  <c r="P421" i="10"/>
  <c r="P441" i="10"/>
  <c r="P361" i="10"/>
  <c r="O367" i="10"/>
  <c r="M396" i="10"/>
  <c r="M416" i="10"/>
  <c r="P366" i="10"/>
  <c r="N342" i="10"/>
  <c r="P326" i="10"/>
  <c r="O302" i="10"/>
  <c r="N346" i="10"/>
  <c r="M349" i="10"/>
  <c r="P317" i="10"/>
  <c r="O293" i="10"/>
  <c r="N277" i="10"/>
  <c r="M261" i="10"/>
  <c r="N221" i="10"/>
  <c r="M205" i="10"/>
  <c r="M165" i="10"/>
  <c r="N141" i="10"/>
  <c r="N109" i="10"/>
  <c r="N77" i="10"/>
  <c r="M13" i="10"/>
  <c r="O44" i="10"/>
  <c r="O410" i="10"/>
  <c r="M322" i="10"/>
  <c r="N322" i="10"/>
  <c r="O322" i="10"/>
  <c r="P322" i="10"/>
  <c r="O136" i="10"/>
  <c r="N128" i="10"/>
  <c r="P27" i="10"/>
  <c r="O254" i="10"/>
  <c r="M166" i="10"/>
  <c r="P126" i="10"/>
  <c r="N29" i="10"/>
  <c r="M184" i="10"/>
  <c r="P248" i="10"/>
  <c r="P59" i="10"/>
  <c r="N59" i="10"/>
  <c r="O59" i="10"/>
  <c r="N115" i="10"/>
  <c r="O115" i="10"/>
  <c r="M115" i="10"/>
  <c r="P115" i="10"/>
  <c r="O171" i="10"/>
  <c r="P171" i="10"/>
  <c r="M171" i="10"/>
  <c r="P227" i="10"/>
  <c r="O227" i="10"/>
  <c r="M227" i="10"/>
  <c r="N227" i="10"/>
  <c r="O270" i="10"/>
  <c r="P270" i="10"/>
  <c r="M270" i="10"/>
  <c r="O387" i="10"/>
  <c r="P387" i="10"/>
  <c r="M387" i="10"/>
  <c r="O418" i="10"/>
  <c r="M418" i="10"/>
  <c r="P412" i="10"/>
  <c r="O366" i="10"/>
  <c r="P418" i="10"/>
  <c r="N51" i="10"/>
  <c r="N7" i="10"/>
  <c r="O7" i="10"/>
  <c r="P7" i="10"/>
  <c r="N15" i="10"/>
  <c r="O15" i="10"/>
  <c r="P15" i="10"/>
  <c r="M15" i="10"/>
  <c r="O23" i="10"/>
  <c r="P23" i="10"/>
  <c r="M23" i="10"/>
  <c r="M31" i="10"/>
  <c r="N31" i="10"/>
  <c r="O31" i="10"/>
  <c r="N39" i="10"/>
  <c r="O39" i="10"/>
  <c r="P39" i="10"/>
  <c r="M39" i="10"/>
  <c r="N47" i="10"/>
  <c r="O47" i="10"/>
  <c r="P47" i="10"/>
  <c r="M47" i="10"/>
  <c r="M55" i="10"/>
  <c r="N55" i="10"/>
  <c r="O55" i="10"/>
  <c r="O62" i="10"/>
  <c r="P62" i="10"/>
  <c r="N71" i="10"/>
  <c r="O71" i="10"/>
  <c r="P71" i="10"/>
  <c r="M71" i="10"/>
  <c r="M79" i="10"/>
  <c r="N79" i="10"/>
  <c r="O79" i="10"/>
  <c r="N87" i="10"/>
  <c r="O87" i="10"/>
  <c r="P87" i="10"/>
  <c r="M87" i="10"/>
  <c r="M95" i="10"/>
  <c r="N95" i="10"/>
  <c r="O95" i="10"/>
  <c r="N103" i="10"/>
  <c r="O103" i="10"/>
  <c r="P103" i="10"/>
  <c r="M103" i="10"/>
  <c r="M111" i="10"/>
  <c r="N111" i="10"/>
  <c r="O111" i="10"/>
  <c r="N119" i="10"/>
  <c r="O119" i="10"/>
  <c r="P119" i="10"/>
  <c r="M119" i="10"/>
  <c r="M127" i="10"/>
  <c r="N127" i="10"/>
  <c r="O127" i="10"/>
  <c r="N135" i="10"/>
  <c r="O135" i="10"/>
  <c r="P135" i="10"/>
  <c r="M135" i="10"/>
  <c r="M143" i="10"/>
  <c r="N143" i="10"/>
  <c r="O143" i="10"/>
  <c r="N151" i="10"/>
  <c r="O151" i="10"/>
  <c r="P151" i="10"/>
  <c r="M151" i="10"/>
  <c r="M159" i="10"/>
  <c r="N159" i="10"/>
  <c r="O159" i="10"/>
  <c r="N167" i="10"/>
  <c r="O167" i="10"/>
  <c r="P167" i="10"/>
  <c r="M167" i="10"/>
  <c r="M175" i="10"/>
  <c r="N175" i="10"/>
  <c r="O175" i="10"/>
  <c r="P183" i="10"/>
  <c r="M183" i="10"/>
  <c r="N183" i="10"/>
  <c r="O183" i="10"/>
  <c r="P191" i="10"/>
  <c r="M191" i="10"/>
  <c r="N191" i="10"/>
  <c r="P199" i="10"/>
  <c r="N199" i="10"/>
  <c r="O199" i="10"/>
  <c r="P207" i="10"/>
  <c r="M207" i="10"/>
  <c r="N207" i="10"/>
  <c r="O207" i="10"/>
  <c r="N215" i="10"/>
  <c r="O215" i="10"/>
  <c r="P215" i="10"/>
  <c r="P223" i="10"/>
  <c r="M223" i="10"/>
  <c r="N223" i="10"/>
  <c r="O223" i="10"/>
  <c r="N231" i="10"/>
  <c r="O231" i="10"/>
  <c r="P231" i="10"/>
  <c r="P239" i="10"/>
  <c r="M239" i="10"/>
  <c r="N239" i="10"/>
  <c r="O239" i="10"/>
  <c r="N247" i="10"/>
  <c r="O247" i="10"/>
  <c r="P247" i="10"/>
  <c r="N255" i="10"/>
  <c r="P255" i="10"/>
  <c r="O255" i="10"/>
  <c r="M255" i="10"/>
  <c r="O263" i="10"/>
  <c r="P263" i="10"/>
  <c r="M263" i="10"/>
  <c r="P271" i="10"/>
  <c r="O271" i="10"/>
  <c r="M271" i="10"/>
  <c r="N271" i="10"/>
  <c r="N279" i="10"/>
  <c r="P279" i="10"/>
  <c r="O279" i="10"/>
  <c r="P287" i="10"/>
  <c r="M287" i="10"/>
  <c r="N287" i="10"/>
  <c r="O287" i="10"/>
  <c r="P295" i="10"/>
  <c r="N295" i="10"/>
  <c r="O295" i="10"/>
  <c r="M295" i="10"/>
  <c r="M303" i="10"/>
  <c r="N303" i="10"/>
  <c r="O303" i="10"/>
  <c r="P313" i="10"/>
  <c r="M313" i="10"/>
  <c r="N313" i="10"/>
  <c r="O313" i="10"/>
  <c r="P330" i="10"/>
  <c r="M330" i="10"/>
  <c r="N330" i="10"/>
  <c r="P354" i="10"/>
  <c r="N354" i="10"/>
  <c r="O354" i="10"/>
  <c r="M394" i="10"/>
  <c r="N394" i="10"/>
  <c r="O402" i="10"/>
  <c r="M402" i="10"/>
  <c r="O434" i="10"/>
  <c r="M434" i="10"/>
  <c r="N376" i="10"/>
  <c r="O398" i="10"/>
  <c r="O420" i="10"/>
  <c r="O440" i="10"/>
  <c r="N336" i="10"/>
  <c r="P320" i="10"/>
  <c r="P380" i="10"/>
  <c r="P400" i="10"/>
  <c r="P422" i="10"/>
  <c r="P357" i="10"/>
  <c r="N350" i="10"/>
  <c r="M381" i="10"/>
  <c r="M401" i="10"/>
  <c r="M423" i="10"/>
  <c r="M445" i="10"/>
  <c r="M356" i="10"/>
  <c r="M377" i="10"/>
  <c r="N399" i="10"/>
  <c r="N421" i="10"/>
  <c r="N441" i="10"/>
  <c r="P359" i="10"/>
  <c r="N345" i="10"/>
  <c r="N377" i="10"/>
  <c r="P356" i="10"/>
  <c r="N324" i="10"/>
  <c r="P381" i="10"/>
  <c r="P401" i="10"/>
  <c r="P423" i="10"/>
  <c r="P445" i="10"/>
  <c r="O375" i="10"/>
  <c r="M398" i="10"/>
  <c r="M420" i="10"/>
  <c r="M440" i="10"/>
  <c r="O326" i="10"/>
  <c r="N302" i="10"/>
  <c r="M341" i="10"/>
  <c r="O309" i="10"/>
  <c r="N293" i="10"/>
  <c r="M277" i="10"/>
  <c r="O237" i="10"/>
  <c r="M221" i="10"/>
  <c r="N181" i="10"/>
  <c r="N165" i="10"/>
  <c r="M133" i="10"/>
  <c r="M101" i="10"/>
  <c r="M69" i="10"/>
  <c r="P36" i="10"/>
  <c r="N13" i="10"/>
  <c r="M120" i="10"/>
  <c r="N44" i="10"/>
  <c r="M247" i="10"/>
  <c r="P111" i="10"/>
  <c r="M7" i="10"/>
  <c r="O294" i="10"/>
  <c r="M206" i="10"/>
  <c r="N78" i="10"/>
  <c r="O11" i="10"/>
  <c r="M11" i="10"/>
  <c r="P11" i="10"/>
  <c r="P67" i="10"/>
  <c r="N67" i="10"/>
  <c r="O67" i="10"/>
  <c r="O123" i="10"/>
  <c r="M123" i="10"/>
  <c r="P123" i="10"/>
  <c r="P179" i="10"/>
  <c r="M179" i="10"/>
  <c r="N179" i="10"/>
  <c r="O179" i="10"/>
  <c r="O235" i="10"/>
  <c r="P235" i="10"/>
  <c r="M235" i="10"/>
  <c r="P283" i="10"/>
  <c r="M283" i="10"/>
  <c r="N283" i="10"/>
  <c r="P331" i="10"/>
  <c r="M331" i="10"/>
  <c r="N331" i="10"/>
  <c r="M430" i="10"/>
  <c r="O10" i="10"/>
  <c r="P10" i="10"/>
  <c r="M10" i="10"/>
  <c r="N18" i="10"/>
  <c r="O18" i="10"/>
  <c r="P18" i="10"/>
  <c r="M18" i="10"/>
  <c r="N26" i="10"/>
  <c r="P26" i="10"/>
  <c r="M26" i="10"/>
  <c r="N34" i="10"/>
  <c r="O34" i="10"/>
  <c r="P34" i="10"/>
  <c r="M34" i="10"/>
  <c r="N42" i="10"/>
  <c r="O42" i="10"/>
  <c r="P42" i="10"/>
  <c r="N50" i="10"/>
  <c r="O50" i="10"/>
  <c r="P50" i="10"/>
  <c r="M50" i="10"/>
  <c r="N58" i="10"/>
  <c r="O58" i="10"/>
  <c r="P58" i="10"/>
  <c r="M58" i="10"/>
  <c r="M66" i="10"/>
  <c r="N66" i="10"/>
  <c r="O66" i="10"/>
  <c r="P74" i="10"/>
  <c r="M74" i="10"/>
  <c r="N74" i="10"/>
  <c r="N82" i="10"/>
  <c r="O82" i="10"/>
  <c r="P82" i="10"/>
  <c r="M82" i="10"/>
  <c r="N90" i="10"/>
  <c r="O90" i="10"/>
  <c r="P90" i="10"/>
  <c r="M90" i="10"/>
  <c r="M98" i="10"/>
  <c r="N98" i="10"/>
  <c r="O98" i="10"/>
  <c r="N106" i="10"/>
  <c r="O106" i="10"/>
  <c r="P106" i="10"/>
  <c r="M106" i="10"/>
  <c r="O114" i="10"/>
  <c r="P114" i="10"/>
  <c r="M114" i="10"/>
  <c r="N122" i="10"/>
  <c r="O122" i="10"/>
  <c r="P122" i="10"/>
  <c r="N130" i="10"/>
  <c r="O130" i="10"/>
  <c r="P130" i="10"/>
  <c r="M130" i="10"/>
  <c r="P138" i="10"/>
  <c r="M138" i="10"/>
  <c r="N138" i="10"/>
  <c r="N146" i="10"/>
  <c r="O146" i="10"/>
  <c r="P146" i="10"/>
  <c r="M146" i="10"/>
  <c r="N154" i="10"/>
  <c r="O154" i="10"/>
  <c r="P154" i="10"/>
  <c r="M154" i="10"/>
  <c r="M162" i="10"/>
  <c r="N162" i="10"/>
  <c r="O162" i="10"/>
  <c r="N170" i="10"/>
  <c r="O170" i="10"/>
  <c r="P170" i="10"/>
  <c r="M170" i="10"/>
  <c r="N178" i="10"/>
  <c r="P178" i="10"/>
  <c r="O178" i="10"/>
  <c r="M186" i="10"/>
  <c r="N186" i="10"/>
  <c r="P186" i="10"/>
  <c r="M194" i="10"/>
  <c r="N194" i="10"/>
  <c r="P194" i="10"/>
  <c r="O194" i="10"/>
  <c r="P202" i="10"/>
  <c r="O202" i="10"/>
  <c r="M202" i="10"/>
  <c r="M209" i="10"/>
  <c r="N209" i="10"/>
  <c r="O209" i="10"/>
  <c r="M218" i="10"/>
  <c r="N218" i="10"/>
  <c r="P218" i="10"/>
  <c r="O218" i="10"/>
  <c r="P226" i="10"/>
  <c r="M226" i="10"/>
  <c r="N226" i="10"/>
  <c r="M234" i="10"/>
  <c r="N234" i="10"/>
  <c r="O234" i="10"/>
  <c r="P234" i="10"/>
  <c r="N242" i="10"/>
  <c r="O242" i="10"/>
  <c r="P242" i="10"/>
  <c r="N250" i="10"/>
  <c r="M250" i="10"/>
  <c r="O250" i="10"/>
  <c r="P250" i="10"/>
  <c r="M258" i="10"/>
  <c r="N258" i="10"/>
  <c r="O258" i="10"/>
  <c r="P258" i="10"/>
  <c r="P265" i="10"/>
  <c r="M265" i="10"/>
  <c r="N265" i="10"/>
  <c r="O265" i="10"/>
  <c r="M274" i="10"/>
  <c r="N274" i="10"/>
  <c r="O274" i="10"/>
  <c r="P274" i="10"/>
  <c r="N282" i="10"/>
  <c r="O282" i="10"/>
  <c r="P282" i="10"/>
  <c r="M290" i="10"/>
  <c r="N290" i="10"/>
  <c r="O290" i="10"/>
  <c r="M298" i="10"/>
  <c r="N298" i="10"/>
  <c r="O298" i="10"/>
  <c r="P298" i="10"/>
  <c r="O306" i="10"/>
  <c r="P306" i="10"/>
  <c r="M306" i="10"/>
  <c r="M329" i="10"/>
  <c r="N329" i="10"/>
  <c r="O329" i="10"/>
  <c r="M338" i="10"/>
  <c r="N338" i="10"/>
  <c r="P338" i="10"/>
  <c r="O362" i="10"/>
  <c r="M362" i="10"/>
  <c r="N362" i="10"/>
  <c r="M378" i="10"/>
  <c r="N378" i="10"/>
  <c r="O386" i="10"/>
  <c r="M386" i="10"/>
  <c r="N426" i="10"/>
  <c r="M426" i="10"/>
  <c r="O349" i="10"/>
  <c r="O380" i="10"/>
  <c r="O400" i="10"/>
  <c r="O422" i="10"/>
  <c r="O320" i="10"/>
  <c r="P382" i="10"/>
  <c r="P424" i="10"/>
  <c r="M353" i="10"/>
  <c r="M383" i="10"/>
  <c r="M405" i="10"/>
  <c r="M425" i="10"/>
  <c r="M447" i="10"/>
  <c r="O358" i="10"/>
  <c r="N381" i="10"/>
  <c r="N401" i="10"/>
  <c r="N423" i="10"/>
  <c r="N445" i="10"/>
  <c r="N348" i="10"/>
  <c r="P332" i="10"/>
  <c r="P383" i="10"/>
  <c r="P405" i="10"/>
  <c r="P425" i="10"/>
  <c r="P447" i="10"/>
  <c r="P353" i="10"/>
  <c r="M380" i="10"/>
  <c r="M400" i="10"/>
  <c r="M422" i="10"/>
  <c r="P358" i="10"/>
  <c r="N326" i="10"/>
  <c r="P310" i="10"/>
  <c r="N402" i="10"/>
  <c r="O325" i="10"/>
  <c r="N309" i="10"/>
  <c r="M293" i="10"/>
  <c r="M253" i="10"/>
  <c r="N237" i="10"/>
  <c r="N197" i="10"/>
  <c r="M181" i="10"/>
  <c r="P157" i="10"/>
  <c r="N133" i="10"/>
  <c r="N101" i="10"/>
  <c r="N69" i="10"/>
  <c r="P8" i="10"/>
  <c r="O120" i="10"/>
  <c r="P426" i="10"/>
  <c r="P402" i="10"/>
  <c r="O378" i="10"/>
  <c r="O346" i="10"/>
  <c r="N306" i="10"/>
  <c r="P54" i="10"/>
  <c r="M231" i="10"/>
  <c r="P95" i="10"/>
  <c r="M280" i="10"/>
  <c r="O14" i="10"/>
  <c r="O331" i="10"/>
  <c r="M203" i="10"/>
  <c r="M24" i="10"/>
  <c r="O19" i="10"/>
  <c r="P19" i="10"/>
  <c r="N75" i="10"/>
  <c r="O75" i="10"/>
  <c r="M75" i="10"/>
  <c r="N131" i="10"/>
  <c r="O131" i="10"/>
  <c r="M131" i="10"/>
  <c r="P131" i="10"/>
  <c r="N187" i="10"/>
  <c r="O187" i="10"/>
  <c r="M187" i="10"/>
  <c r="P243" i="10"/>
  <c r="O243" i="10"/>
  <c r="M243" i="10"/>
  <c r="N243" i="10"/>
  <c r="P299" i="10"/>
  <c r="M299" i="10"/>
  <c r="N299" i="10"/>
  <c r="P355" i="10"/>
  <c r="M355" i="10"/>
  <c r="N355" i="10"/>
  <c r="O355" i="10"/>
  <c r="M395" i="10"/>
  <c r="N395" i="10"/>
  <c r="O395" i="10"/>
  <c r="P395" i="10"/>
  <c r="O283" i="10"/>
  <c r="N9" i="10"/>
  <c r="O9" i="10"/>
  <c r="M9" i="10"/>
  <c r="P9" i="10"/>
  <c r="N17" i="10"/>
  <c r="O17" i="10"/>
  <c r="M17" i="10"/>
  <c r="P17" i="10"/>
  <c r="O25" i="10"/>
  <c r="M25" i="10"/>
  <c r="P25" i="10"/>
  <c r="M33" i="10"/>
  <c r="P33" i="10"/>
  <c r="N33" i="10"/>
  <c r="O41" i="10"/>
  <c r="M41" i="10"/>
  <c r="N49" i="10"/>
  <c r="O49" i="10"/>
  <c r="M49" i="10"/>
  <c r="P49" i="10"/>
  <c r="M57" i="10"/>
  <c r="P57" i="10"/>
  <c r="N57" i="10"/>
  <c r="P65" i="10"/>
  <c r="N65" i="10"/>
  <c r="O65" i="10"/>
  <c r="P73" i="10"/>
  <c r="N73" i="10"/>
  <c r="O73" i="10"/>
  <c r="N81" i="10"/>
  <c r="O81" i="10"/>
  <c r="M81" i="10"/>
  <c r="P81" i="10"/>
  <c r="P89" i="10"/>
  <c r="N89" i="10"/>
  <c r="O89" i="10"/>
  <c r="N97" i="10"/>
  <c r="O97" i="10"/>
  <c r="M97" i="10"/>
  <c r="P97" i="10"/>
  <c r="P105" i="10"/>
  <c r="N105" i="10"/>
  <c r="O105" i="10"/>
  <c r="N113" i="10"/>
  <c r="P113" i="10"/>
  <c r="O113" i="10"/>
  <c r="M113" i="10"/>
  <c r="N121" i="10"/>
  <c r="O121" i="10"/>
  <c r="M121" i="10"/>
  <c r="N129" i="10"/>
  <c r="O129" i="10"/>
  <c r="M129" i="10"/>
  <c r="P129" i="10"/>
  <c r="N137" i="10"/>
  <c r="O137" i="10"/>
  <c r="M137" i="10"/>
  <c r="N145" i="10"/>
  <c r="O145" i="10"/>
  <c r="P145" i="10"/>
  <c r="M145" i="10"/>
  <c r="N153" i="10"/>
  <c r="O153" i="10"/>
  <c r="M153" i="10"/>
  <c r="P153" i="10"/>
  <c r="O161" i="10"/>
  <c r="M161" i="10"/>
  <c r="P161" i="10"/>
  <c r="N169" i="10"/>
  <c r="O169" i="10"/>
  <c r="M169" i="10"/>
  <c r="P169" i="10"/>
  <c r="M177" i="10"/>
  <c r="N177" i="10"/>
  <c r="O177" i="10"/>
  <c r="P185" i="10"/>
  <c r="M185" i="10"/>
  <c r="N185" i="10"/>
  <c r="O185" i="10"/>
  <c r="M193" i="10"/>
  <c r="N193" i="10"/>
  <c r="O193" i="10"/>
  <c r="P201" i="10"/>
  <c r="M201" i="10"/>
  <c r="N201" i="10"/>
  <c r="O201" i="10"/>
  <c r="P212" i="10"/>
  <c r="O212" i="10"/>
  <c r="M212" i="10"/>
  <c r="P217" i="10"/>
  <c r="M217" i="10"/>
  <c r="N217" i="10"/>
  <c r="O217" i="10"/>
  <c r="M225" i="10"/>
  <c r="N225" i="10"/>
  <c r="O225" i="10"/>
  <c r="P233" i="10"/>
  <c r="O233" i="10"/>
  <c r="M233" i="10"/>
  <c r="N233" i="10"/>
  <c r="O241" i="10"/>
  <c r="M241" i="10"/>
  <c r="N241" i="10"/>
  <c r="P249" i="10"/>
  <c r="M249" i="10"/>
  <c r="N249" i="10"/>
  <c r="O249" i="10"/>
  <c r="M257" i="10"/>
  <c r="N257" i="10"/>
  <c r="O257" i="10"/>
  <c r="M268" i="10"/>
  <c r="N268" i="10"/>
  <c r="P268" i="10"/>
  <c r="M273" i="10"/>
  <c r="N273" i="10"/>
  <c r="O273" i="10"/>
  <c r="P281" i="10"/>
  <c r="M281" i="10"/>
  <c r="N281" i="10"/>
  <c r="O281" i="10"/>
  <c r="N289" i="10"/>
  <c r="P289" i="10"/>
  <c r="P297" i="10"/>
  <c r="M297" i="10"/>
  <c r="N297" i="10"/>
  <c r="O297" i="10"/>
  <c r="P305" i="10"/>
  <c r="M305" i="10"/>
  <c r="P323" i="10"/>
  <c r="M323" i="10"/>
  <c r="N323" i="10"/>
  <c r="O323" i="10"/>
  <c r="O337" i="10"/>
  <c r="N337" i="10"/>
  <c r="N343" i="10"/>
  <c r="M343" i="10"/>
  <c r="P411" i="10"/>
  <c r="M411" i="10"/>
  <c r="N411" i="10"/>
  <c r="M443" i="10"/>
  <c r="N443" i="10"/>
  <c r="O443" i="10"/>
  <c r="P443" i="10"/>
  <c r="O382" i="10"/>
  <c r="O424" i="10"/>
  <c r="M352" i="10"/>
  <c r="O352" i="10"/>
  <c r="N320" i="10"/>
  <c r="O333" i="10"/>
  <c r="P384" i="10"/>
  <c r="P406" i="10"/>
  <c r="P428" i="10"/>
  <c r="P448" i="10"/>
  <c r="P349" i="10"/>
  <c r="M385" i="10"/>
  <c r="M407" i="10"/>
  <c r="M429" i="10"/>
  <c r="M449" i="10"/>
  <c r="N361" i="10"/>
  <c r="N383" i="10"/>
  <c r="N405" i="10"/>
  <c r="N425" i="10"/>
  <c r="N447" i="10"/>
  <c r="P351" i="10"/>
  <c r="P348" i="10"/>
  <c r="O332" i="10"/>
  <c r="O345" i="10"/>
  <c r="P385" i="10"/>
  <c r="P407" i="10"/>
  <c r="P429" i="10"/>
  <c r="P449" i="10"/>
  <c r="M382" i="10"/>
  <c r="M424" i="10"/>
  <c r="P334" i="10"/>
  <c r="O310" i="10"/>
  <c r="N418" i="10"/>
  <c r="N325" i="10"/>
  <c r="M309" i="10"/>
  <c r="M269" i="10"/>
  <c r="O253" i="10"/>
  <c r="M237" i="10"/>
  <c r="N213" i="10"/>
  <c r="M197" i="10"/>
  <c r="P181" i="10"/>
  <c r="M157" i="10"/>
  <c r="P125" i="10"/>
  <c r="P93" i="10"/>
  <c r="M59" i="10"/>
  <c r="O8" i="10"/>
  <c r="O268" i="10"/>
  <c r="O426" i="10"/>
  <c r="O186" i="10"/>
  <c r="M56" i="10"/>
  <c r="M215" i="10"/>
  <c r="P79" i="10"/>
  <c r="P216" i="10"/>
  <c r="N224" i="10"/>
  <c r="M67" i="10"/>
  <c r="P225" i="10"/>
  <c r="M89" i="10"/>
  <c r="M150" i="10"/>
  <c r="P16" i="10"/>
  <c r="O411" i="10"/>
  <c r="P187" i="10"/>
  <c r="P168" i="10"/>
  <c r="N410" i="10"/>
  <c r="N43" i="10"/>
  <c r="O43" i="10"/>
  <c r="M43" i="10"/>
  <c r="O107" i="10"/>
  <c r="M107" i="10"/>
  <c r="P107" i="10"/>
  <c r="N163" i="10"/>
  <c r="O163" i="10"/>
  <c r="P163" i="10"/>
  <c r="M163" i="10"/>
  <c r="M219" i="10"/>
  <c r="N219" i="10"/>
  <c r="P219" i="10"/>
  <c r="P291" i="10"/>
  <c r="M291" i="10"/>
  <c r="N291" i="10"/>
  <c r="O291" i="10"/>
  <c r="P339" i="10"/>
  <c r="M339" i="10"/>
  <c r="N339" i="10"/>
  <c r="O339" i="10"/>
  <c r="N270" i="10"/>
  <c r="O12" i="10"/>
  <c r="P12" i="10"/>
  <c r="M12" i="10"/>
  <c r="N20" i="10"/>
  <c r="O20" i="10"/>
  <c r="P20" i="10"/>
  <c r="M20" i="10"/>
  <c r="N28" i="10"/>
  <c r="O28" i="10"/>
  <c r="P28" i="10"/>
  <c r="O36" i="10"/>
  <c r="M36" i="10"/>
  <c r="N52" i="10"/>
  <c r="O52" i="10"/>
  <c r="P52" i="10"/>
  <c r="M52" i="10"/>
  <c r="M60" i="10"/>
  <c r="N60" i="10"/>
  <c r="O60" i="10"/>
  <c r="M68" i="10"/>
  <c r="N68" i="10"/>
  <c r="O68" i="10"/>
  <c r="N76" i="10"/>
  <c r="O76" i="10"/>
  <c r="P76" i="10"/>
  <c r="M76" i="10"/>
  <c r="O84" i="10"/>
  <c r="P84" i="10"/>
  <c r="M84" i="10"/>
  <c r="N92" i="10"/>
  <c r="O92" i="10"/>
  <c r="P92" i="10"/>
  <c r="N100" i="10"/>
  <c r="O100" i="10"/>
  <c r="P100" i="10"/>
  <c r="M100" i="10"/>
  <c r="P108" i="10"/>
  <c r="M108" i="10"/>
  <c r="N108" i="10"/>
  <c r="N116" i="10"/>
  <c r="O116" i="10"/>
  <c r="P116" i="10"/>
  <c r="M116" i="10"/>
  <c r="N124" i="10"/>
  <c r="O124" i="10"/>
  <c r="P124" i="10"/>
  <c r="M124" i="10"/>
  <c r="M132" i="10"/>
  <c r="N132" i="10"/>
  <c r="O132" i="10"/>
  <c r="N140" i="10"/>
  <c r="O140" i="10"/>
  <c r="P140" i="10"/>
  <c r="M140" i="10"/>
  <c r="O148" i="10"/>
  <c r="P148" i="10"/>
  <c r="M148" i="10"/>
  <c r="P156" i="10"/>
  <c r="M156" i="10"/>
  <c r="N156" i="10"/>
  <c r="M164" i="10"/>
  <c r="P164" i="10"/>
  <c r="N164" i="10"/>
  <c r="O164" i="10"/>
  <c r="O172" i="10"/>
  <c r="P172" i="10"/>
  <c r="M172" i="10"/>
  <c r="M180" i="10"/>
  <c r="N180" i="10"/>
  <c r="P180" i="10"/>
  <c r="O180" i="10"/>
  <c r="N188" i="10"/>
  <c r="P188" i="10"/>
  <c r="O188" i="10"/>
  <c r="M196" i="10"/>
  <c r="N196" i="10"/>
  <c r="P196" i="10"/>
  <c r="M204" i="10"/>
  <c r="N204" i="10"/>
  <c r="P204" i="10"/>
  <c r="O204" i="10"/>
  <c r="P211" i="10"/>
  <c r="M211" i="10"/>
  <c r="N211" i="10"/>
  <c r="O211" i="10"/>
  <c r="M220" i="10"/>
  <c r="N220" i="10"/>
  <c r="P220" i="10"/>
  <c r="O220" i="10"/>
  <c r="M228" i="10"/>
  <c r="N228" i="10"/>
  <c r="O228" i="10"/>
  <c r="P228" i="10"/>
  <c r="N236" i="10"/>
  <c r="M236" i="10"/>
  <c r="O236" i="10"/>
  <c r="N244" i="10"/>
  <c r="O244" i="10"/>
  <c r="P244" i="10"/>
  <c r="M244" i="10"/>
  <c r="O252" i="10"/>
  <c r="P252" i="10"/>
  <c r="M252" i="10"/>
  <c r="N260" i="10"/>
  <c r="O260" i="10"/>
  <c r="P260" i="10"/>
  <c r="M260" i="10"/>
  <c r="P267" i="10"/>
  <c r="M267" i="10"/>
  <c r="N267" i="10"/>
  <c r="M276" i="10"/>
  <c r="N276" i="10"/>
  <c r="O276" i="10"/>
  <c r="M284" i="10"/>
  <c r="N284" i="10"/>
  <c r="O284" i="10"/>
  <c r="P284" i="10"/>
  <c r="O292" i="10"/>
  <c r="P292" i="10"/>
  <c r="M292" i="10"/>
  <c r="M300" i="10"/>
  <c r="N300" i="10"/>
  <c r="O300" i="10"/>
  <c r="P300" i="10"/>
  <c r="M308" i="10"/>
  <c r="N308" i="10"/>
  <c r="O308" i="10"/>
  <c r="P308" i="10"/>
  <c r="P315" i="10"/>
  <c r="M315" i="10"/>
  <c r="N315" i="10"/>
  <c r="M363" i="10"/>
  <c r="N363" i="10"/>
  <c r="O363" i="10"/>
  <c r="P371" i="10"/>
  <c r="M371" i="10"/>
  <c r="N371" i="10"/>
  <c r="M403" i="10"/>
  <c r="N403" i="10"/>
  <c r="O403" i="10"/>
  <c r="P403" i="10"/>
  <c r="M419" i="10"/>
  <c r="N419" i="10"/>
  <c r="O419" i="10"/>
  <c r="P419" i="10"/>
  <c r="M435" i="10"/>
  <c r="N435" i="10"/>
  <c r="O435" i="10"/>
  <c r="O357" i="10"/>
  <c r="O384" i="10"/>
  <c r="O406" i="10"/>
  <c r="O428" i="10"/>
  <c r="O448" i="10"/>
  <c r="M350" i="10"/>
  <c r="P388" i="10"/>
  <c r="P408" i="10"/>
  <c r="P430" i="10"/>
  <c r="M389" i="10"/>
  <c r="M409" i="10"/>
  <c r="M431" i="10"/>
  <c r="N335" i="10"/>
  <c r="N385" i="10"/>
  <c r="N407" i="10"/>
  <c r="N429" i="10"/>
  <c r="N449" i="10"/>
  <c r="N356" i="10"/>
  <c r="N351" i="10"/>
  <c r="M384" i="10"/>
  <c r="M406" i="10"/>
  <c r="M428" i="10"/>
  <c r="M448" i="10"/>
  <c r="M28" i="10"/>
  <c r="N434" i="10"/>
  <c r="O285" i="10"/>
  <c r="O269" i="10"/>
  <c r="N253" i="10"/>
  <c r="N229" i="10"/>
  <c r="M213" i="10"/>
  <c r="P197" i="10"/>
  <c r="N157" i="10"/>
  <c r="N125" i="10"/>
  <c r="N93" i="10"/>
  <c r="M46" i="10"/>
  <c r="O26" i="10"/>
  <c r="M19" i="10"/>
  <c r="M62" i="10"/>
  <c r="O370" i="10"/>
  <c r="P394" i="10"/>
  <c r="M370" i="10"/>
  <c r="O338" i="10"/>
  <c r="O138" i="10"/>
  <c r="P98" i="10"/>
  <c r="O296" i="10"/>
  <c r="O191" i="10"/>
  <c r="P66" i="10"/>
  <c r="P236" i="10"/>
  <c r="O108" i="10"/>
  <c r="P68" i="10"/>
  <c r="P31" i="10"/>
  <c r="P209" i="10"/>
  <c r="M73" i="10"/>
  <c r="N230" i="10"/>
  <c r="P190" i="10"/>
  <c r="O102" i="10"/>
  <c r="P60" i="10"/>
  <c r="M65" i="10"/>
  <c r="O299" i="10"/>
  <c r="N171" i="10"/>
  <c r="N11" i="10"/>
  <c r="O289" i="10"/>
  <c r="N266" i="10"/>
  <c r="M347" i="10"/>
  <c r="M266" i="10"/>
  <c r="P347" i="10"/>
  <c r="O379" i="10"/>
  <c r="P427" i="10"/>
  <c r="N379" i="10"/>
  <c r="M442" i="10"/>
  <c r="AN1" i="10"/>
  <c r="L1" i="10"/>
  <c r="Y1" i="10"/>
  <c r="AO1" i="10"/>
  <c r="S1" i="10"/>
  <c r="AG1" i="10"/>
  <c r="AM1" i="10"/>
  <c r="Z1" i="10"/>
  <c r="R1" i="10"/>
  <c r="K1" i="10"/>
  <c r="AF1" i="10"/>
  <c r="F6" i="10" l="1"/>
  <c r="E5" i="10"/>
  <c r="F5" i="10"/>
  <c r="F7" i="10"/>
  <c r="F8" i="10"/>
  <c r="E7" i="10"/>
  <c r="E8" i="10"/>
  <c r="E6" i="10"/>
  <c r="AB1" i="10"/>
  <c r="AD1" i="10"/>
  <c r="O1" i="10"/>
  <c r="N1" i="10"/>
  <c r="W1" i="10"/>
  <c r="V1" i="10"/>
  <c r="E16" i="10"/>
  <c r="E10" i="10"/>
  <c r="F15" i="10"/>
  <c r="E12" i="10"/>
  <c r="F16" i="10"/>
  <c r="E13" i="10"/>
  <c r="E15" i="10"/>
  <c r="F11" i="10"/>
  <c r="F10" i="10"/>
  <c r="E11" i="10"/>
  <c r="F13" i="10"/>
  <c r="E9" i="10"/>
  <c r="F12" i="10"/>
  <c r="E14" i="10"/>
  <c r="F9" i="10"/>
  <c r="F14" i="10"/>
  <c r="AJ1" i="10"/>
  <c r="F20" i="10"/>
  <c r="E20" i="10"/>
  <c r="F53" i="10"/>
  <c r="F104" i="10"/>
  <c r="F57" i="10"/>
  <c r="E23" i="10"/>
  <c r="E96" i="10"/>
  <c r="F32" i="10"/>
  <c r="F103" i="10"/>
  <c r="E121" i="10"/>
  <c r="F43" i="10"/>
  <c r="F23" i="10"/>
  <c r="E95" i="10"/>
  <c r="F42" i="10"/>
  <c r="E27" i="10"/>
  <c r="F77" i="10"/>
  <c r="F30" i="10"/>
  <c r="F41" i="10"/>
  <c r="F89" i="10"/>
  <c r="E25" i="10"/>
  <c r="E42" i="10"/>
  <c r="F27" i="10"/>
  <c r="F29" i="10"/>
  <c r="E29" i="10"/>
  <c r="E41" i="10"/>
  <c r="F33" i="10"/>
  <c r="E22" i="10"/>
  <c r="F154" i="10"/>
  <c r="F96" i="10"/>
  <c r="E53" i="10"/>
  <c r="F56" i="10"/>
  <c r="F164" i="10"/>
  <c r="F61" i="10"/>
  <c r="F74" i="10"/>
  <c r="E146" i="10"/>
  <c r="F40" i="10"/>
  <c r="F28" i="10"/>
  <c r="E39" i="10"/>
  <c r="E124" i="10"/>
  <c r="E61" i="10"/>
  <c r="F21" i="10"/>
  <c r="F52" i="10"/>
  <c r="F25" i="10"/>
  <c r="AK1" i="10"/>
  <c r="F130" i="10"/>
  <c r="F18" i="10"/>
  <c r="F38" i="10"/>
  <c r="F55" i="10"/>
  <c r="E70" i="10"/>
  <c r="U1" i="10"/>
  <c r="F68" i="10"/>
  <c r="F22" i="10"/>
  <c r="E97" i="10"/>
  <c r="E38" i="10"/>
  <c r="E91" i="10"/>
  <c r="F51" i="10"/>
  <c r="E60" i="10"/>
  <c r="F97" i="10"/>
  <c r="F174" i="10"/>
  <c r="F91" i="10"/>
  <c r="F160" i="10"/>
  <c r="F60" i="10"/>
  <c r="E89" i="10"/>
  <c r="E153" i="10"/>
  <c r="E103" i="10"/>
  <c r="F101" i="10"/>
  <c r="F183" i="10"/>
  <c r="E112" i="10"/>
  <c r="E81" i="10"/>
  <c r="F161" i="10"/>
  <c r="F121" i="10"/>
  <c r="F54" i="10"/>
  <c r="E52" i="10"/>
  <c r="E145" i="10"/>
  <c r="E88" i="10"/>
  <c r="F31" i="10"/>
  <c r="E165" i="10"/>
  <c r="F79" i="10"/>
  <c r="E55" i="10"/>
  <c r="E113" i="10"/>
  <c r="E32" i="10"/>
  <c r="F185" i="10"/>
  <c r="E33" i="10"/>
  <c r="E30" i="10"/>
  <c r="F162" i="10"/>
  <c r="E183" i="10"/>
  <c r="F112" i="10"/>
  <c r="F73" i="10"/>
  <c r="E161" i="10"/>
  <c r="E66" i="10"/>
  <c r="E54" i="10"/>
  <c r="F129" i="10"/>
  <c r="F72" i="10"/>
  <c r="E31" i="10"/>
  <c r="E43" i="10"/>
  <c r="F144" i="10"/>
  <c r="E71" i="10"/>
  <c r="E19" i="10"/>
  <c r="E86" i="10"/>
  <c r="F17" i="10"/>
  <c r="F49" i="10"/>
  <c r="E156" i="10"/>
  <c r="F46" i="10"/>
  <c r="F118" i="10"/>
  <c r="E35" i="10"/>
  <c r="F153" i="10"/>
  <c r="F165" i="10"/>
  <c r="F124" i="10"/>
  <c r="E170" i="10"/>
  <c r="F26" i="10"/>
  <c r="F24" i="10"/>
  <c r="F175" i="10"/>
  <c r="E127" i="10"/>
  <c r="E65" i="10"/>
  <c r="E116" i="10"/>
  <c r="F66" i="10"/>
  <c r="E110" i="10"/>
  <c r="E64" i="10"/>
  <c r="E82" i="10"/>
  <c r="F58" i="10"/>
  <c r="F136" i="10"/>
  <c r="F71" i="10"/>
  <c r="F47" i="10"/>
  <c r="F19" i="10"/>
  <c r="F86" i="10"/>
  <c r="F139" i="10"/>
  <c r="E49" i="10"/>
  <c r="E83" i="10"/>
  <c r="E109" i="10"/>
  <c r="F36" i="10"/>
  <c r="E37" i="10"/>
  <c r="F159" i="10"/>
  <c r="F105" i="10"/>
  <c r="F65" i="10"/>
  <c r="E75" i="10"/>
  <c r="F190" i="10"/>
  <c r="F110" i="10"/>
  <c r="F64" i="10"/>
  <c r="E58" i="10"/>
  <c r="E108" i="10"/>
  <c r="E63" i="10"/>
  <c r="E47" i="10"/>
  <c r="F34" i="10"/>
  <c r="E78" i="10"/>
  <c r="F150" i="10"/>
  <c r="F98" i="10"/>
  <c r="F123" i="10"/>
  <c r="E200" i="10"/>
  <c r="E100" i="10"/>
  <c r="E36" i="10"/>
  <c r="E154" i="10"/>
  <c r="F182" i="10"/>
  <c r="E126" i="10"/>
  <c r="F115" i="10"/>
  <c r="F63" i="10"/>
  <c r="E160" i="10"/>
  <c r="F172" i="10"/>
  <c r="F78" i="10"/>
  <c r="E134" i="10"/>
  <c r="E98" i="10"/>
  <c r="E101" i="10"/>
  <c r="E68" i="10"/>
  <c r="F35" i="10"/>
  <c r="E173" i="10"/>
  <c r="E175" i="10"/>
  <c r="F146" i="10"/>
  <c r="F127" i="10"/>
  <c r="F116" i="10"/>
  <c r="E192" i="10"/>
  <c r="E174" i="10"/>
  <c r="F145" i="10"/>
  <c r="F126" i="10"/>
  <c r="F88" i="10"/>
  <c r="F184" i="10"/>
  <c r="E157" i="10"/>
  <c r="F108" i="10"/>
  <c r="F95" i="10"/>
  <c r="F193" i="10"/>
  <c r="E131" i="10"/>
  <c r="E151" i="10"/>
  <c r="F113" i="10"/>
  <c r="F134" i="10"/>
  <c r="E185" i="10"/>
  <c r="F187" i="10"/>
  <c r="F85" i="10"/>
  <c r="E106" i="10"/>
  <c r="E162" i="10"/>
  <c r="F100" i="10"/>
  <c r="E107" i="10"/>
  <c r="F131" i="10"/>
  <c r="E102" i="10"/>
  <c r="F59" i="10"/>
  <c r="F132" i="10"/>
  <c r="E187" i="10"/>
  <c r="E69" i="10"/>
  <c r="F106" i="10"/>
  <c r="E46" i="10"/>
  <c r="F50" i="10"/>
  <c r="E149" i="10"/>
  <c r="E92" i="10"/>
  <c r="F48" i="10"/>
  <c r="E199" i="10"/>
  <c r="E119" i="10"/>
  <c r="F192" i="10"/>
  <c r="E137" i="10"/>
  <c r="E80" i="10"/>
  <c r="E114" i="10"/>
  <c r="F157" i="10"/>
  <c r="E24" i="10"/>
  <c r="F199" i="10"/>
  <c r="E167" i="10"/>
  <c r="F138" i="10"/>
  <c r="F119" i="10"/>
  <c r="F81" i="10"/>
  <c r="E40" i="10"/>
  <c r="F107" i="10"/>
  <c r="E147" i="10"/>
  <c r="F167" i="10"/>
  <c r="E138" i="10"/>
  <c r="F166" i="10"/>
  <c r="E117" i="10"/>
  <c r="F169" i="10"/>
  <c r="F197" i="10"/>
  <c r="E125" i="10"/>
  <c r="E87" i="10"/>
  <c r="E140" i="10"/>
  <c r="E143" i="10"/>
  <c r="F70" i="10"/>
  <c r="F111" i="10"/>
  <c r="AA1" i="10"/>
  <c r="E198" i="10"/>
  <c r="E166" i="10"/>
  <c r="F137" i="10"/>
  <c r="F117" i="10"/>
  <c r="F80" i="10"/>
  <c r="E169" i="10"/>
  <c r="F114" i="10"/>
  <c r="E28" i="10"/>
  <c r="E189" i="10"/>
  <c r="E152" i="10"/>
  <c r="F125" i="10"/>
  <c r="F87" i="10"/>
  <c r="E56" i="10"/>
  <c r="E67" i="10"/>
  <c r="F90" i="10"/>
  <c r="E34" i="10"/>
  <c r="F143" i="10"/>
  <c r="F102" i="10"/>
  <c r="E62" i="10"/>
  <c r="E59" i="10"/>
  <c r="F93" i="10"/>
  <c r="F99" i="10"/>
  <c r="F44" i="10"/>
  <c r="E163" i="10"/>
  <c r="T1" i="10"/>
  <c r="F45" i="10"/>
  <c r="E50" i="10"/>
  <c r="F149" i="10"/>
  <c r="F92" i="10"/>
  <c r="E48" i="10"/>
  <c r="E155" i="10"/>
  <c r="M1" i="10"/>
  <c r="F37" i="10"/>
  <c r="E191" i="10"/>
  <c r="E159" i="10"/>
  <c r="E130" i="10"/>
  <c r="E105" i="10"/>
  <c r="E73" i="10"/>
  <c r="E18" i="10"/>
  <c r="F75" i="10"/>
  <c r="F147" i="10"/>
  <c r="E21" i="10"/>
  <c r="F198" i="10"/>
  <c r="F158" i="10"/>
  <c r="E129" i="10"/>
  <c r="E104" i="10"/>
  <c r="E72" i="10"/>
  <c r="E148" i="10"/>
  <c r="F82" i="10"/>
  <c r="F189" i="10"/>
  <c r="F152" i="10"/>
  <c r="E115" i="10"/>
  <c r="E79" i="10"/>
  <c r="F39" i="10"/>
  <c r="F67" i="10"/>
  <c r="E90" i="10"/>
  <c r="E196" i="10"/>
  <c r="E135" i="10"/>
  <c r="E94" i="10"/>
  <c r="F62" i="10"/>
  <c r="F195" i="10"/>
  <c r="E77" i="10"/>
  <c r="E17" i="10"/>
  <c r="E44" i="10"/>
  <c r="F120" i="10"/>
  <c r="E45" i="10"/>
  <c r="E194" i="10"/>
  <c r="F133" i="10"/>
  <c r="F84" i="10"/>
  <c r="E26" i="10"/>
  <c r="F155" i="10"/>
  <c r="F191" i="10"/>
  <c r="E190" i="10"/>
  <c r="E158" i="10"/>
  <c r="E181" i="10"/>
  <c r="E144" i="10"/>
  <c r="F180" i="10"/>
  <c r="F135" i="10"/>
  <c r="F179" i="10"/>
  <c r="E123" i="10"/>
  <c r="F194" i="10"/>
  <c r="E118" i="10"/>
  <c r="F76" i="10"/>
  <c r="F128" i="10"/>
  <c r="E180" i="10"/>
  <c r="E179" i="10"/>
  <c r="E186" i="10"/>
  <c r="E197" i="10"/>
  <c r="E193" i="10"/>
  <c r="E172" i="10"/>
  <c r="F156" i="10"/>
  <c r="F186" i="10"/>
  <c r="E128" i="10"/>
  <c r="AI1" i="10"/>
  <c r="F200" i="10"/>
  <c r="F181" i="10"/>
  <c r="F196" i="10"/>
  <c r="E164" i="10"/>
  <c r="E111" i="10"/>
  <c r="E132" i="10"/>
  <c r="F168" i="10"/>
  <c r="F171" i="10"/>
  <c r="E142" i="10"/>
  <c r="E85" i="10"/>
  <c r="F83" i="10"/>
  <c r="F178" i="10"/>
  <c r="E141" i="10"/>
  <c r="E122" i="10"/>
  <c r="E84" i="10"/>
  <c r="E74" i="10"/>
  <c r="E57" i="10"/>
  <c r="F188" i="10"/>
  <c r="E168" i="10"/>
  <c r="E171" i="10"/>
  <c r="F142" i="10"/>
  <c r="F177" i="10"/>
  <c r="E178" i="10"/>
  <c r="F141" i="10"/>
  <c r="F122" i="10"/>
  <c r="F176" i="10"/>
  <c r="E182" i="10"/>
  <c r="F148" i="10"/>
  <c r="E184" i="10"/>
  <c r="F173" i="10"/>
  <c r="E136" i="10"/>
  <c r="F140" i="10"/>
  <c r="E188" i="10"/>
  <c r="F151" i="10"/>
  <c r="F94" i="10"/>
  <c r="E195" i="10"/>
  <c r="E150" i="10"/>
  <c r="E93" i="10"/>
  <c r="E99" i="10"/>
  <c r="E139" i="10"/>
  <c r="F163" i="10"/>
  <c r="E120" i="10"/>
  <c r="F69" i="10"/>
  <c r="E177" i="10"/>
  <c r="F170" i="10"/>
  <c r="E133" i="10"/>
  <c r="F109" i="10"/>
  <c r="E76" i="10"/>
  <c r="E176" i="10"/>
  <c r="E51" i="10"/>
  <c r="AH1" i="10"/>
  <c r="AC1" i="10" l="1"/>
  <c r="E201" i="10"/>
  <c r="F201" i="10"/>
  <c r="E202" i="10" l="1"/>
  <c r="F202" i="10"/>
  <c r="F203" i="10" l="1"/>
  <c r="E203" i="10"/>
  <c r="F204" i="10" l="1"/>
  <c r="E204" i="10"/>
  <c r="E205" i="10" l="1"/>
  <c r="F205" i="10"/>
  <c r="F206" i="10" l="1"/>
  <c r="E206" i="10"/>
  <c r="E207" i="10" l="1"/>
  <c r="F207" i="10"/>
  <c r="F208" i="10" l="1"/>
  <c r="E208" i="10"/>
  <c r="F209" i="10" l="1"/>
  <c r="E209" i="10"/>
  <c r="F210" i="10" l="1"/>
  <c r="E210" i="10"/>
  <c r="F211" i="10" l="1"/>
  <c r="E211" i="10"/>
  <c r="F212" i="10" l="1"/>
  <c r="E212" i="10"/>
  <c r="E213" i="10" l="1"/>
  <c r="F213" i="10"/>
  <c r="F214" i="10" l="1"/>
  <c r="E214" i="10"/>
  <c r="E215" i="10" l="1"/>
  <c r="F215" i="10"/>
  <c r="F216" i="10" l="1"/>
  <c r="E216" i="10"/>
  <c r="F217" i="10" l="1"/>
  <c r="E217" i="10"/>
  <c r="E218" i="10" l="1"/>
  <c r="F218" i="10"/>
  <c r="E219" i="10" l="1"/>
  <c r="F219" i="10"/>
  <c r="F220" i="10" l="1"/>
  <c r="E220" i="10"/>
  <c r="F221" i="10" l="1"/>
  <c r="E221" i="10"/>
  <c r="F222" i="10" l="1"/>
  <c r="E222" i="10"/>
  <c r="F223" i="10" l="1"/>
  <c r="E223" i="10"/>
  <c r="F224" i="10" l="1"/>
  <c r="E224" i="10"/>
  <c r="E225" i="10" l="1"/>
  <c r="F225" i="10"/>
  <c r="E226" i="10" l="1"/>
  <c r="F226" i="10"/>
  <c r="F227" i="10" l="1"/>
  <c r="E227" i="10"/>
  <c r="F228" i="10" l="1"/>
  <c r="E228" i="10"/>
  <c r="F229" i="10" l="1"/>
  <c r="E229" i="10"/>
  <c r="F230" i="10" l="1"/>
  <c r="E230" i="10"/>
  <c r="F231" i="10" l="1"/>
  <c r="E231" i="10"/>
  <c r="F232" i="10" l="1"/>
  <c r="E232" i="10"/>
  <c r="F233" i="10" l="1"/>
  <c r="E233" i="10"/>
  <c r="E234" i="10" l="1"/>
  <c r="F234" i="10"/>
  <c r="E235" i="10" l="1"/>
  <c r="F235" i="10"/>
  <c r="F236" i="10" l="1"/>
  <c r="E236" i="10"/>
  <c r="E237" i="10" l="1"/>
  <c r="F237" i="10"/>
  <c r="F238" i="10" l="1"/>
  <c r="E238" i="10"/>
  <c r="F239" i="10" l="1"/>
  <c r="E239" i="10"/>
  <c r="F240" i="10" l="1"/>
  <c r="E240" i="10"/>
  <c r="F241" i="10" l="1"/>
  <c r="E241" i="10"/>
  <c r="E242" i="10" l="1"/>
  <c r="F242" i="10"/>
  <c r="E243" i="10" l="1"/>
  <c r="F243" i="10"/>
  <c r="E244" i="10" l="1"/>
  <c r="F244" i="10"/>
  <c r="E245" i="10" l="1"/>
  <c r="F245" i="10"/>
  <c r="E246" i="10" l="1"/>
  <c r="F246" i="10"/>
  <c r="F247" i="10" l="1"/>
  <c r="E247" i="10"/>
  <c r="E248" i="10" l="1"/>
  <c r="F248" i="10"/>
  <c r="F249" i="10" l="1"/>
  <c r="E249" i="10"/>
  <c r="F250" i="10" l="1"/>
  <c r="E250" i="10"/>
  <c r="F251" i="10" l="1"/>
  <c r="E251" i="10"/>
  <c r="F252" i="10" l="1"/>
  <c r="E252" i="10"/>
  <c r="E253" i="10" l="1"/>
  <c r="F253" i="10"/>
  <c r="F254" i="10" l="1"/>
  <c r="E254" i="10"/>
  <c r="F255" i="10" l="1"/>
  <c r="E255" i="10"/>
  <c r="E256" i="10" l="1"/>
  <c r="F256" i="10"/>
  <c r="F257" i="10" l="1"/>
  <c r="E257" i="10"/>
  <c r="E258" i="10" l="1"/>
  <c r="F258" i="10"/>
  <c r="F259" i="10" l="1"/>
  <c r="E259" i="10"/>
  <c r="F260" i="10" l="1"/>
  <c r="E260" i="10"/>
  <c r="F261" i="10" l="1"/>
  <c r="E261" i="10"/>
  <c r="F262" i="10" l="1"/>
  <c r="E262" i="10"/>
  <c r="F263" i="10" l="1"/>
  <c r="E263" i="10"/>
  <c r="F264" i="10" l="1"/>
  <c r="E264" i="10"/>
  <c r="F265" i="10" l="1"/>
  <c r="E265" i="10"/>
  <c r="F266" i="10" l="1"/>
  <c r="E266" i="10"/>
  <c r="F267" i="10" l="1"/>
  <c r="E267" i="10"/>
  <c r="F268" i="10" l="1"/>
  <c r="E268" i="10"/>
  <c r="F269" i="10" l="1"/>
  <c r="E269" i="10"/>
  <c r="F270" i="10" l="1"/>
  <c r="E270" i="10"/>
  <c r="F271" i="10" l="1"/>
  <c r="E271" i="10"/>
  <c r="F272" i="10" l="1"/>
  <c r="E272" i="10"/>
  <c r="E273" i="10" l="1"/>
  <c r="F273" i="10"/>
  <c r="F274" i="10" l="1"/>
  <c r="E274" i="10"/>
  <c r="E275" i="10" l="1"/>
  <c r="F275" i="10"/>
  <c r="F276" i="10" l="1"/>
  <c r="E276" i="10"/>
  <c r="E277" i="10" l="1"/>
  <c r="F277" i="10"/>
  <c r="E278" i="10" l="1"/>
  <c r="F278" i="10"/>
  <c r="F279" i="10" l="1"/>
  <c r="E279" i="10"/>
  <c r="F280" i="10" l="1"/>
  <c r="E280" i="10"/>
  <c r="E281" i="10" l="1"/>
  <c r="F281" i="10"/>
  <c r="E282" i="10" l="1"/>
  <c r="F282" i="10"/>
  <c r="F283" i="10" l="1"/>
  <c r="E283" i="10"/>
  <c r="F284" i="10" l="1"/>
  <c r="E284" i="10"/>
  <c r="F285" i="10" l="1"/>
  <c r="E285" i="10"/>
  <c r="E286" i="10" l="1"/>
  <c r="F286" i="10"/>
  <c r="F287" i="10" l="1"/>
  <c r="E287" i="10"/>
  <c r="E288" i="10" l="1"/>
  <c r="F288" i="10"/>
  <c r="F289" i="10" l="1"/>
  <c r="E289" i="10"/>
  <c r="F290" i="10" l="1"/>
  <c r="E290" i="10"/>
  <c r="E291" i="10" l="1"/>
  <c r="F291" i="10"/>
  <c r="E292" i="10" l="1"/>
  <c r="F292" i="10"/>
  <c r="F293" i="10" l="1"/>
  <c r="E293" i="10"/>
  <c r="F294" i="10" l="1"/>
  <c r="E294" i="10"/>
  <c r="E295" i="10" l="1"/>
  <c r="F295" i="10"/>
  <c r="F296" i="10" l="1"/>
  <c r="E296" i="10"/>
  <c r="E297" i="10" l="1"/>
  <c r="F297" i="10"/>
  <c r="F298" i="10" l="1"/>
  <c r="E298" i="10"/>
  <c r="E299" i="10" l="1"/>
  <c r="F299" i="10"/>
  <c r="E300" i="10" l="1"/>
  <c r="F300" i="10"/>
  <c r="E301" i="10" l="1"/>
  <c r="F301" i="10"/>
  <c r="E302" i="10" l="1"/>
  <c r="F302" i="10"/>
  <c r="F303" i="10" l="1"/>
  <c r="E303" i="10"/>
  <c r="F304" i="10" l="1"/>
  <c r="E304" i="10"/>
  <c r="F305" i="10" l="1"/>
  <c r="E305" i="10"/>
  <c r="F306" i="10" l="1"/>
  <c r="E306" i="10"/>
  <c r="E307" i="10" l="1"/>
  <c r="F307" i="10"/>
  <c r="F308" i="10" l="1"/>
  <c r="E308" i="10"/>
  <c r="F309" i="10" l="1"/>
  <c r="E309" i="10"/>
  <c r="F310" i="10" l="1"/>
  <c r="E310" i="10"/>
  <c r="F311" i="10" l="1"/>
  <c r="E311" i="10"/>
  <c r="F312" i="10" l="1"/>
  <c r="E312" i="10"/>
  <c r="F313" i="10" l="1"/>
  <c r="E313" i="10"/>
  <c r="F314" i="10" l="1"/>
  <c r="E314" i="10"/>
  <c r="F315" i="10" l="1"/>
  <c r="E315" i="10"/>
  <c r="F316" i="10" l="1"/>
  <c r="E316" i="10"/>
  <c r="F317" i="10" l="1"/>
  <c r="E317" i="10"/>
  <c r="F318" i="10" l="1"/>
  <c r="E318" i="10"/>
  <c r="F319" i="10" l="1"/>
  <c r="E319" i="10"/>
  <c r="F320" i="10" l="1"/>
  <c r="E320" i="10"/>
  <c r="E321" i="10" l="1"/>
  <c r="F321" i="10"/>
  <c r="F322" i="10" l="1"/>
  <c r="E322" i="10"/>
  <c r="F323" i="10" l="1"/>
  <c r="E323" i="10"/>
  <c r="E324" i="10" l="1"/>
  <c r="F324" i="10"/>
  <c r="F325" i="10" l="1"/>
  <c r="E325" i="10"/>
  <c r="E326" i="10" l="1"/>
  <c r="F326" i="10"/>
  <c r="E327" i="10" l="1"/>
  <c r="F327" i="10"/>
  <c r="F328" i="10" l="1"/>
  <c r="E328" i="10"/>
  <c r="E329" i="10" l="1"/>
  <c r="F329" i="10"/>
  <c r="F330" i="10" l="1"/>
  <c r="E330" i="10"/>
  <c r="F331" i="10" l="1"/>
  <c r="E331" i="10"/>
  <c r="E332" i="10" l="1"/>
  <c r="F332" i="10"/>
  <c r="E333" i="10" l="1"/>
  <c r="F333" i="10"/>
  <c r="F334" i="10" l="1"/>
  <c r="E334" i="10"/>
  <c r="F335" i="10" l="1"/>
  <c r="E335" i="10"/>
  <c r="F336" i="10" l="1"/>
  <c r="E336" i="10"/>
  <c r="F337" i="10" l="1"/>
  <c r="E337" i="10"/>
  <c r="E338" i="10" l="1"/>
  <c r="F338" i="10"/>
  <c r="F339" i="10" l="1"/>
  <c r="E339" i="10"/>
  <c r="F340" i="10" l="1"/>
  <c r="E340" i="10"/>
  <c r="F341" i="10" l="1"/>
  <c r="E341" i="10"/>
  <c r="E342" i="10" l="1"/>
  <c r="F342" i="10"/>
  <c r="F343" i="10" l="1"/>
  <c r="E343" i="10"/>
  <c r="F344" i="10" l="1"/>
  <c r="E344" i="10"/>
  <c r="F345" i="10" l="1"/>
  <c r="E345" i="10"/>
  <c r="E346" i="10" l="1"/>
  <c r="F346" i="10"/>
  <c r="F347" i="10" l="1"/>
  <c r="E347" i="10"/>
  <c r="F348" i="10" l="1"/>
  <c r="E348" i="10"/>
  <c r="F349" i="10" l="1"/>
  <c r="E349" i="10"/>
  <c r="F350" i="10" l="1"/>
  <c r="E350" i="10"/>
  <c r="F351" i="10" l="1"/>
  <c r="E351" i="10"/>
  <c r="F352" i="10" l="1"/>
  <c r="E352" i="10"/>
  <c r="F353" i="10" l="1"/>
  <c r="E353" i="10"/>
  <c r="F354" i="10" l="1"/>
  <c r="E354" i="10"/>
  <c r="E355" i="10" l="1"/>
  <c r="F355" i="10"/>
  <c r="F356" i="10" l="1"/>
  <c r="E356" i="10"/>
  <c r="F357" i="10" l="1"/>
  <c r="E357" i="10"/>
  <c r="F358" i="10" l="1"/>
  <c r="E358" i="10"/>
  <c r="F359" i="10" l="1"/>
  <c r="E359" i="10"/>
  <c r="E360" i="10" l="1"/>
  <c r="F360" i="10"/>
  <c r="F361" i="10" l="1"/>
  <c r="E361" i="10"/>
  <c r="F362" i="10" l="1"/>
  <c r="E362" i="10"/>
  <c r="E363" i="10" l="1"/>
  <c r="F363" i="10"/>
  <c r="F364" i="10" l="1"/>
  <c r="E364" i="10"/>
  <c r="F365" i="10" l="1"/>
  <c r="E365" i="10"/>
  <c r="F366" i="10" l="1"/>
  <c r="E366" i="10"/>
  <c r="F367" i="10" l="1"/>
  <c r="E367" i="10"/>
  <c r="F368" i="10" l="1"/>
  <c r="E368" i="10"/>
  <c r="F369" i="10" l="1"/>
  <c r="E369" i="10"/>
  <c r="F370" i="10" l="1"/>
  <c r="E370" i="10"/>
  <c r="F371" i="10" l="1"/>
  <c r="E371" i="10"/>
  <c r="F372" i="10" l="1"/>
  <c r="E372" i="10"/>
  <c r="E373" i="10" l="1"/>
  <c r="F373" i="10"/>
  <c r="F374" i="10" l="1"/>
  <c r="E374" i="10"/>
  <c r="F375" i="10" l="1"/>
  <c r="E375" i="10"/>
  <c r="E376" i="10" l="1"/>
  <c r="F376" i="10"/>
  <c r="F377" i="10" l="1"/>
  <c r="E377" i="10"/>
  <c r="E378" i="10" l="1"/>
  <c r="F378" i="10"/>
  <c r="F379" i="10" l="1"/>
  <c r="E379" i="10"/>
  <c r="F380" i="10" l="1"/>
  <c r="E380" i="10"/>
  <c r="E381" i="10" l="1"/>
  <c r="F381" i="10"/>
  <c r="E382" i="10" l="1"/>
  <c r="F382" i="10"/>
  <c r="F383" i="10" l="1"/>
  <c r="E383" i="10"/>
  <c r="F384" i="10" l="1"/>
  <c r="E384" i="10"/>
  <c r="E385" i="10" l="1"/>
  <c r="F385" i="10"/>
  <c r="F386" i="10" l="1"/>
  <c r="E386" i="10"/>
  <c r="E387" i="10" l="1"/>
  <c r="F387" i="10"/>
  <c r="E388" i="10" l="1"/>
  <c r="F388" i="10"/>
  <c r="E389" i="10" l="1"/>
  <c r="F389" i="10"/>
  <c r="F390" i="10" l="1"/>
  <c r="E390" i="10"/>
  <c r="F391" i="10" l="1"/>
  <c r="E391" i="10"/>
  <c r="E392" i="10" l="1"/>
  <c r="F392" i="10"/>
  <c r="F393" i="10" l="1"/>
  <c r="E393" i="10"/>
  <c r="F394" i="10" l="1"/>
  <c r="E394" i="10"/>
  <c r="F395" i="10" l="1"/>
  <c r="E395" i="10"/>
  <c r="F396" i="10" l="1"/>
  <c r="E396" i="10"/>
  <c r="F397" i="10" l="1"/>
  <c r="E397" i="10"/>
  <c r="F398" i="10" l="1"/>
  <c r="E398" i="10"/>
  <c r="F399" i="10" l="1"/>
  <c r="E399" i="10"/>
  <c r="F400" i="10" l="1"/>
  <c r="E400" i="10"/>
  <c r="E401" i="10" l="1"/>
  <c r="F401" i="10"/>
  <c r="F402" i="10" l="1"/>
  <c r="E402" i="10"/>
  <c r="E403" i="10" l="1"/>
  <c r="F403" i="10"/>
  <c r="E404" i="10" l="1"/>
  <c r="F404" i="10"/>
  <c r="F405" i="10" l="1"/>
  <c r="E405" i="10"/>
  <c r="E406" i="10" l="1"/>
  <c r="F406" i="10"/>
  <c r="F407" i="10" l="1"/>
  <c r="E407" i="10"/>
  <c r="F408" i="10" l="1"/>
  <c r="E408" i="10"/>
  <c r="E409" i="10" l="1"/>
  <c r="F409" i="10"/>
  <c r="E410" i="10" l="1"/>
  <c r="F410" i="10"/>
  <c r="F411" i="10" l="1"/>
  <c r="E411" i="10"/>
  <c r="F412" i="10" l="1"/>
  <c r="E412" i="10"/>
  <c r="F413" i="10" l="1"/>
  <c r="E413" i="10"/>
  <c r="F414" i="10" l="1"/>
  <c r="E414" i="10"/>
  <c r="F415" i="10" l="1"/>
  <c r="E415" i="10"/>
  <c r="F416" i="10" l="1"/>
  <c r="E416" i="10"/>
  <c r="F417" i="10" l="1"/>
  <c r="E417" i="10"/>
  <c r="E418" i="10" l="1"/>
  <c r="F418" i="10"/>
  <c r="F419" i="10" l="1"/>
  <c r="E419" i="10"/>
  <c r="F420" i="10" l="1"/>
  <c r="E420" i="10"/>
  <c r="F421" i="10" l="1"/>
  <c r="E421" i="10"/>
  <c r="F422" i="10" l="1"/>
  <c r="E422" i="10"/>
  <c r="E423" i="10" l="1"/>
  <c r="F423" i="10"/>
  <c r="E424" i="10" l="1"/>
  <c r="F424" i="10"/>
  <c r="F425" i="10" l="1"/>
  <c r="E425" i="10"/>
  <c r="F426" i="10" l="1"/>
  <c r="E426" i="10"/>
  <c r="E427" i="10" l="1"/>
  <c r="F427" i="10"/>
  <c r="F428" i="10" l="1"/>
  <c r="E428" i="10"/>
  <c r="E429" i="10" l="1"/>
  <c r="F429" i="10"/>
  <c r="F430" i="10" l="1"/>
  <c r="E430" i="10"/>
  <c r="E431" i="10" l="1"/>
  <c r="F431" i="10"/>
  <c r="E432" i="10" l="1"/>
  <c r="F432" i="10"/>
  <c r="F433" i="10" l="1"/>
  <c r="E433" i="10"/>
  <c r="E434" i="10" l="1"/>
  <c r="F434" i="10"/>
  <c r="F435" i="10" l="1"/>
  <c r="E435" i="10"/>
  <c r="F436" i="10" l="1"/>
  <c r="E436" i="10"/>
  <c r="F437" i="10" l="1"/>
  <c r="E437" i="10"/>
  <c r="E438" i="10" l="1"/>
  <c r="F438" i="10"/>
  <c r="E439" i="10" l="1"/>
  <c r="F439" i="10"/>
  <c r="F440" i="10" l="1"/>
  <c r="E440" i="10"/>
  <c r="F441" i="10" l="1"/>
  <c r="E441" i="10"/>
  <c r="E442" i="10" l="1"/>
  <c r="F442" i="10"/>
  <c r="F443" i="10" l="1"/>
  <c r="E443" i="10"/>
  <c r="E444" i="10" l="1"/>
  <c r="F444" i="10"/>
  <c r="F445" i="10" l="1"/>
  <c r="E445" i="10"/>
  <c r="F446" i="10" l="1"/>
  <c r="E446" i="10"/>
  <c r="F447" i="10" l="1"/>
  <c r="E447" i="10"/>
  <c r="E448" i="10" l="1"/>
  <c r="F448" i="10"/>
  <c r="F449" i="10" l="1"/>
  <c r="E449" i="10"/>
  <c r="E450" i="10" l="1"/>
  <c r="F450" i="10"/>
  <c r="P1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<sst xmlns="http://schemas.openxmlformats.org/spreadsheetml/2006/main" count="523" uniqueCount="79">
  <si>
    <t xml:space="preserve">Warehouse </t>
  </si>
  <si>
    <t xml:space="preserve">Vehicle Type </t>
  </si>
  <si>
    <t xml:space="preserve">Fleet Operator Name </t>
  </si>
  <si>
    <t>Vehicle Plate</t>
  </si>
  <si>
    <t>Mini Truck</t>
  </si>
  <si>
    <t>Tricycle</t>
  </si>
  <si>
    <t xml:space="preserve">Van </t>
  </si>
  <si>
    <t>Mini Bus</t>
  </si>
  <si>
    <t>Van</t>
  </si>
  <si>
    <t>Spare Driver</t>
  </si>
  <si>
    <t>Day-Off</t>
  </si>
  <si>
    <t>WorkDay</t>
  </si>
  <si>
    <t>Vehicle Type</t>
  </si>
  <si>
    <t>A</t>
  </si>
  <si>
    <t>B</t>
  </si>
  <si>
    <t>C</t>
  </si>
  <si>
    <t>D</t>
  </si>
  <si>
    <t>Vehicle Type Group</t>
  </si>
  <si>
    <t>Week Group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</si>
  <si>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</si>
  <si>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</si>
  <si>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</si>
  <si>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</si>
  <si>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</si>
  <si>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</si>
  <si>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</si>
  <si>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</si>
  <si>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</si>
  <si>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</si>
  <si>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ON</t>
  </si>
  <si>
    <t>OFF</t>
  </si>
  <si>
    <t>TRACKER</t>
  </si>
  <si>
    <t>Days Group</t>
  </si>
  <si>
    <t>WEEK GROUP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</si>
  <si>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</si>
  <si>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</si>
  <si>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</si>
  <si>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</si>
  <si>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</si>
  <si>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</si>
  <si>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</si>
  <si>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</si>
  <si>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</si>
  <si>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</si>
  <si>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</si>
  <si>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</si>
  <si>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</si>
  <si>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</si>
  <si>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</si>
  <si>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</si>
  <si>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</si>
  <si>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</si>
  <si>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</si>
  <si>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</si>
  <si>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</si>
  <si>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</si>
  <si>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</si>
  <si>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</si>
  <si>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</si>
  <si>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</si>
  <si>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</si>
  <si>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</si>
  <si>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</si>
  <si>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</si>
  <si>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</si>
  <si>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</si>
  <si>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</si>
  <si>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</si>
  <si>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</si>
  <si>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</si>
  <si>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</si>
  <si>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</si>
  <si>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</si>
  <si>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</si>
  <si>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</si>
  <si>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</si>
  <si>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START DATE</t>
  </si>
  <si>
    <t>CURRENT TIME</t>
  </si>
  <si>
    <t>Count of
Days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</si>
</sst>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 applyFont="1"/>
    <xf numFmtId="0" fontId="0" fillId="3" borderId="0" xfId="0" applyFill="1"/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1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5" borderId="12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164" fontId="1" fillId="5" borderId="14" xfId="0" applyNumberFormat="1" applyFont="1" applyFill="1" applyBorder="1" applyAlignment="1">
      <alignment horizontal="right" vertical="center"/>
    </xf>
    <xf numFmtId="14" fontId="1" fillId="5" borderId="15" xfId="0" applyNumberFormat="1" applyFont="1" applyFill="1" applyBorder="1" applyAlignment="1">
      <alignment horizontal="right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1" fillId="0" borderId="0" xfId="0" applyNumberFormat="1" applyFont="1"/>
    <xf numFmtId="0" fontId="1" fillId="6" borderId="0" xfId="0" applyFont="1" applyFill="1"/>
    <xf numFmtId="0" fontId="1" fillId="0" borderId="18" xfId="0" applyFont="1" applyBorder="1"/>
    <xf numFmtId="0" fontId="1" fillId="0" borderId="0" xfId="0" applyFont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" xfId="0" applyBorder="1" applyProtection="1"/>
    <xf numFmtId="0" fontId="0" fillId="0" borderId="3" xfId="0" applyBorder="1" applyProtection="1"/>
    <xf numFmtId="0" fontId="0" fillId="0" borderId="4" xfId="0" applyBorder="1" applyProtection="1"/>
    <xf numFmtId="0" fontId="0" fillId="0" borderId="5" xfId="0" applyBorder="1" applyProtection="1"/>
  </cellXfs>
  <cellStyles count="3">
    <cellStyle name="Normal" xfId="0" builtinId="0"/>
    <cellStyle name="Normal 2" xfId="1" xr:uid="{69458A8D-77D9-479F-92AE-52DB2211431D}"/>
    <cellStyle name="Normal 3" xfId="2" xr:uid="{2CAC3A18-8B0B-4459-9D9C-4239BC67369B}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2E5B-8DA4-40C3-BE8D-55F0CB12D7CE}">
  <dimension ref="A1:E27"/>
  <sheetViews>
    <sheetView workbookViewId="0">
      <selection activeCell="A12" sqref="A12"/>
    </sheetView>
  </sheetViews>
  <sheetFormatPr defaultRowHeight="14.4"/>
  <cols>
    <col min="1" max="1" width="11.33203125" style="31" bestFit="1" customWidth="1"/>
    <col min="2" max="16384" width="8.88671875" style="31"/>
  </cols>
  <sheetData>
    <row r="1" spans="1:5">
      <c r="A1" s="38" t="s">
        <v>12</v>
      </c>
      <c r="B1" s="39"/>
      <c r="D1" s="32" t="s">
        <v>33</v>
      </c>
      <c r="E1" s="33"/>
    </row>
    <row r="2" spans="1:5">
      <c r="A2" s="40" t="s">
        <v>7</v>
      </c>
      <c r="B2" s="41" t="s">
        <v>13</v>
      </c>
      <c r="D2" s="34" t="s">
        <v>34</v>
      </c>
      <c r="E2" s="35" t="s">
        <v>36</v>
      </c>
    </row>
    <row r="3" spans="1:5">
      <c r="A3" s="40" t="s">
        <v>4</v>
      </c>
      <c r="B3" s="41" t="s">
        <v>14</v>
      </c>
      <c r="D3" s="34" t="s">
        <v>35</v>
      </c>
      <c r="E3" s="35" t="s">
        <v>37</v>
      </c>
    </row>
    <row r="4" spans="1:5">
      <c r="A4" s="40" t="s">
        <v>5</v>
      </c>
      <c r="B4" s="41" t="s">
        <v>15</v>
      </c>
      <c r="D4" s="34" t="s">
        <v>38</v>
      </c>
      <c r="E4" s="35" t="s">
        <v>40</v>
      </c>
    </row>
    <row r="5" spans="1:5" ht="15" thickBot="1">
      <c r="A5" s="42" t="s">
        <v>8</v>
      </c>
      <c r="B5" s="43" t="s">
        <v>16</v>
      </c>
      <c r="D5" s="34" t="s">
        <v>39</v>
      </c>
      <c r="E5" s="35" t="s">
        <v>41</v>
      </c>
    </row>
    <row r="6" spans="1:5">
      <c r="D6" s="34" t="s">
        <v>42</v>
      </c>
      <c r="E6" s="35" t="s">
        <v>44</v>
      </c>
    </row>
    <row r="7" spans="1:5">
      <c r="D7" s="34" t="s">
        <v>43</v>
      </c>
      <c r="E7" s="35" t="s">
        <v>45</v>
      </c>
    </row>
    <row r="8" spans="1:5">
      <c r="D8" s="34" t="s">
        <v>46</v>
      </c>
      <c r="E8" s="35" t="s">
        <v>48</v>
      </c>
    </row>
    <row r="9" spans="1:5">
      <c r="D9" s="34" t="s">
        <v>47</v>
      </c>
      <c r="E9" s="35" t="s">
        <v>49</v>
      </c>
    </row>
    <row r="10" spans="1:5">
      <c r="D10" s="34" t="s">
        <v>50</v>
      </c>
      <c r="E10" s="35" t="s">
        <v>52</v>
      </c>
    </row>
    <row r="11" spans="1:5">
      <c r="D11" s="34" t="s">
        <v>51</v>
      </c>
      <c r="E11" s="35" t="s">
        <v>53</v>
      </c>
    </row>
    <row r="12" spans="1:5">
      <c r="D12" s="34" t="s">
        <v>54</v>
      </c>
      <c r="E12" s="35" t="s">
        <v>56</v>
      </c>
    </row>
    <row r="13" spans="1:5">
      <c r="D13" s="34" t="s">
        <v>55</v>
      </c>
      <c r="E13" s="35" t="s">
        <v>57</v>
      </c>
    </row>
    <row r="14" spans="1:5">
      <c r="D14" s="34" t="s">
        <v>58</v>
      </c>
      <c r="E14" s="35" t="s">
        <v>60</v>
      </c>
    </row>
    <row r="15" spans="1:5">
      <c r="D15" s="34" t="s">
        <v>59</v>
      </c>
      <c r="E15" s="35" t="s">
        <v>61</v>
      </c>
    </row>
    <row r="16" spans="1:5">
      <c r="D16" s="34" t="s">
        <v>62</v>
      </c>
      <c r="E16" s="35" t="s">
        <v>64</v>
      </c>
    </row>
    <row r="17" spans="4:5">
      <c r="D17" s="34" t="s">
        <v>63</v>
      </c>
      <c r="E17" s="35" t="s">
        <v>65</v>
      </c>
    </row>
    <row r="18" spans="4:5">
      <c r="D18" s="34" t="s">
        <v>66</v>
      </c>
      <c r="E18" s="35" t="s">
        <v>68</v>
      </c>
    </row>
    <row r="19" spans="4:5">
      <c r="D19" s="34" t="s">
        <v>67</v>
      </c>
      <c r="E19" s="35" t="s">
        <v>69</v>
      </c>
    </row>
    <row r="20" spans="4:5">
      <c r="D20" s="34" t="s">
        <v>70</v>
      </c>
      <c r="E20" s="35" t="s">
        <v>72</v>
      </c>
    </row>
    <row r="21" spans="4:5">
      <c r="D21" s="34" t="s">
        <v>71</v>
      </c>
      <c r="E21" s="35" t="s">
        <v>73</v>
      </c>
    </row>
    <row r="22" spans="4:5">
      <c r="D22" s="34" t="s">
        <v>74</v>
      </c>
      <c r="E22" s="35" t="s">
        <v>19</v>
      </c>
    </row>
    <row r="23" spans="4:5">
      <c r="D23" s="34" t="s">
        <v>75</v>
      </c>
      <c r="E23" s="35" t="s">
        <v>20</v>
      </c>
    </row>
    <row r="24" spans="4:5">
      <c r="D24" s="34" t="s">
        <v>21</v>
      </c>
      <c r="E24" s="35" t="s">
        <v>23</v>
      </c>
    </row>
    <row r="25" spans="4:5">
      <c r="D25" s="34" t="s">
        <v>22</v>
      </c>
      <c r="E25" s="35" t="s">
        <v>24</v>
      </c>
    </row>
    <row r="26" spans="4:5">
      <c r="D26" s="34" t="s">
        <v>25</v>
      </c>
      <c r="E26" s="35" t="s">
        <v>27</v>
      </c>
    </row>
    <row r="27" spans="4:5" ht="15" thickBot="1">
      <c r="D27" s="36" t="s">
        <v>26</v>
      </c>
      <c r="E27" s="37" t="s">
        <v>28</v>
      </c>
    </row>
  </sheetData>
  <sheetProtection sheet="1" objects="1" scenarios="1"/>
  <mergeCells count="2">
    <mergeCell ref="D1:E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BC4F-3240-4E2B-8786-45BA0A848B3E}">
  <dimension ref="A1:AO452"/>
  <sheetViews>
    <sheetView tabSelected="1" zoomScale="70" zoomScaleNormal="70" workbookViewId="0">
      <pane ySplit="4" topLeftCell="A5" activePane="bottomLeft" state="frozen"/>
      <selection pane="bottomLeft" activeCell="B9" sqref="B9"/>
    </sheetView>
  </sheetViews>
  <sheetFormatPr defaultRowHeight="14.4"/>
  <cols>
    <col min="1" max="1" width="14.6640625" customWidth="1"/>
    <col min="2" max="2" width="23.77734375" bestFit="1" customWidth="1"/>
    <col min="3" max="3" width="15.5546875" bestFit="1" customWidth="1"/>
    <col min="4" max="4" width="15.6640625" bestFit="1" customWidth="1"/>
    <col min="5" max="5" width="9" bestFit="1" customWidth="1"/>
    <col min="6" max="6" width="7.5546875" bestFit="1" customWidth="1"/>
    <col min="7" max="7" width="14.109375" bestFit="1" customWidth="1"/>
    <col min="8" max="8" width="21.21875" bestFit="1" customWidth="1"/>
    <col min="9" max="9" width="8.88671875" bestFit="1" customWidth="1"/>
    <col min="10" max="10" width="8.5546875" bestFit="1" customWidth="1"/>
    <col min="11" max="41" width="11.88671875" bestFit="1" customWidth="1"/>
  </cols>
  <sheetData>
    <row r="1" spans="1:41" ht="29.4" thickBot="1">
      <c r="A1" s="11" t="s">
        <v>76</v>
      </c>
      <c r="B1" s="14">
        <f ca="1">TODAY()</f>
        <v>45065</v>
      </c>
      <c r="C1" s="15" t="s">
        <v>31</v>
      </c>
      <c r="D1" s="16" t="s">
        <v>30</v>
      </c>
      <c r="E1" s="17" t="s">
        <v>29</v>
      </c>
      <c r="I1" s="25"/>
      <c r="J1" s="26" t="s">
        <v>78</v>
      </c>
      <c r="K1" s="23" t="str">
        <f t="shared" ref="K1:AO1" ca="1" si="0">IF(COUNTIF(K$5:K$450,"OFF")=0,"",COUNTIF(K$5:K$450,"OFF"))</f>
        <v/>
      </c>
      <c r="L1" s="23" t="str">
        <f t="shared" ca="1" si="0"/>
        <v/>
      </c>
      <c r="M1" s="23">
        <f t="shared" ca="1" si="0"/>
        <v>56</v>
      </c>
      <c r="N1" s="23">
        <f t="shared" ca="1" si="0"/>
        <v>55</v>
      </c>
      <c r="O1" s="23">
        <f t="shared" ca="1" si="0"/>
        <v>56</v>
      </c>
      <c r="P1" s="23">
        <f t="shared" ca="1" si="0"/>
        <v>56</v>
      </c>
      <c r="Q1" s="23" t="str">
        <f t="shared" si="0"/>
        <v/>
      </c>
      <c r="R1" s="23" t="str">
        <f t="shared" ca="1" si="0"/>
        <v/>
      </c>
      <c r="S1" s="23" t="str">
        <f t="shared" ca="1" si="0"/>
        <v/>
      </c>
      <c r="T1" s="23">
        <f t="shared" ca="1" si="0"/>
        <v>55</v>
      </c>
      <c r="U1" s="23">
        <f ca="1">IF(COUNTIF(U$5:U$450,"OFF")=0,"",COUNTIF(U$5:U$450,"OFF"))</f>
        <v>56</v>
      </c>
      <c r="V1" s="23">
        <f t="shared" ca="1" si="0"/>
        <v>56</v>
      </c>
      <c r="W1" s="23">
        <f t="shared" ca="1" si="0"/>
        <v>56</v>
      </c>
      <c r="X1" s="23" t="str">
        <f t="shared" si="0"/>
        <v/>
      </c>
      <c r="Y1" s="23" t="str">
        <f t="shared" ca="1" si="0"/>
        <v/>
      </c>
      <c r="Z1" s="23" t="str">
        <f t="shared" ca="1" si="0"/>
        <v/>
      </c>
      <c r="AA1" s="23">
        <f t="shared" ca="1" si="0"/>
        <v>56</v>
      </c>
      <c r="AB1" s="23">
        <f ca="1">IF(COUNTIF(AB$5:AB$450,"OFF")=0,"",COUNTIF(AB$5:AB$450,"OFF"))</f>
        <v>55</v>
      </c>
      <c r="AC1" s="23">
        <f t="shared" ca="1" si="0"/>
        <v>56</v>
      </c>
      <c r="AD1" s="23">
        <f t="shared" ca="1" si="0"/>
        <v>56</v>
      </c>
      <c r="AE1" s="23" t="str">
        <f t="shared" si="0"/>
        <v/>
      </c>
      <c r="AF1" s="23" t="str">
        <f t="shared" ca="1" si="0"/>
        <v/>
      </c>
      <c r="AG1" s="23" t="str">
        <f t="shared" ca="1" si="0"/>
        <v/>
      </c>
      <c r="AH1" s="23">
        <f t="shared" ca="1" si="0"/>
        <v>55</v>
      </c>
      <c r="AI1" s="23">
        <f t="shared" ca="1" si="0"/>
        <v>56</v>
      </c>
      <c r="AJ1" s="23">
        <f t="shared" ca="1" si="0"/>
        <v>56</v>
      </c>
      <c r="AK1" s="23">
        <f t="shared" ca="1" si="0"/>
        <v>56</v>
      </c>
      <c r="AL1" s="23" t="str">
        <f t="shared" si="0"/>
        <v/>
      </c>
      <c r="AM1" s="23" t="str">
        <f t="shared" si="0"/>
        <v/>
      </c>
      <c r="AN1" s="23" t="str">
        <f t="shared" si="0"/>
        <v/>
      </c>
      <c r="AO1" s="23" t="str">
        <f t="shared" si="0"/>
        <v/>
      </c>
    </row>
    <row r="2" spans="1:41" ht="15" thickBot="1">
      <c r="A2" s="12" t="s">
        <v>77</v>
      </c>
      <c r="B2" s="13">
        <f ca="1">NOW()</f>
        <v>45065.578226620368</v>
      </c>
      <c r="C2" s="1"/>
      <c r="D2" s="1"/>
      <c r="K2" s="22">
        <v>45047</v>
      </c>
      <c r="L2" s="22">
        <v>45048</v>
      </c>
      <c r="M2" s="22">
        <v>45049</v>
      </c>
      <c r="N2" s="22">
        <v>45050</v>
      </c>
      <c r="O2" s="22">
        <v>45051</v>
      </c>
      <c r="P2" s="22">
        <v>45052</v>
      </c>
      <c r="Q2" s="22">
        <v>45053</v>
      </c>
      <c r="R2" s="22">
        <v>45054</v>
      </c>
      <c r="S2" s="22">
        <v>45055</v>
      </c>
      <c r="T2" s="22">
        <v>45056</v>
      </c>
      <c r="U2" s="22">
        <v>45057</v>
      </c>
      <c r="V2" s="22">
        <v>45058</v>
      </c>
      <c r="W2" s="22">
        <v>45059</v>
      </c>
      <c r="X2" s="22">
        <v>45060</v>
      </c>
      <c r="Y2" s="22">
        <v>45061</v>
      </c>
      <c r="Z2" s="22">
        <v>45062</v>
      </c>
      <c r="AA2" s="22">
        <v>45063</v>
      </c>
      <c r="AB2" s="22">
        <v>45064</v>
      </c>
      <c r="AC2" s="22">
        <v>45065</v>
      </c>
      <c r="AD2" s="22">
        <v>45066</v>
      </c>
      <c r="AE2" s="22">
        <v>45067</v>
      </c>
      <c r="AF2" s="22">
        <v>45068</v>
      </c>
      <c r="AG2" s="22">
        <v>45069</v>
      </c>
      <c r="AH2" s="22">
        <v>45070</v>
      </c>
      <c r="AI2" s="22">
        <v>45071</v>
      </c>
      <c r="AJ2" s="22">
        <v>45072</v>
      </c>
      <c r="AK2" s="22">
        <v>45073</v>
      </c>
      <c r="AL2" s="22">
        <v>45074</v>
      </c>
      <c r="AM2" s="22">
        <v>45075</v>
      </c>
      <c r="AN2" s="22">
        <v>45076</v>
      </c>
      <c r="AO2" s="22">
        <v>45077</v>
      </c>
    </row>
    <row r="3" spans="1:41" ht="15" thickBot="1">
      <c r="K3" s="28" t="str">
        <f>"Week "&amp;_xlfn.ISOWEEKNUM($K$2)</f>
        <v>Week 18</v>
      </c>
      <c r="L3" s="29"/>
      <c r="M3" s="29"/>
      <c r="N3" s="29"/>
      <c r="O3" s="29"/>
      <c r="P3" s="30"/>
      <c r="Q3" s="24"/>
      <c r="R3" s="28" t="str">
        <f>"Week "&amp;_xlfn.ISOWEEKNUM($R$2)</f>
        <v>Week 19</v>
      </c>
      <c r="S3" s="29"/>
      <c r="T3" s="29"/>
      <c r="U3" s="29"/>
      <c r="V3" s="29"/>
      <c r="W3" s="30"/>
      <c r="X3" s="24"/>
      <c r="Y3" s="28" t="str">
        <f>"Week "&amp;_xlfn.ISOWEEKNUM($Y$2)</f>
        <v>Week 20</v>
      </c>
      <c r="Z3" s="29"/>
      <c r="AA3" s="29"/>
      <c r="AB3" s="29"/>
      <c r="AC3" s="29"/>
      <c r="AD3" s="30"/>
      <c r="AE3" s="24"/>
      <c r="AF3" s="28" t="str">
        <f>"Week "&amp;_xlfn.ISOWEEKNUM($AF$2)</f>
        <v>Week 21</v>
      </c>
      <c r="AG3" s="29"/>
      <c r="AH3" s="29"/>
      <c r="AI3" s="29"/>
      <c r="AJ3" s="29"/>
      <c r="AK3" s="30"/>
      <c r="AL3" s="24"/>
      <c r="AM3" s="28" t="str">
        <f>"Week "&amp;_xlfn.ISOWEEKNUM($AM$2)</f>
        <v>Week 22</v>
      </c>
      <c r="AN3" s="29"/>
      <c r="AO3" s="30"/>
    </row>
    <row r="4" spans="1:41" s="2" customFormat="1" ht="15" thickBot="1">
      <c r="A4" s="9" t="s">
        <v>0</v>
      </c>
      <c r="B4" s="9" t="s">
        <v>2</v>
      </c>
      <c r="C4" s="9" t="s">
        <v>3</v>
      </c>
      <c r="D4" s="9" t="s">
        <v>1</v>
      </c>
      <c r="E4" s="10" t="s">
        <v>11</v>
      </c>
      <c r="F4" s="10" t="s">
        <v>10</v>
      </c>
      <c r="G4" s="9" t="s">
        <v>32</v>
      </c>
      <c r="H4" s="9" t="s">
        <v>17</v>
      </c>
      <c r="I4" s="27" t="s">
        <v>18</v>
      </c>
      <c r="J4" s="27"/>
      <c r="K4" s="18" t="str">
        <f t="shared" ref="K4:AO4" si="1">TEXT(K2,"DDD")</f>
        <v>Mon</v>
      </c>
      <c r="L4" s="18" t="str">
        <f t="shared" si="1"/>
        <v>Tue</v>
      </c>
      <c r="M4" s="18" t="str">
        <f t="shared" si="1"/>
        <v>Wed</v>
      </c>
      <c r="N4" s="18" t="str">
        <f t="shared" si="1"/>
        <v>Thu</v>
      </c>
      <c r="O4" s="18" t="str">
        <f t="shared" si="1"/>
        <v>Fri</v>
      </c>
      <c r="P4" s="18" t="str">
        <f t="shared" si="1"/>
        <v>Sat</v>
      </c>
      <c r="Q4" s="18" t="str">
        <f t="shared" si="1"/>
        <v>Sun</v>
      </c>
      <c r="R4" s="18" t="str">
        <f t="shared" si="1"/>
        <v>Mon</v>
      </c>
      <c r="S4" s="18" t="str">
        <f t="shared" si="1"/>
        <v>Tue</v>
      </c>
      <c r="T4" s="18" t="str">
        <f t="shared" si="1"/>
        <v>Wed</v>
      </c>
      <c r="U4" s="18" t="str">
        <f t="shared" si="1"/>
        <v>Thu</v>
      </c>
      <c r="V4" s="18" t="str">
        <f t="shared" si="1"/>
        <v>Fri</v>
      </c>
      <c r="W4" s="6" t="str">
        <f t="shared" si="1"/>
        <v>Sat</v>
      </c>
      <c r="X4" s="6" t="str">
        <f t="shared" si="1"/>
        <v>Sun</v>
      </c>
      <c r="Y4" s="6" t="str">
        <f t="shared" si="1"/>
        <v>Mon</v>
      </c>
      <c r="Z4" s="6" t="str">
        <f t="shared" si="1"/>
        <v>Tue</v>
      </c>
      <c r="AA4" s="19" t="str">
        <f t="shared" si="1"/>
        <v>Wed</v>
      </c>
      <c r="AB4" s="7" t="str">
        <f t="shared" si="1"/>
        <v>Thu</v>
      </c>
      <c r="AC4" s="18" t="str">
        <f t="shared" si="1"/>
        <v>Fri</v>
      </c>
      <c r="AD4" s="6" t="str">
        <f t="shared" si="1"/>
        <v>Sat</v>
      </c>
      <c r="AE4" s="6" t="str">
        <f t="shared" si="1"/>
        <v>Sun</v>
      </c>
      <c r="AF4" s="6" t="str">
        <f t="shared" si="1"/>
        <v>Mon</v>
      </c>
      <c r="AG4" s="6" t="str">
        <f t="shared" si="1"/>
        <v>Tue</v>
      </c>
      <c r="AH4" s="19" t="str">
        <f t="shared" si="1"/>
        <v>Wed</v>
      </c>
      <c r="AI4" s="7" t="str">
        <f t="shared" si="1"/>
        <v>Thu</v>
      </c>
      <c r="AJ4" s="18" t="str">
        <f t="shared" si="1"/>
        <v>Fri</v>
      </c>
      <c r="AK4" s="6" t="str">
        <f t="shared" si="1"/>
        <v>Sat</v>
      </c>
      <c r="AL4" s="6" t="str">
        <f t="shared" si="1"/>
        <v>Sun</v>
      </c>
      <c r="AM4" s="6" t="str">
        <f t="shared" si="1"/>
        <v>Mon</v>
      </c>
      <c r="AN4" s="6" t="str">
        <f t="shared" si="1"/>
        <v>Tue</v>
      </c>
      <c r="AO4" s="19" t="str">
        <f t="shared" si="1"/>
        <v>Wed</v>
      </c>
    </row>
    <row r="5" spans="1:41">
      <c r="A5" t="str">
        <f ca="1">CHOOSE(RANDBETWEEN(1,5),"Lagos","Ogun","Ondo","Oyo","Ekiti")</f>
        <v>Ogun</v>
      </c>
      <c r="B5" t="str">
        <f ca="1">CHOOSE(RANDBETWEEN(1,5),"A","B","C","D","E")</f>
        <v>E</v>
      </c>
      <c r="C5" t="str">
        <f ca="1">CHOOSE(RANDBETWEEN(1,5),"A1","B1","C1","D1","E1")</f>
        <v>D1</v>
      </c>
      <c r="D5" t="s">
        <v>7</v>
      </c>
      <c r="E5">
        <f ca="1">COUNTIF(K5:AO5, "ON")</f>
        <v>25</v>
      </c>
      <c r="F5">
        <f ca="1">COUNTIF(K5:AO5, "OFF")</f>
        <v>2</v>
      </c>
      <c r="G5" t="str" cm="1">
        <f t="array" ref="G5:G8">Groups!$B$2:$B$5</f>
        <v>A</v>
      </c>
      <c r="H5" t="str" cm="1">
        <f t="array" ref="H5:H8">Groups!$B$2:$B$5</f>
        <v>A</v>
      </c>
      <c r="I5" t="str">
        <f ca="1">IF($A5="","",IF(COUNTA($K$2:$P$2)=6,"WK "&amp;_xlfn.ISOWEEKNUM($K$2)))</f>
        <v>WK 18</v>
      </c>
      <c r="J5" t="str">
        <f ca="1">IF($A5="","",IF(COUNTA($Y$2:$AD$2)=6,"WK "&amp;_xlfn.ISOWEEKNUM($Y$2)))</f>
        <v>WK 20</v>
      </c>
      <c r="K5" s="20" t="str">
        <f ca="1">IF($A5="","",IF(COUNTA($K$2:$AO$2)-4,IF(OR(K$4="Mon",K$4="Tue"),$E$1,$D$1)))</f>
        <v>ON</v>
      </c>
      <c r="L5" s="20" t="str">
        <f ca="1">IF($A5="","",IF(COUNTA($K$2:$AO$2)-4,IF(OR(L$4="Mon",L$4="Tue"),$E$1,$D$1)))</f>
        <v>ON</v>
      </c>
      <c r="M5" s="1" t="str">
        <f ca="1">IF($A5="","",IF(COUNTA($K$2:$AO$2)-4,IF(OR(M$4&lt;&gt;"Mon",M$4&lt;&gt;"Tue"),IF(AND($G5="A",$H5="A",$I5="WK "&amp;_xlfn.ISOWEEKNUM($K$2)),$D$1,$E$1))))</f>
        <v>OFF</v>
      </c>
      <c r="N5" s="1" t="str">
        <f ca="1">IF($A5="","",IF(COUNTA($K$2:$AO$2)-4,IF(OR(N$4&lt;&gt;"Mon",N$4&lt;&gt;"Tue"),IF(AND($G5="B",$H5="B",$I5="WK "&amp;_xlfn.ISOWEEKNUM($K$2)),$D$1,$E$1))))</f>
        <v>ON</v>
      </c>
      <c r="O5" s="1" t="str">
        <f ca="1">IF($A5="","",IF(COUNTA($K$2:$AO$2)-4,IF(OR(O$4&lt;&gt;"Mon",O$4&lt;&gt;"Tue"),IF(AND($G5="C",$H5="C",$I5="WK "&amp;_xlfn.ISOWEEKNUM($K$2)),$D$1,$E$1))))</f>
        <v>ON</v>
      </c>
      <c r="P5" s="1" t="str">
        <f ca="1">IF($A5="","",IF(COUNTA($K$2:$AO$2)-4,IF(OR(P$4&lt;&gt;"Mon",P$4&lt;&gt;"Tue"),IF(AND($G5="D",$H5="D",$I5="WK "&amp;_xlfn.ISOWEEKNUM($K$2)),$D$1,$E$1))))</f>
        <v>ON</v>
      </c>
      <c r="Q5" s="1"/>
      <c r="R5" s="20" t="str">
        <f ca="1">IF($A5="","",IF(COUNTA($K$2:$AO$2)-4,IF(OR(R$4="Mon",R$4="Tue"),$E$1,$D$1)))</f>
        <v>ON</v>
      </c>
      <c r="S5" s="20" t="str">
        <f ca="1">IF($A5="","",IF(COUNTA($K$2:$AO$2)-4,IF(OR(S$4="Mon",S$4="Tue"),$E$1,$D$1)))</f>
        <v>ON</v>
      </c>
      <c r="T5" s="1" t="str">
        <f ca="1">IF($A5="","",IF(COUNTA($K$2:$AO$2)-4,IF(OR(T$4&lt;&gt;"Mon",T$4&lt;&gt;"Tue"),IF(AND($G5="A",$H5="A",$I5="WK "&amp;_xlfn.ISOWEEKNUM($R$2)),$D$1,$E$1))))</f>
        <v>ON</v>
      </c>
      <c r="U5" s="1" t="str">
        <f ca="1">IF($A5="","",IF(COUNTA($K$2:$AO$2)-4,IF(OR(U$4&lt;&gt;"Mon",U$4&lt;&gt;"Tue"),IF(AND($G5="B",$H5="B",$I5="WK "&amp;_xlfn.ISOWEEKNUM($R$2)),$D$1,$E$1))))</f>
        <v>ON</v>
      </c>
      <c r="V5" s="1" t="str">
        <f ca="1">IF($A5="","",IF(COUNTA($K$2:$AO$2)-4,IF(OR(V$4&lt;&gt;"Mon",V$4&lt;&gt;"Tue"),IF(AND($G5="C",$H5="C",$I5="WK "&amp;_xlfn.ISOWEEKNUM($R$2)),$D$1,$E$1))))</f>
        <v>ON</v>
      </c>
      <c r="W5" s="1" t="str">
        <f ca="1">IF($A5="","",IF(COUNTA($K$2:$AO$2)-4,IF(OR(W$4&lt;&gt;"Mon",W$4&lt;&gt;"Tue"),IF(AND($G5="D",$H5="D",$I5="WK "&amp;_xlfn.ISOWEEKNUM($R$2)),$D$1,$E$1))))</f>
        <v>ON</v>
      </c>
      <c r="X5" s="1"/>
      <c r="Y5" s="20" t="str">
        <f ca="1">IF($A5="","",IF(COUNTA($K$2:$AO$2)-4,IF(OR(Y$4="Mon",Y$4="Tue"),$E$1,$D$1)))</f>
        <v>ON</v>
      </c>
      <c r="Z5" s="20" t="str">
        <f ca="1">IF($A5="","",IF(COUNTA($K$2:$AO$2)-4,IF(OR(Z$4="Mon",Z$4="Tue"),$E$1,$D$1)))</f>
        <v>ON</v>
      </c>
      <c r="AA5" s="1" t="str">
        <f ca="1">IF($A5="","",IF(COUNTA($K$2:$AO$2)-4,IF(OR(AA$4&lt;&gt;"Mon",AA$4&lt;&gt;"Tue"),IF(AND($G5="A",$H5="A",$J5="WK "&amp;_xlfn.ISOWEEKNUM($Y$2)),$D$1,$E$1))))</f>
        <v>OFF</v>
      </c>
      <c r="AB5" s="1" t="str">
        <f ca="1">IF($A5="","",IF(COUNTA($K$2:$AO$2)-4,IF(OR(AB$4&lt;&gt;"Mon",AB$4&lt;&gt;"Tue"),IF(AND($G5="B",$H5="B",$J5="WK "&amp;_xlfn.ISOWEEKNUM($Y$2)),$D$1,$E$1))))</f>
        <v>ON</v>
      </c>
      <c r="AC5" s="1" t="str">
        <f ca="1">IF($A5="","",IF(COUNTA($K$2:$AO$2)-4,IF(OR(AC$4&lt;&gt;"Mon",AC$4&lt;&gt;"Tue"),IF(AND($G5="C",$H5="C",$J5="WK "&amp;_xlfn.ISOWEEKNUM($Y$2)),$D$1,$E$1))))</f>
        <v>ON</v>
      </c>
      <c r="AD5" s="1" t="str">
        <f ca="1">IF($A5="","",IF(COUNTA($K$2:$AO$2)-4,IF(OR(AD$4&lt;&gt;"Mon",AD$4&lt;&gt;"Tue"),IF(AND($G5="D",$H5="D",$J5="WK "&amp;_xlfn.ISOWEEKNUM($Y$2)),$D$1,$E$1))))</f>
        <v>ON</v>
      </c>
      <c r="AE5" s="1"/>
      <c r="AF5" s="20" t="str">
        <f ca="1">IF($A5="","",IF(COUNTA($K$2:$AO$2)-4,IF(OR(AF$4="Mon",AF$4="Tue"),$E$1,$D$1)))</f>
        <v>ON</v>
      </c>
      <c r="AG5" s="20" t="str">
        <f ca="1">IF($A5="","",IF(COUNTA($K$2:$AO$2)-4,IF(OR(AG$4="Mon",AG$4="Tue"),$E$1,$D$1)))</f>
        <v>ON</v>
      </c>
      <c r="AH5" s="1" t="str">
        <f ca="1">IF($A5="","",IF(COUNTA($K$2:$AO$2)-4,IF(OR(AH$4&lt;&gt;"Mon",AH$4&lt;&gt;"Tue"),IF(AND($G5="A",$H5="A",$J5="WK "&amp;_xlfn.ISOWEEKNUM($AF$2)),$D$1,$E$1))))</f>
        <v>ON</v>
      </c>
      <c r="AI5" s="1" t="str">
        <f ca="1">IF($A5="","",IF(COUNTA($K$2:$AO$2)-4,IF(OR(AI$4&lt;&gt;"Mon",AI$4&lt;&gt;"Tue"),IF(AND($G5="B",$H5="B",$J5="WK "&amp;_xlfn.ISOWEEKNUM($AF$2)),$D$1,$E$1))))</f>
        <v>ON</v>
      </c>
      <c r="AJ5" s="1" t="str">
        <f ca="1">IF($A5="","",IF(COUNTA($K$2:$AO$2)-4,IF(OR(AJ$4&lt;&gt;"Mon",AJ$4&lt;&gt;"Tue"),IF(AND($G5="C",$H5="C",$J5="WK "&amp;_xlfn.ISOWEEKNUM($AF$2)),$D$1,$E$1))))</f>
        <v>ON</v>
      </c>
      <c r="AK5" s="1" t="str">
        <f ca="1">IF($A5="","",IF(COUNTA($K$2:$AO$2)-4,IF(OR(AK$4&lt;&gt;"Mon",AK$4&lt;&gt;"Tue"),IF(AND($G5="D",$H5="D",$J5="WK "&amp;_xlfn.ISOWEEKNUM($AF$2)),$D$1,$E$1))))</f>
        <v>ON</v>
      </c>
      <c r="AL5" s="1"/>
      <c r="AM5" s="20" t="str">
        <f>IF(COUNTA($K$2:$AO$2)-4,IF(OR(AM$4="Mon",AM$4="Tue"),$E$1,$D$1))</f>
        <v>ON</v>
      </c>
      <c r="AN5" s="20" t="str">
        <f>IF(COUNTA($K$2:$AO$2)-4,IF(OR(AN$4="Mon",AN$4="Tue"),$E$1,$D$1))</f>
        <v>ON</v>
      </c>
      <c r="AO5" s="20" t="str">
        <f>IF(COUNTA($K$2:$AO$2)-4,IF(OR(AO$4="Mon",AO$4="Tue",AO$4="Wed"),$E$1,$D$1))</f>
        <v>ON</v>
      </c>
    </row>
    <row r="6" spans="1:41">
      <c r="A6" t="str">
        <f t="shared" ref="A6:A69" ca="1" si="2">CHOOSE(RANDBETWEEN(1,5),"Lagos","Ogun","Ondo","Oyo","Ekiti")</f>
        <v>Ogun</v>
      </c>
      <c r="B6" t="str">
        <f t="shared" ref="B6:B69" ca="1" si="3">CHOOSE(RANDBETWEEN(1,5),"A","B","C","D","E")</f>
        <v>E</v>
      </c>
      <c r="C6" t="str">
        <f t="shared" ref="C6:C69" ca="1" si="4">CHOOSE(RANDBETWEEN(1,5),"A1","B1","C1","D1","E1")</f>
        <v>D1</v>
      </c>
      <c r="D6" t="s">
        <v>7</v>
      </c>
      <c r="E6">
        <f t="shared" ref="E6:E69" ca="1" si="5">COUNTIF(K6:AO6, "ON")</f>
        <v>25</v>
      </c>
      <c r="F6">
        <f t="shared" ref="F6:F69" ca="1" si="6">COUNTIF(K6:AO6, "OFF")</f>
        <v>2</v>
      </c>
      <c r="G6" t="str">
        <v>B</v>
      </c>
      <c r="H6" t="str">
        <v>B</v>
      </c>
      <c r="I6" t="str">
        <f ca="1">IF($A6="","",IF(COUNTA($R$2:$W$2)=6,"WK "&amp;_xlfn.ISOWEEKNUM($R$2)))</f>
        <v>WK 19</v>
      </c>
      <c r="J6" t="str">
        <f ca="1">IF($A6="","",IF(COUNTA($AF$2:$AK$2)=6,"WK "&amp;_xlfn.ISOWEEKNUM($AF$2)))</f>
        <v>WK 21</v>
      </c>
      <c r="K6" s="20" t="str">
        <f t="shared" ref="K6:L69" ca="1" si="7">IF($A6="","",IF(COUNTA($K$2:$AO$2)-4,IF(OR(K$4="Mon",K$4="Tue"),$E$1,$D$1)))</f>
        <v>ON</v>
      </c>
      <c r="L6" s="20" t="str">
        <f t="shared" ca="1" si="7"/>
        <v>ON</v>
      </c>
      <c r="M6" s="1" t="str">
        <f t="shared" ref="M6:M69" ca="1" si="8">IF($A6="","",IF(COUNTA($K$2:$AO$2)-4,IF(OR(M$4&lt;&gt;"Mon",M$4&lt;&gt;"Tue"),IF(AND($G6="A",$H6="A",$I6="WK "&amp;_xlfn.ISOWEEKNUM($K$2)),$D$1,$E$1))))</f>
        <v>ON</v>
      </c>
      <c r="N6" s="1" t="str">
        <f t="shared" ref="N6:N69" ca="1" si="9">IF($A6="","",IF(COUNTA($K$2:$AO$2)-4,IF(OR(N$4&lt;&gt;"Mon",N$4&lt;&gt;"Tue"),IF(AND($G6="B",$H6="B",$I6="WK "&amp;_xlfn.ISOWEEKNUM($K$2)),$D$1,$E$1))))</f>
        <v>ON</v>
      </c>
      <c r="O6" s="1" t="str">
        <f t="shared" ref="O6:O69" ca="1" si="10">IF($A6="","",IF(COUNTA($K$2:$AO$2)-4,IF(OR(O$4&lt;&gt;"Mon",O$4&lt;&gt;"Tue"),IF(AND($G6="C",$H6="C",$I6="WK "&amp;_xlfn.ISOWEEKNUM($K$2)),$D$1,$E$1))))</f>
        <v>ON</v>
      </c>
      <c r="P6" s="1" t="str">
        <f t="shared" ref="P6:P69" ca="1" si="11">IF($A6="","",IF(COUNTA($K$2:$AO$2)-4,IF(OR(P$4&lt;&gt;"Mon",P$4&lt;&gt;"Tue"),IF(AND($G6="D",$H6="D",$I6="WK "&amp;_xlfn.ISOWEEKNUM($K$2)),$D$1,$E$1))))</f>
        <v>ON</v>
      </c>
      <c r="Q6" s="1"/>
      <c r="R6" s="20" t="str">
        <f t="shared" ref="R6:S69" ca="1" si="12">IF($A6="","",IF(COUNTA($K$2:$AO$2)-4,IF(OR(R$4="Mon",R$4="Tue"),$E$1,$D$1)))</f>
        <v>ON</v>
      </c>
      <c r="S6" s="20" t="str">
        <f t="shared" ca="1" si="12"/>
        <v>ON</v>
      </c>
      <c r="T6" s="1" t="str">
        <f t="shared" ref="T6:T69" ca="1" si="13">IF($A6="","",IF(COUNTA($K$2:$AO$2)-4,IF(OR(T$4&lt;&gt;"Mon",T$4&lt;&gt;"Tue"),IF(AND($G6="A",$H6="A",$I6="WK "&amp;_xlfn.ISOWEEKNUM($R$2)),$D$1,$E$1))))</f>
        <v>ON</v>
      </c>
      <c r="U6" s="1" t="str">
        <f t="shared" ref="U6:U69" ca="1" si="14">IF($A6="","",IF(COUNTA($K$2:$AO$2)-4,IF(OR(U$4&lt;&gt;"Mon",U$4&lt;&gt;"Tue"),IF(AND($G6="B",$H6="B",$I6="WK "&amp;_xlfn.ISOWEEKNUM($R$2)),$D$1,$E$1))))</f>
        <v>OFF</v>
      </c>
      <c r="V6" s="1" t="str">
        <f t="shared" ref="V6:V69" ca="1" si="15">IF($A6="","",IF(COUNTA($K$2:$AO$2)-4,IF(OR(V$4&lt;&gt;"Mon",V$4&lt;&gt;"Tue"),IF(AND($G6="C",$H6="C",$I6="WK "&amp;_xlfn.ISOWEEKNUM($R$2)),$D$1,$E$1))))</f>
        <v>ON</v>
      </c>
      <c r="W6" s="1" t="str">
        <f t="shared" ref="W6:W69" ca="1" si="16">IF($A6="","",IF(COUNTA($K$2:$AO$2)-4,IF(OR(W$4&lt;&gt;"Mon",W$4&lt;&gt;"Tue"),IF(AND($G6="D",$H6="D",$I6="WK "&amp;_xlfn.ISOWEEKNUM($R$2)),$D$1,$E$1))))</f>
        <v>ON</v>
      </c>
      <c r="X6" s="1"/>
      <c r="Y6" s="20" t="str">
        <f t="shared" ref="Y6:Z69" ca="1" si="17">IF($A6="","",IF(COUNTA($K$2:$AO$2)-4,IF(OR(Y$4="Mon",Y$4="Tue"),$E$1,$D$1)))</f>
        <v>ON</v>
      </c>
      <c r="Z6" s="20" t="str">
        <f t="shared" ca="1" si="17"/>
        <v>ON</v>
      </c>
      <c r="AA6" s="1" t="str">
        <f t="shared" ref="AA6:AA69" ca="1" si="18">IF($A6="","",IF(COUNTA($K$2:$AO$2)-4,IF(OR(AA$4&lt;&gt;"Mon",AA$4&lt;&gt;"Tue"),IF(AND($G6="A",$H6="A",$J6="WK "&amp;_xlfn.ISOWEEKNUM($Y$2)),$D$1,$E$1))))</f>
        <v>ON</v>
      </c>
      <c r="AB6" s="1" t="str">
        <f t="shared" ref="AB6:AB69" ca="1" si="19">IF($A6="","",IF(COUNTA($K$2:$AO$2)-4,IF(OR(AB$4&lt;&gt;"Mon",AB$4&lt;&gt;"Tue"),IF(AND($G6="B",$H6="B",$J6="WK "&amp;_xlfn.ISOWEEKNUM($Y$2)),$D$1,$E$1))))</f>
        <v>ON</v>
      </c>
      <c r="AC6" s="1" t="str">
        <f t="shared" ref="AC6:AC69" ca="1" si="20">IF($A6="","",IF(COUNTA($K$2:$AO$2)-4,IF(OR(AC$4&lt;&gt;"Mon",AC$4&lt;&gt;"Tue"),IF(AND($G6="C",$H6="C",$J6="WK "&amp;_xlfn.ISOWEEKNUM($Y$2)),$D$1,$E$1))))</f>
        <v>ON</v>
      </c>
      <c r="AD6" s="1" t="str">
        <f t="shared" ref="AD6:AD69" ca="1" si="21">IF($A6="","",IF(COUNTA($K$2:$AO$2)-4,IF(OR(AD$4&lt;&gt;"Mon",AD$4&lt;&gt;"Tue"),IF(AND($G6="D",$H6="D",$J6="WK "&amp;_xlfn.ISOWEEKNUM($Y$2)),$D$1,$E$1))))</f>
        <v>ON</v>
      </c>
      <c r="AE6" s="1"/>
      <c r="AF6" s="20" t="str">
        <f t="shared" ref="AF6:AG69" ca="1" si="22">IF($A6="","",IF(COUNTA($K$2:$AO$2)-4,IF(OR(AF$4="Mon",AF$4="Tue"),$E$1,$D$1)))</f>
        <v>ON</v>
      </c>
      <c r="AG6" s="20" t="str">
        <f t="shared" ca="1" si="22"/>
        <v>ON</v>
      </c>
      <c r="AH6" s="1" t="str">
        <f t="shared" ref="AH6:AH69" ca="1" si="23">IF($A6="","",IF(COUNTA($K$2:$AO$2)-4,IF(OR(AH$4&lt;&gt;"Mon",AH$4&lt;&gt;"Tue"),IF(AND($G6="A",$H6="A",$J6="WK "&amp;_xlfn.ISOWEEKNUM($AF$2)),$D$1,$E$1))))</f>
        <v>ON</v>
      </c>
      <c r="AI6" s="1" t="str">
        <f t="shared" ref="AI6:AI69" ca="1" si="24">IF($A6="","",IF(COUNTA($K$2:$AO$2)-4,IF(OR(AI$4&lt;&gt;"Mon",AI$4&lt;&gt;"Tue"),IF(AND($G6="B",$H6="B",$J6="WK "&amp;_xlfn.ISOWEEKNUM($AF$2)),$D$1,$E$1))))</f>
        <v>OFF</v>
      </c>
      <c r="AJ6" s="1" t="str">
        <f t="shared" ref="AJ6:AJ69" ca="1" si="25">IF($A6="","",IF(COUNTA($K$2:$AO$2)-4,IF(OR(AJ$4&lt;&gt;"Mon",AJ$4&lt;&gt;"Tue"),IF(AND($G6="C",$H6="C",$J6="WK "&amp;_xlfn.ISOWEEKNUM($AF$2)),$D$1,$E$1))))</f>
        <v>ON</v>
      </c>
      <c r="AK6" s="1" t="str">
        <f t="shared" ref="AK6:AK69" ca="1" si="26">IF($A6="","",IF(COUNTA($K$2:$AO$2)-4,IF(OR(AK$4&lt;&gt;"Mon",AK$4&lt;&gt;"Tue"),IF(AND($G6="D",$H6="D",$J6="WK "&amp;_xlfn.ISOWEEKNUM($AF$2)),$D$1,$E$1))))</f>
        <v>ON</v>
      </c>
      <c r="AL6" s="1"/>
      <c r="AM6" s="20" t="str">
        <f t="shared" ref="AM6:AN69" si="27">IF(COUNTA($K$2:$AO$2)-4,IF(OR(AM$4="Mon",AM$4="Tue"),$E$1,$D$1))</f>
        <v>ON</v>
      </c>
      <c r="AN6" s="20" t="str">
        <f t="shared" si="27"/>
        <v>ON</v>
      </c>
      <c r="AO6" s="20" t="str">
        <f t="shared" ref="AO6:AO69" si="28">IF(COUNTA($K$2:$AO$2)-4,IF(OR(AO$4="Mon",AO$4="Tue",AO$4="Wed"),$E$1,$D$1))</f>
        <v>ON</v>
      </c>
    </row>
    <row r="7" spans="1:41">
      <c r="A7" t="str">
        <f t="shared" ca="1" si="2"/>
        <v>Ekiti</v>
      </c>
      <c r="B7" t="str">
        <f t="shared" ca="1" si="3"/>
        <v>A</v>
      </c>
      <c r="C7" t="str">
        <f t="shared" ca="1" si="4"/>
        <v>C1</v>
      </c>
      <c r="D7" t="s">
        <v>7</v>
      </c>
      <c r="E7">
        <f t="shared" ca="1" si="5"/>
        <v>25</v>
      </c>
      <c r="F7">
        <f t="shared" ca="1" si="6"/>
        <v>2</v>
      </c>
      <c r="G7" t="str">
        <v>C</v>
      </c>
      <c r="H7" t="str">
        <v>C</v>
      </c>
      <c r="I7" t="str">
        <f ca="1">IF($A7="","",IF(COUNTA($K$2:$P$2)=6,"WK "&amp;_xlfn.ISOWEEKNUM($K$2)))</f>
        <v>WK 18</v>
      </c>
      <c r="J7" t="str">
        <f ca="1">IF($A7="","",IF(COUNTA($Y$2:$AD$2)=6,"WK "&amp;_xlfn.ISOWEEKNUM($Y$2)))</f>
        <v>WK 20</v>
      </c>
      <c r="K7" s="20" t="str">
        <f t="shared" ca="1" si="7"/>
        <v>ON</v>
      </c>
      <c r="L7" s="20" t="str">
        <f t="shared" ca="1" si="7"/>
        <v>ON</v>
      </c>
      <c r="M7" s="1" t="str">
        <f t="shared" ca="1" si="8"/>
        <v>ON</v>
      </c>
      <c r="N7" s="1" t="str">
        <f t="shared" ca="1" si="9"/>
        <v>ON</v>
      </c>
      <c r="O7" s="1" t="str">
        <f t="shared" ca="1" si="10"/>
        <v>OFF</v>
      </c>
      <c r="P7" s="1" t="str">
        <f t="shared" ca="1" si="11"/>
        <v>ON</v>
      </c>
      <c r="Q7" s="1"/>
      <c r="R7" s="20" t="str">
        <f t="shared" ca="1" si="12"/>
        <v>ON</v>
      </c>
      <c r="S7" s="20" t="str">
        <f t="shared" ca="1" si="12"/>
        <v>ON</v>
      </c>
      <c r="T7" s="1" t="str">
        <f t="shared" ca="1" si="13"/>
        <v>ON</v>
      </c>
      <c r="U7" s="1" t="str">
        <f t="shared" ca="1" si="14"/>
        <v>ON</v>
      </c>
      <c r="V7" s="1" t="str">
        <f t="shared" ca="1" si="15"/>
        <v>ON</v>
      </c>
      <c r="W7" s="1" t="str">
        <f t="shared" ca="1" si="16"/>
        <v>ON</v>
      </c>
      <c r="X7" s="1"/>
      <c r="Y7" s="20" t="str">
        <f t="shared" ca="1" si="17"/>
        <v>ON</v>
      </c>
      <c r="Z7" s="20" t="str">
        <f t="shared" ca="1" si="17"/>
        <v>ON</v>
      </c>
      <c r="AA7" s="1" t="str">
        <f t="shared" ca="1" si="18"/>
        <v>ON</v>
      </c>
      <c r="AB7" s="1" t="str">
        <f t="shared" ca="1" si="19"/>
        <v>ON</v>
      </c>
      <c r="AC7" s="1" t="str">
        <f t="shared" ca="1" si="20"/>
        <v>OFF</v>
      </c>
      <c r="AD7" s="1" t="str">
        <f t="shared" ca="1" si="21"/>
        <v>ON</v>
      </c>
      <c r="AE7" s="1"/>
      <c r="AF7" s="20" t="str">
        <f t="shared" ca="1" si="22"/>
        <v>ON</v>
      </c>
      <c r="AG7" s="20" t="str">
        <f t="shared" ca="1" si="22"/>
        <v>ON</v>
      </c>
      <c r="AH7" s="1" t="str">
        <f t="shared" ca="1" si="23"/>
        <v>ON</v>
      </c>
      <c r="AI7" s="1" t="str">
        <f t="shared" ca="1" si="24"/>
        <v>ON</v>
      </c>
      <c r="AJ7" s="1" t="str">
        <f t="shared" ca="1" si="25"/>
        <v>ON</v>
      </c>
      <c r="AK7" s="1" t="str">
        <f t="shared" ca="1" si="26"/>
        <v>ON</v>
      </c>
      <c r="AL7" s="1"/>
      <c r="AM7" s="20" t="str">
        <f t="shared" si="27"/>
        <v>ON</v>
      </c>
      <c r="AN7" s="20" t="str">
        <f t="shared" si="27"/>
        <v>ON</v>
      </c>
      <c r="AO7" s="20" t="str">
        <f t="shared" si="28"/>
        <v>ON</v>
      </c>
    </row>
    <row r="8" spans="1:41">
      <c r="A8" t="str">
        <f t="shared" ca="1" si="2"/>
        <v>Lagos</v>
      </c>
      <c r="B8" t="str">
        <f t="shared" ca="1" si="3"/>
        <v>D</v>
      </c>
      <c r="C8" t="str">
        <f t="shared" ca="1" si="4"/>
        <v>A1</v>
      </c>
      <c r="D8" t="s">
        <v>7</v>
      </c>
      <c r="E8">
        <f t="shared" ca="1" si="5"/>
        <v>25</v>
      </c>
      <c r="F8">
        <f t="shared" ca="1" si="6"/>
        <v>2</v>
      </c>
      <c r="G8" t="str">
        <v>D</v>
      </c>
      <c r="H8" t="str">
        <v>D</v>
      </c>
      <c r="I8" t="str">
        <f ca="1">IF($A8="","",IF(COUNTA($R$2:$W$2)=6,"WK "&amp;_xlfn.ISOWEEKNUM($R$2)))</f>
        <v>WK 19</v>
      </c>
      <c r="J8" t="str">
        <f ca="1">IF($A8="","",IF(COUNTA($AF$2:$AK$2)=6,"WK "&amp;_xlfn.ISOWEEKNUM($AF$2)))</f>
        <v>WK 21</v>
      </c>
      <c r="K8" s="20" t="str">
        <f t="shared" ca="1" si="7"/>
        <v>ON</v>
      </c>
      <c r="L8" s="20" t="str">
        <f t="shared" ca="1" si="7"/>
        <v>ON</v>
      </c>
      <c r="M8" s="1" t="str">
        <f t="shared" ca="1" si="8"/>
        <v>ON</v>
      </c>
      <c r="N8" s="1" t="str">
        <f t="shared" ca="1" si="9"/>
        <v>ON</v>
      </c>
      <c r="O8" s="1" t="str">
        <f t="shared" ca="1" si="10"/>
        <v>ON</v>
      </c>
      <c r="P8" s="1" t="str">
        <f t="shared" ca="1" si="11"/>
        <v>ON</v>
      </c>
      <c r="Q8" s="1"/>
      <c r="R8" s="20" t="str">
        <f t="shared" ca="1" si="12"/>
        <v>ON</v>
      </c>
      <c r="S8" s="20" t="str">
        <f t="shared" ca="1" si="12"/>
        <v>ON</v>
      </c>
      <c r="T8" s="1" t="str">
        <f t="shared" ca="1" si="13"/>
        <v>ON</v>
      </c>
      <c r="U8" s="1" t="str">
        <f t="shared" ca="1" si="14"/>
        <v>ON</v>
      </c>
      <c r="V8" s="1" t="str">
        <f t="shared" ca="1" si="15"/>
        <v>ON</v>
      </c>
      <c r="W8" s="1" t="str">
        <f t="shared" ca="1" si="16"/>
        <v>OFF</v>
      </c>
      <c r="X8" s="1"/>
      <c r="Y8" s="20" t="str">
        <f t="shared" ca="1" si="17"/>
        <v>ON</v>
      </c>
      <c r="Z8" s="20" t="str">
        <f t="shared" ca="1" si="17"/>
        <v>ON</v>
      </c>
      <c r="AA8" s="1" t="str">
        <f t="shared" ca="1" si="18"/>
        <v>ON</v>
      </c>
      <c r="AB8" s="1" t="str">
        <f t="shared" ca="1" si="19"/>
        <v>ON</v>
      </c>
      <c r="AC8" s="1" t="str">
        <f t="shared" ca="1" si="20"/>
        <v>ON</v>
      </c>
      <c r="AD8" s="1" t="str">
        <f t="shared" ca="1" si="21"/>
        <v>ON</v>
      </c>
      <c r="AE8" s="1"/>
      <c r="AF8" s="20" t="str">
        <f t="shared" ca="1" si="22"/>
        <v>ON</v>
      </c>
      <c r="AG8" s="20" t="str">
        <f t="shared" ca="1" si="22"/>
        <v>ON</v>
      </c>
      <c r="AH8" s="1" t="str">
        <f t="shared" ca="1" si="23"/>
        <v>ON</v>
      </c>
      <c r="AI8" s="1" t="str">
        <f t="shared" ca="1" si="24"/>
        <v>ON</v>
      </c>
      <c r="AJ8" s="1" t="str">
        <f t="shared" ca="1" si="25"/>
        <v>ON</v>
      </c>
      <c r="AK8" s="1" t="str">
        <f t="shared" ca="1" si="26"/>
        <v>OFF</v>
      </c>
      <c r="AL8" s="1"/>
      <c r="AM8" s="20" t="str">
        <f t="shared" si="27"/>
        <v>ON</v>
      </c>
      <c r="AN8" s="20" t="str">
        <f t="shared" si="27"/>
        <v>ON</v>
      </c>
      <c r="AO8" s="20" t="str">
        <f t="shared" si="28"/>
        <v>ON</v>
      </c>
    </row>
    <row r="9" spans="1:41">
      <c r="A9" t="str">
        <f t="shared" ca="1" si="2"/>
        <v>Lagos</v>
      </c>
      <c r="B9" t="str">
        <f t="shared" ca="1" si="3"/>
        <v>C</v>
      </c>
      <c r="C9" t="str">
        <f t="shared" ca="1" si="4"/>
        <v>A1</v>
      </c>
      <c r="D9" t="s">
        <v>7</v>
      </c>
      <c r="E9">
        <f t="shared" ca="1" si="5"/>
        <v>25</v>
      </c>
      <c r="F9">
        <f t="shared" ca="1" si="6"/>
        <v>2</v>
      </c>
      <c r="G9" t="str" cm="1">
        <f t="array" ref="G9:G12">IF($G$5:$G$8={"A";"B";"C";"D"},{"D";"C";"B";"A"},{"A";"B";"C";"D"})</f>
        <v>D</v>
      </c>
      <c r="H9" t="str" cm="1">
        <f t="array" ref="H9:H12">IF($H$5:$H$8={"A";"B";"C";"D"},{"D";"C";"B";"A"},{"A";"B";"C";"D"})</f>
        <v>D</v>
      </c>
      <c r="I9" t="str">
        <f ca="1">IF($A9="","",IF(COUNTA($K$2:$P$2)=6,"WK "&amp;_xlfn.ISOWEEKNUM($K$2)))</f>
        <v>WK 18</v>
      </c>
      <c r="J9" t="str">
        <f ca="1">IF($A9="","",IF(COUNTA($Y$2:$AD$2)=6,"WK "&amp;_xlfn.ISOWEEKNUM($Y$2)))</f>
        <v>WK 20</v>
      </c>
      <c r="K9" s="20" t="str">
        <f t="shared" ca="1" si="7"/>
        <v>ON</v>
      </c>
      <c r="L9" s="20" t="str">
        <f t="shared" ca="1" si="7"/>
        <v>ON</v>
      </c>
      <c r="M9" s="1" t="str">
        <f t="shared" ca="1" si="8"/>
        <v>ON</v>
      </c>
      <c r="N9" s="1" t="str">
        <f t="shared" ca="1" si="9"/>
        <v>ON</v>
      </c>
      <c r="O9" s="1" t="str">
        <f t="shared" ca="1" si="10"/>
        <v>ON</v>
      </c>
      <c r="P9" s="1" t="str">
        <f t="shared" ca="1" si="11"/>
        <v>OFF</v>
      </c>
      <c r="Q9" s="1"/>
      <c r="R9" s="20" t="str">
        <f t="shared" ca="1" si="12"/>
        <v>ON</v>
      </c>
      <c r="S9" s="20" t="str">
        <f t="shared" ca="1" si="12"/>
        <v>ON</v>
      </c>
      <c r="T9" s="1" t="str">
        <f t="shared" ca="1" si="13"/>
        <v>ON</v>
      </c>
      <c r="U9" s="1" t="str">
        <f t="shared" ca="1" si="14"/>
        <v>ON</v>
      </c>
      <c r="V9" s="1" t="str">
        <f t="shared" ca="1" si="15"/>
        <v>ON</v>
      </c>
      <c r="W9" s="1" t="str">
        <f t="shared" ca="1" si="16"/>
        <v>ON</v>
      </c>
      <c r="X9" s="1"/>
      <c r="Y9" s="20" t="str">
        <f t="shared" ca="1" si="17"/>
        <v>ON</v>
      </c>
      <c r="Z9" s="20" t="str">
        <f t="shared" ca="1" si="17"/>
        <v>ON</v>
      </c>
      <c r="AA9" s="1" t="str">
        <f t="shared" ca="1" si="18"/>
        <v>ON</v>
      </c>
      <c r="AB9" s="1" t="str">
        <f t="shared" ca="1" si="19"/>
        <v>ON</v>
      </c>
      <c r="AC9" s="1" t="str">
        <f t="shared" ca="1" si="20"/>
        <v>ON</v>
      </c>
      <c r="AD9" s="1" t="str">
        <f t="shared" ca="1" si="21"/>
        <v>OFF</v>
      </c>
      <c r="AE9" s="1"/>
      <c r="AF9" s="20" t="str">
        <f t="shared" ca="1" si="22"/>
        <v>ON</v>
      </c>
      <c r="AG9" s="20" t="str">
        <f t="shared" ca="1" si="22"/>
        <v>ON</v>
      </c>
      <c r="AH9" s="1" t="str">
        <f t="shared" ca="1" si="23"/>
        <v>ON</v>
      </c>
      <c r="AI9" s="1" t="str">
        <f t="shared" ca="1" si="24"/>
        <v>ON</v>
      </c>
      <c r="AJ9" s="1" t="str">
        <f t="shared" ca="1" si="25"/>
        <v>ON</v>
      </c>
      <c r="AK9" s="1" t="str">
        <f t="shared" ca="1" si="26"/>
        <v>ON</v>
      </c>
      <c r="AL9" s="1"/>
      <c r="AM9" s="20" t="str">
        <f t="shared" si="27"/>
        <v>ON</v>
      </c>
      <c r="AN9" s="20" t="str">
        <f t="shared" si="27"/>
        <v>ON</v>
      </c>
      <c r="AO9" s="20" t="str">
        <f t="shared" si="28"/>
        <v>ON</v>
      </c>
    </row>
    <row r="10" spans="1:41">
      <c r="A10" t="str">
        <f t="shared" ca="1" si="2"/>
        <v>Ogun</v>
      </c>
      <c r="B10" t="str">
        <f t="shared" ca="1" si="3"/>
        <v>B</v>
      </c>
      <c r="C10" t="str">
        <f t="shared" ca="1" si="4"/>
        <v>C1</v>
      </c>
      <c r="D10" t="s">
        <v>4</v>
      </c>
      <c r="E10">
        <f t="shared" ca="1" si="5"/>
        <v>25</v>
      </c>
      <c r="F10">
        <f t="shared" ca="1" si="6"/>
        <v>2</v>
      </c>
      <c r="G10" t="str">
        <v>C</v>
      </c>
      <c r="H10" t="str">
        <v>C</v>
      </c>
      <c r="I10" t="str">
        <f ca="1">IF($A10="","",IF(COUNTA($R$2:$W$2)=6,"WK "&amp;_xlfn.ISOWEEKNUM($R$2)))</f>
        <v>WK 19</v>
      </c>
      <c r="J10" t="str">
        <f ca="1">IF($A10="","",IF(COUNTA($AF$2:$AK$2)=6,"WK "&amp;_xlfn.ISOWEEKNUM($AF$2)))</f>
        <v>WK 21</v>
      </c>
      <c r="K10" s="20" t="str">
        <f t="shared" ca="1" si="7"/>
        <v>ON</v>
      </c>
      <c r="L10" s="20" t="str">
        <f t="shared" ca="1" si="7"/>
        <v>ON</v>
      </c>
      <c r="M10" s="1" t="str">
        <f t="shared" ca="1" si="8"/>
        <v>ON</v>
      </c>
      <c r="N10" s="1" t="str">
        <f t="shared" ca="1" si="9"/>
        <v>ON</v>
      </c>
      <c r="O10" s="1" t="str">
        <f t="shared" ca="1" si="10"/>
        <v>ON</v>
      </c>
      <c r="P10" s="1" t="str">
        <f t="shared" ca="1" si="11"/>
        <v>ON</v>
      </c>
      <c r="Q10" s="1"/>
      <c r="R10" s="20" t="str">
        <f t="shared" ca="1" si="12"/>
        <v>ON</v>
      </c>
      <c r="S10" s="20" t="str">
        <f t="shared" ca="1" si="12"/>
        <v>ON</v>
      </c>
      <c r="T10" s="1" t="str">
        <f t="shared" ca="1" si="13"/>
        <v>ON</v>
      </c>
      <c r="U10" s="1" t="str">
        <f t="shared" ca="1" si="14"/>
        <v>ON</v>
      </c>
      <c r="V10" s="1" t="str">
        <f t="shared" ca="1" si="15"/>
        <v>OFF</v>
      </c>
      <c r="W10" s="1" t="str">
        <f t="shared" ca="1" si="16"/>
        <v>ON</v>
      </c>
      <c r="X10" s="1"/>
      <c r="Y10" s="20" t="str">
        <f t="shared" ca="1" si="17"/>
        <v>ON</v>
      </c>
      <c r="Z10" s="20" t="str">
        <f t="shared" ca="1" si="17"/>
        <v>ON</v>
      </c>
      <c r="AA10" s="1" t="str">
        <f t="shared" ca="1" si="18"/>
        <v>ON</v>
      </c>
      <c r="AB10" s="1" t="str">
        <f t="shared" ca="1" si="19"/>
        <v>ON</v>
      </c>
      <c r="AC10" s="1" t="str">
        <f t="shared" ca="1" si="20"/>
        <v>ON</v>
      </c>
      <c r="AD10" s="1" t="str">
        <f t="shared" ca="1" si="21"/>
        <v>ON</v>
      </c>
      <c r="AE10" s="1"/>
      <c r="AF10" s="20" t="str">
        <f t="shared" ca="1" si="22"/>
        <v>ON</v>
      </c>
      <c r="AG10" s="20" t="str">
        <f t="shared" ca="1" si="22"/>
        <v>ON</v>
      </c>
      <c r="AH10" s="1" t="str">
        <f t="shared" ca="1" si="23"/>
        <v>ON</v>
      </c>
      <c r="AI10" s="1" t="str">
        <f t="shared" ca="1" si="24"/>
        <v>ON</v>
      </c>
      <c r="AJ10" s="1" t="str">
        <f t="shared" ca="1" si="25"/>
        <v>OFF</v>
      </c>
      <c r="AK10" s="1" t="str">
        <f t="shared" ca="1" si="26"/>
        <v>ON</v>
      </c>
      <c r="AL10" s="1"/>
      <c r="AM10" s="20" t="str">
        <f t="shared" si="27"/>
        <v>ON</v>
      </c>
      <c r="AN10" s="20" t="str">
        <f t="shared" si="27"/>
        <v>ON</v>
      </c>
      <c r="AO10" s="20" t="str">
        <f t="shared" si="28"/>
        <v>ON</v>
      </c>
    </row>
    <row r="11" spans="1:41">
      <c r="A11" t="str">
        <f t="shared" ca="1" si="2"/>
        <v>Ondo</v>
      </c>
      <c r="B11" t="str">
        <f t="shared" ca="1" si="3"/>
        <v>E</v>
      </c>
      <c r="C11" t="str">
        <f t="shared" ca="1" si="4"/>
        <v>B1</v>
      </c>
      <c r="D11" t="s">
        <v>4</v>
      </c>
      <c r="E11">
        <f t="shared" ca="1" si="5"/>
        <v>25</v>
      </c>
      <c r="F11">
        <f t="shared" ca="1" si="6"/>
        <v>2</v>
      </c>
      <c r="G11" t="str">
        <v>B</v>
      </c>
      <c r="H11" t="str">
        <v>B</v>
      </c>
      <c r="I11" t="str">
        <f ca="1">IF($A11="","",IF(COUNTA($K$2:$P$2)=6,"WK "&amp;_xlfn.ISOWEEKNUM($K$2)))</f>
        <v>WK 18</v>
      </c>
      <c r="J11" t="str">
        <f ca="1">IF($A11="","",IF(COUNTA($Y$2:$AD$2)=6,"WK "&amp;_xlfn.ISOWEEKNUM($Y$2)))</f>
        <v>WK 20</v>
      </c>
      <c r="K11" s="20" t="str">
        <f t="shared" ca="1" si="7"/>
        <v>ON</v>
      </c>
      <c r="L11" s="20" t="str">
        <f t="shared" ca="1" si="7"/>
        <v>ON</v>
      </c>
      <c r="M11" s="1" t="str">
        <f t="shared" ca="1" si="8"/>
        <v>ON</v>
      </c>
      <c r="N11" s="1" t="str">
        <f t="shared" ca="1" si="9"/>
        <v>OFF</v>
      </c>
      <c r="O11" s="1" t="str">
        <f t="shared" ca="1" si="10"/>
        <v>ON</v>
      </c>
      <c r="P11" s="1" t="str">
        <f t="shared" ca="1" si="11"/>
        <v>ON</v>
      </c>
      <c r="Q11" s="1"/>
      <c r="R11" s="20" t="str">
        <f t="shared" ca="1" si="12"/>
        <v>ON</v>
      </c>
      <c r="S11" s="20" t="str">
        <f t="shared" ca="1" si="12"/>
        <v>ON</v>
      </c>
      <c r="T11" s="1" t="str">
        <f t="shared" ca="1" si="13"/>
        <v>ON</v>
      </c>
      <c r="U11" s="1" t="str">
        <f t="shared" ca="1" si="14"/>
        <v>ON</v>
      </c>
      <c r="V11" s="1" t="str">
        <f t="shared" ca="1" si="15"/>
        <v>ON</v>
      </c>
      <c r="W11" s="1" t="str">
        <f t="shared" ca="1" si="16"/>
        <v>ON</v>
      </c>
      <c r="X11" s="1"/>
      <c r="Y11" s="20" t="str">
        <f t="shared" ca="1" si="17"/>
        <v>ON</v>
      </c>
      <c r="Z11" s="20" t="str">
        <f t="shared" ca="1" si="17"/>
        <v>ON</v>
      </c>
      <c r="AA11" s="1" t="str">
        <f t="shared" ca="1" si="18"/>
        <v>ON</v>
      </c>
      <c r="AB11" s="1" t="str">
        <f t="shared" ca="1" si="19"/>
        <v>OFF</v>
      </c>
      <c r="AC11" s="1" t="str">
        <f t="shared" ca="1" si="20"/>
        <v>ON</v>
      </c>
      <c r="AD11" s="1" t="str">
        <f t="shared" ca="1" si="21"/>
        <v>ON</v>
      </c>
      <c r="AE11" s="1"/>
      <c r="AF11" s="20" t="str">
        <f t="shared" ca="1" si="22"/>
        <v>ON</v>
      </c>
      <c r="AG11" s="20" t="str">
        <f t="shared" ca="1" si="22"/>
        <v>ON</v>
      </c>
      <c r="AH11" s="1" t="str">
        <f t="shared" ca="1" si="23"/>
        <v>ON</v>
      </c>
      <c r="AI11" s="1" t="str">
        <f t="shared" ca="1" si="24"/>
        <v>ON</v>
      </c>
      <c r="AJ11" s="1" t="str">
        <f t="shared" ca="1" si="25"/>
        <v>ON</v>
      </c>
      <c r="AK11" s="1" t="str">
        <f t="shared" ca="1" si="26"/>
        <v>ON</v>
      </c>
      <c r="AL11" s="1"/>
      <c r="AM11" s="20" t="str">
        <f t="shared" si="27"/>
        <v>ON</v>
      </c>
      <c r="AN11" s="20" t="str">
        <f t="shared" si="27"/>
        <v>ON</v>
      </c>
      <c r="AO11" s="20" t="str">
        <f t="shared" si="28"/>
        <v>ON</v>
      </c>
    </row>
    <row r="12" spans="1:41">
      <c r="A12" t="str">
        <f t="shared" ca="1" si="2"/>
        <v>Lagos</v>
      </c>
      <c r="B12" t="str">
        <f t="shared" ca="1" si="3"/>
        <v>D</v>
      </c>
      <c r="C12" t="str">
        <f t="shared" ca="1" si="4"/>
        <v>C1</v>
      </c>
      <c r="D12" t="s">
        <v>9</v>
      </c>
      <c r="E12">
        <f t="shared" ca="1" si="5"/>
        <v>25</v>
      </c>
      <c r="F12">
        <f t="shared" ca="1" si="6"/>
        <v>2</v>
      </c>
      <c r="G12" t="str">
        <v>A</v>
      </c>
      <c r="H12" t="str">
        <v>A</v>
      </c>
      <c r="I12" t="str">
        <f ca="1">IF($A12="","",IF(COUNTA($R$2:$W$2)=6,"WK "&amp;_xlfn.ISOWEEKNUM($R$2)))</f>
        <v>WK 19</v>
      </c>
      <c r="J12" t="str">
        <f ca="1">IF($A12="","",IF(COUNTA($AF$2:$AK$2)=6,"WK "&amp;_xlfn.ISOWEEKNUM($AF$2)))</f>
        <v>WK 21</v>
      </c>
      <c r="K12" s="20" t="str">
        <f t="shared" ca="1" si="7"/>
        <v>ON</v>
      </c>
      <c r="L12" s="20" t="str">
        <f t="shared" ca="1" si="7"/>
        <v>ON</v>
      </c>
      <c r="M12" s="1" t="str">
        <f t="shared" ca="1" si="8"/>
        <v>ON</v>
      </c>
      <c r="N12" s="1" t="str">
        <f t="shared" ca="1" si="9"/>
        <v>ON</v>
      </c>
      <c r="O12" s="1" t="str">
        <f t="shared" ca="1" si="10"/>
        <v>ON</v>
      </c>
      <c r="P12" s="1" t="str">
        <f t="shared" ca="1" si="11"/>
        <v>ON</v>
      </c>
      <c r="Q12" s="1"/>
      <c r="R12" s="20" t="str">
        <f t="shared" ca="1" si="12"/>
        <v>ON</v>
      </c>
      <c r="S12" s="20" t="str">
        <f t="shared" ca="1" si="12"/>
        <v>ON</v>
      </c>
      <c r="T12" s="1" t="str">
        <f t="shared" ca="1" si="13"/>
        <v>OFF</v>
      </c>
      <c r="U12" s="1" t="str">
        <f t="shared" ca="1" si="14"/>
        <v>ON</v>
      </c>
      <c r="V12" s="1" t="str">
        <f t="shared" ca="1" si="15"/>
        <v>ON</v>
      </c>
      <c r="W12" s="1" t="str">
        <f t="shared" ca="1" si="16"/>
        <v>ON</v>
      </c>
      <c r="X12" s="1"/>
      <c r="Y12" s="20" t="str">
        <f t="shared" ca="1" si="17"/>
        <v>ON</v>
      </c>
      <c r="Z12" s="20" t="str">
        <f t="shared" ca="1" si="17"/>
        <v>ON</v>
      </c>
      <c r="AA12" s="1" t="str">
        <f t="shared" ca="1" si="18"/>
        <v>ON</v>
      </c>
      <c r="AB12" s="1" t="str">
        <f t="shared" ca="1" si="19"/>
        <v>ON</v>
      </c>
      <c r="AC12" s="1" t="str">
        <f t="shared" ca="1" si="20"/>
        <v>ON</v>
      </c>
      <c r="AD12" s="1" t="str">
        <f t="shared" ca="1" si="21"/>
        <v>ON</v>
      </c>
      <c r="AE12" s="1"/>
      <c r="AF12" s="20" t="str">
        <f t="shared" ca="1" si="22"/>
        <v>ON</v>
      </c>
      <c r="AG12" s="20" t="str">
        <f t="shared" ca="1" si="22"/>
        <v>ON</v>
      </c>
      <c r="AH12" s="1" t="str">
        <f t="shared" ca="1" si="23"/>
        <v>OFF</v>
      </c>
      <c r="AI12" s="1" t="str">
        <f t="shared" ca="1" si="24"/>
        <v>ON</v>
      </c>
      <c r="AJ12" s="1" t="str">
        <f t="shared" ca="1" si="25"/>
        <v>ON</v>
      </c>
      <c r="AK12" s="1" t="str">
        <f t="shared" ca="1" si="26"/>
        <v>ON</v>
      </c>
      <c r="AL12" s="1"/>
      <c r="AM12" s="20" t="str">
        <f t="shared" si="27"/>
        <v>ON</v>
      </c>
      <c r="AN12" s="20" t="str">
        <f t="shared" si="27"/>
        <v>ON</v>
      </c>
      <c r="AO12" s="20" t="str">
        <f t="shared" si="28"/>
        <v>ON</v>
      </c>
    </row>
    <row r="13" spans="1:41">
      <c r="A13" t="str">
        <f t="shared" ca="1" si="2"/>
        <v>Oyo</v>
      </c>
      <c r="B13" t="str">
        <f t="shared" ca="1" si="3"/>
        <v>C</v>
      </c>
      <c r="C13" t="str">
        <f t="shared" ca="1" si="4"/>
        <v>A1</v>
      </c>
      <c r="D13" t="s">
        <v>5</v>
      </c>
      <c r="E13">
        <f t="shared" ca="1" si="5"/>
        <v>25</v>
      </c>
      <c r="F13">
        <f t="shared" ca="1" si="6"/>
        <v>2</v>
      </c>
      <c r="G13" t="str" cm="1">
        <f t="array" ref="G13:G16">Groups!$B$2:$B$5</f>
        <v>A</v>
      </c>
      <c r="H13" t="str" cm="1">
        <f t="array" ref="H13:H16">Groups!$B$2:$B$5</f>
        <v>A</v>
      </c>
      <c r="I13" t="str">
        <f ca="1">IF($A13="","",IF(COUNTA($K$2:$P$2)=6,"WK "&amp;_xlfn.ISOWEEKNUM($K$2)))</f>
        <v>WK 18</v>
      </c>
      <c r="J13" t="str">
        <f ca="1">IF($A13="","",IF(COUNTA($Y$2:$AD$2)=6,"WK "&amp;_xlfn.ISOWEEKNUM($Y$2)))</f>
        <v>WK 20</v>
      </c>
      <c r="K13" s="20" t="str">
        <f t="shared" ca="1" si="7"/>
        <v>ON</v>
      </c>
      <c r="L13" s="20" t="str">
        <f t="shared" ca="1" si="7"/>
        <v>ON</v>
      </c>
      <c r="M13" s="1" t="str">
        <f t="shared" ca="1" si="8"/>
        <v>OFF</v>
      </c>
      <c r="N13" s="1" t="str">
        <f t="shared" ca="1" si="9"/>
        <v>ON</v>
      </c>
      <c r="O13" s="1" t="str">
        <f t="shared" ca="1" si="10"/>
        <v>ON</v>
      </c>
      <c r="P13" s="1" t="str">
        <f t="shared" ca="1" si="11"/>
        <v>ON</v>
      </c>
      <c r="Q13" s="1"/>
      <c r="R13" s="20" t="str">
        <f t="shared" ca="1" si="12"/>
        <v>ON</v>
      </c>
      <c r="S13" s="20" t="str">
        <f t="shared" ca="1" si="12"/>
        <v>ON</v>
      </c>
      <c r="T13" s="1" t="str">
        <f t="shared" ca="1" si="13"/>
        <v>ON</v>
      </c>
      <c r="U13" s="1" t="str">
        <f t="shared" ca="1" si="14"/>
        <v>ON</v>
      </c>
      <c r="V13" s="1" t="str">
        <f t="shared" ca="1" si="15"/>
        <v>ON</v>
      </c>
      <c r="W13" s="1" t="str">
        <f t="shared" ca="1" si="16"/>
        <v>ON</v>
      </c>
      <c r="X13" s="1"/>
      <c r="Y13" s="20" t="str">
        <f t="shared" ca="1" si="17"/>
        <v>ON</v>
      </c>
      <c r="Z13" s="20" t="str">
        <f t="shared" ca="1" si="17"/>
        <v>ON</v>
      </c>
      <c r="AA13" s="1" t="str">
        <f t="shared" ca="1" si="18"/>
        <v>OFF</v>
      </c>
      <c r="AB13" s="1" t="str">
        <f t="shared" ca="1" si="19"/>
        <v>ON</v>
      </c>
      <c r="AC13" s="1" t="str">
        <f t="shared" ca="1" si="20"/>
        <v>ON</v>
      </c>
      <c r="AD13" s="1" t="str">
        <f t="shared" ca="1" si="21"/>
        <v>ON</v>
      </c>
      <c r="AE13" s="1"/>
      <c r="AF13" s="20" t="str">
        <f t="shared" ca="1" si="22"/>
        <v>ON</v>
      </c>
      <c r="AG13" s="20" t="str">
        <f t="shared" ca="1" si="22"/>
        <v>ON</v>
      </c>
      <c r="AH13" s="1" t="str">
        <f t="shared" ca="1" si="23"/>
        <v>ON</v>
      </c>
      <c r="AI13" s="1" t="str">
        <f t="shared" ca="1" si="24"/>
        <v>ON</v>
      </c>
      <c r="AJ13" s="1" t="str">
        <f t="shared" ca="1" si="25"/>
        <v>ON</v>
      </c>
      <c r="AK13" s="1" t="str">
        <f t="shared" ca="1" si="26"/>
        <v>ON</v>
      </c>
      <c r="AL13" s="1"/>
      <c r="AM13" s="20" t="str">
        <f t="shared" si="27"/>
        <v>ON</v>
      </c>
      <c r="AN13" s="20" t="str">
        <f t="shared" si="27"/>
        <v>ON</v>
      </c>
      <c r="AO13" s="20" t="str">
        <f t="shared" si="28"/>
        <v>ON</v>
      </c>
    </row>
    <row r="14" spans="1:41">
      <c r="A14" t="str">
        <f t="shared" ca="1" si="2"/>
        <v>Lagos</v>
      </c>
      <c r="B14" t="str">
        <f t="shared" ca="1" si="3"/>
        <v>B</v>
      </c>
      <c r="C14" t="str">
        <f t="shared" ca="1" si="4"/>
        <v>D1</v>
      </c>
      <c r="D14" t="s">
        <v>5</v>
      </c>
      <c r="E14">
        <f t="shared" ca="1" si="5"/>
        <v>25</v>
      </c>
      <c r="F14">
        <f t="shared" ca="1" si="6"/>
        <v>2</v>
      </c>
      <c r="G14" t="str">
        <v>B</v>
      </c>
      <c r="H14" t="str">
        <v>B</v>
      </c>
      <c r="I14" t="str">
        <f ca="1">IF($A14="","",IF(COUNTA($R$2:$W$2)=6,"WK "&amp;_xlfn.ISOWEEKNUM($R$2)))</f>
        <v>WK 19</v>
      </c>
      <c r="J14" t="str">
        <f ca="1">IF($A14="","",IF(COUNTA($AF$2:$AK$2)=6,"WK "&amp;_xlfn.ISOWEEKNUM($AF$2)))</f>
        <v>WK 21</v>
      </c>
      <c r="K14" s="20" t="str">
        <f t="shared" ca="1" si="7"/>
        <v>ON</v>
      </c>
      <c r="L14" s="20" t="str">
        <f t="shared" ca="1" si="7"/>
        <v>ON</v>
      </c>
      <c r="M14" s="1" t="str">
        <f t="shared" ca="1" si="8"/>
        <v>ON</v>
      </c>
      <c r="N14" s="1" t="str">
        <f t="shared" ca="1" si="9"/>
        <v>ON</v>
      </c>
      <c r="O14" s="1" t="str">
        <f t="shared" ca="1" si="10"/>
        <v>ON</v>
      </c>
      <c r="P14" s="1" t="str">
        <f t="shared" ca="1" si="11"/>
        <v>ON</v>
      </c>
      <c r="Q14" s="1"/>
      <c r="R14" s="20" t="str">
        <f t="shared" ca="1" si="12"/>
        <v>ON</v>
      </c>
      <c r="S14" s="20" t="str">
        <f t="shared" ca="1" si="12"/>
        <v>ON</v>
      </c>
      <c r="T14" s="1" t="str">
        <f t="shared" ca="1" si="13"/>
        <v>ON</v>
      </c>
      <c r="U14" s="1" t="str">
        <f t="shared" ca="1" si="14"/>
        <v>OFF</v>
      </c>
      <c r="V14" s="1" t="str">
        <f t="shared" ca="1" si="15"/>
        <v>ON</v>
      </c>
      <c r="W14" s="1" t="str">
        <f t="shared" ca="1" si="16"/>
        <v>ON</v>
      </c>
      <c r="X14" s="1"/>
      <c r="Y14" s="20" t="str">
        <f t="shared" ca="1" si="17"/>
        <v>ON</v>
      </c>
      <c r="Z14" s="20" t="str">
        <f t="shared" ca="1" si="17"/>
        <v>ON</v>
      </c>
      <c r="AA14" s="1" t="str">
        <f t="shared" ca="1" si="18"/>
        <v>ON</v>
      </c>
      <c r="AB14" s="1" t="str">
        <f t="shared" ca="1" si="19"/>
        <v>ON</v>
      </c>
      <c r="AC14" s="1" t="str">
        <f t="shared" ca="1" si="20"/>
        <v>ON</v>
      </c>
      <c r="AD14" s="1" t="str">
        <f t="shared" ca="1" si="21"/>
        <v>ON</v>
      </c>
      <c r="AE14" s="1"/>
      <c r="AF14" s="20" t="str">
        <f t="shared" ca="1" si="22"/>
        <v>ON</v>
      </c>
      <c r="AG14" s="20" t="str">
        <f t="shared" ca="1" si="22"/>
        <v>ON</v>
      </c>
      <c r="AH14" s="1" t="str">
        <f t="shared" ca="1" si="23"/>
        <v>ON</v>
      </c>
      <c r="AI14" s="1" t="str">
        <f t="shared" ca="1" si="24"/>
        <v>OFF</v>
      </c>
      <c r="AJ14" s="1" t="str">
        <f t="shared" ca="1" si="25"/>
        <v>ON</v>
      </c>
      <c r="AK14" s="1" t="str">
        <f t="shared" ca="1" si="26"/>
        <v>ON</v>
      </c>
      <c r="AL14" s="1"/>
      <c r="AM14" s="20" t="str">
        <f t="shared" si="27"/>
        <v>ON</v>
      </c>
      <c r="AN14" s="20" t="str">
        <f t="shared" si="27"/>
        <v>ON</v>
      </c>
      <c r="AO14" s="20" t="str">
        <f t="shared" si="28"/>
        <v>ON</v>
      </c>
    </row>
    <row r="15" spans="1:41">
      <c r="A15" t="str">
        <f t="shared" ca="1" si="2"/>
        <v>Ogun</v>
      </c>
      <c r="B15" t="str">
        <f t="shared" ca="1" si="3"/>
        <v>B</v>
      </c>
      <c r="C15" t="str">
        <f t="shared" ca="1" si="4"/>
        <v>E1</v>
      </c>
      <c r="D15" t="s">
        <v>5</v>
      </c>
      <c r="E15">
        <f t="shared" ca="1" si="5"/>
        <v>25</v>
      </c>
      <c r="F15">
        <f t="shared" ca="1" si="6"/>
        <v>2</v>
      </c>
      <c r="G15" t="str">
        <v>C</v>
      </c>
      <c r="H15" t="str">
        <v>C</v>
      </c>
      <c r="I15" t="str">
        <f ca="1">IF($A15="","",IF(COUNTA($K$2:$P$2)=6,"WK "&amp;_xlfn.ISOWEEKNUM($K$2)))</f>
        <v>WK 18</v>
      </c>
      <c r="J15" t="str">
        <f ca="1">IF($A15="","",IF(COUNTA($Y$2:$AD$2)=6,"WK "&amp;_xlfn.ISOWEEKNUM($Y$2)))</f>
        <v>WK 20</v>
      </c>
      <c r="K15" s="20" t="str">
        <f t="shared" ca="1" si="7"/>
        <v>ON</v>
      </c>
      <c r="L15" s="20" t="str">
        <f t="shared" ca="1" si="7"/>
        <v>ON</v>
      </c>
      <c r="M15" s="1" t="str">
        <f t="shared" ca="1" si="8"/>
        <v>ON</v>
      </c>
      <c r="N15" s="1" t="str">
        <f t="shared" ca="1" si="9"/>
        <v>ON</v>
      </c>
      <c r="O15" s="1" t="str">
        <f t="shared" ca="1" si="10"/>
        <v>OFF</v>
      </c>
      <c r="P15" s="1" t="str">
        <f t="shared" ca="1" si="11"/>
        <v>ON</v>
      </c>
      <c r="Q15" s="1"/>
      <c r="R15" s="20" t="str">
        <f t="shared" ca="1" si="12"/>
        <v>ON</v>
      </c>
      <c r="S15" s="20" t="str">
        <f t="shared" ca="1" si="12"/>
        <v>ON</v>
      </c>
      <c r="T15" s="1" t="str">
        <f t="shared" ca="1" si="13"/>
        <v>ON</v>
      </c>
      <c r="U15" s="1" t="str">
        <f t="shared" ca="1" si="14"/>
        <v>ON</v>
      </c>
      <c r="V15" s="1" t="str">
        <f t="shared" ca="1" si="15"/>
        <v>ON</v>
      </c>
      <c r="W15" s="1" t="str">
        <f t="shared" ca="1" si="16"/>
        <v>ON</v>
      </c>
      <c r="X15" s="1"/>
      <c r="Y15" s="20" t="str">
        <f t="shared" ca="1" si="17"/>
        <v>ON</v>
      </c>
      <c r="Z15" s="20" t="str">
        <f t="shared" ca="1" si="17"/>
        <v>ON</v>
      </c>
      <c r="AA15" s="1" t="str">
        <f t="shared" ca="1" si="18"/>
        <v>ON</v>
      </c>
      <c r="AB15" s="1" t="str">
        <f t="shared" ca="1" si="19"/>
        <v>ON</v>
      </c>
      <c r="AC15" s="1" t="str">
        <f t="shared" ca="1" si="20"/>
        <v>OFF</v>
      </c>
      <c r="AD15" s="1" t="str">
        <f t="shared" ca="1" si="21"/>
        <v>ON</v>
      </c>
      <c r="AE15" s="1"/>
      <c r="AF15" s="20" t="str">
        <f t="shared" ca="1" si="22"/>
        <v>ON</v>
      </c>
      <c r="AG15" s="20" t="str">
        <f t="shared" ca="1" si="22"/>
        <v>ON</v>
      </c>
      <c r="AH15" s="1" t="str">
        <f t="shared" ca="1" si="23"/>
        <v>ON</v>
      </c>
      <c r="AI15" s="1" t="str">
        <f t="shared" ca="1" si="24"/>
        <v>ON</v>
      </c>
      <c r="AJ15" s="1" t="str">
        <f t="shared" ca="1" si="25"/>
        <v>ON</v>
      </c>
      <c r="AK15" s="1" t="str">
        <f t="shared" ca="1" si="26"/>
        <v>ON</v>
      </c>
      <c r="AL15" s="1"/>
      <c r="AM15" s="20" t="str">
        <f t="shared" si="27"/>
        <v>ON</v>
      </c>
      <c r="AN15" s="20" t="str">
        <f t="shared" si="27"/>
        <v>ON</v>
      </c>
      <c r="AO15" s="20" t="str">
        <f t="shared" si="28"/>
        <v>ON</v>
      </c>
    </row>
    <row r="16" spans="1:41">
      <c r="A16" t="str">
        <f t="shared" ca="1" si="2"/>
        <v>Ondo</v>
      </c>
      <c r="B16" t="str">
        <f t="shared" ca="1" si="3"/>
        <v>B</v>
      </c>
      <c r="C16" t="str">
        <f t="shared" ca="1" si="4"/>
        <v>C1</v>
      </c>
      <c r="D16" t="s">
        <v>8</v>
      </c>
      <c r="E16">
        <f t="shared" ca="1" si="5"/>
        <v>25</v>
      </c>
      <c r="F16">
        <f t="shared" ca="1" si="6"/>
        <v>2</v>
      </c>
      <c r="G16" t="str">
        <v>D</v>
      </c>
      <c r="H16" t="str">
        <v>D</v>
      </c>
      <c r="I16" t="str">
        <f ca="1">IF($A16="","",IF(COUNTA($R$2:$W$2)=6,"WK "&amp;_xlfn.ISOWEEKNUM($R$2)))</f>
        <v>WK 19</v>
      </c>
      <c r="J16" t="str">
        <f ca="1">IF($A16="","",IF(COUNTA($AF$2:$AK$2)=6,"WK "&amp;_xlfn.ISOWEEKNUM($AF$2)))</f>
        <v>WK 21</v>
      </c>
      <c r="K16" s="20" t="str">
        <f t="shared" ca="1" si="7"/>
        <v>ON</v>
      </c>
      <c r="L16" s="20" t="str">
        <f t="shared" ca="1" si="7"/>
        <v>ON</v>
      </c>
      <c r="M16" s="1" t="str">
        <f t="shared" ca="1" si="8"/>
        <v>ON</v>
      </c>
      <c r="N16" s="1" t="str">
        <f t="shared" ca="1" si="9"/>
        <v>ON</v>
      </c>
      <c r="O16" s="1" t="str">
        <f t="shared" ca="1" si="10"/>
        <v>ON</v>
      </c>
      <c r="P16" s="1" t="str">
        <f t="shared" ca="1" si="11"/>
        <v>ON</v>
      </c>
      <c r="Q16" s="1"/>
      <c r="R16" s="20" t="str">
        <f t="shared" ca="1" si="12"/>
        <v>ON</v>
      </c>
      <c r="S16" s="20" t="str">
        <f t="shared" ca="1" si="12"/>
        <v>ON</v>
      </c>
      <c r="T16" s="1" t="str">
        <f t="shared" ca="1" si="13"/>
        <v>ON</v>
      </c>
      <c r="U16" s="1" t="str">
        <f t="shared" ca="1" si="14"/>
        <v>ON</v>
      </c>
      <c r="V16" s="1" t="str">
        <f t="shared" ca="1" si="15"/>
        <v>ON</v>
      </c>
      <c r="W16" s="1" t="str">
        <f t="shared" ca="1" si="16"/>
        <v>OFF</v>
      </c>
      <c r="X16" s="1"/>
      <c r="Y16" s="20" t="str">
        <f t="shared" ca="1" si="17"/>
        <v>ON</v>
      </c>
      <c r="Z16" s="20" t="str">
        <f t="shared" ca="1" si="17"/>
        <v>ON</v>
      </c>
      <c r="AA16" s="1" t="str">
        <f t="shared" ca="1" si="18"/>
        <v>ON</v>
      </c>
      <c r="AB16" s="1" t="str">
        <f t="shared" ca="1" si="19"/>
        <v>ON</v>
      </c>
      <c r="AC16" s="1" t="str">
        <f t="shared" ca="1" si="20"/>
        <v>ON</v>
      </c>
      <c r="AD16" s="1" t="str">
        <f t="shared" ca="1" si="21"/>
        <v>ON</v>
      </c>
      <c r="AE16" s="1"/>
      <c r="AF16" s="20" t="str">
        <f t="shared" ca="1" si="22"/>
        <v>ON</v>
      </c>
      <c r="AG16" s="20" t="str">
        <f t="shared" ca="1" si="22"/>
        <v>ON</v>
      </c>
      <c r="AH16" s="1" t="str">
        <f t="shared" ca="1" si="23"/>
        <v>ON</v>
      </c>
      <c r="AI16" s="1" t="str">
        <f t="shared" ca="1" si="24"/>
        <v>ON</v>
      </c>
      <c r="AJ16" s="1" t="str">
        <f t="shared" ca="1" si="25"/>
        <v>ON</v>
      </c>
      <c r="AK16" s="1" t="str">
        <f t="shared" ca="1" si="26"/>
        <v>OFF</v>
      </c>
      <c r="AL16" s="1"/>
      <c r="AM16" s="20" t="str">
        <f t="shared" si="27"/>
        <v>ON</v>
      </c>
      <c r="AN16" s="20" t="str">
        <f t="shared" si="27"/>
        <v>ON</v>
      </c>
      <c r="AO16" s="20" t="str">
        <f t="shared" si="28"/>
        <v>ON</v>
      </c>
    </row>
    <row r="17" spans="1:41">
      <c r="A17" t="str">
        <f t="shared" ca="1" si="2"/>
        <v>Ekiti</v>
      </c>
      <c r="B17" t="str">
        <f t="shared" ca="1" si="3"/>
        <v>C</v>
      </c>
      <c r="C17" t="str">
        <f t="shared" ca="1" si="4"/>
        <v>A1</v>
      </c>
      <c r="D17" t="s">
        <v>8</v>
      </c>
      <c r="E17">
        <f t="shared" ca="1" si="5"/>
        <v>25</v>
      </c>
      <c r="F17">
        <f t="shared" ca="1" si="6"/>
        <v>2</v>
      </c>
      <c r="G17" t="str" cm="1">
        <f t="array" ref="G17:G20">IF($G$5:$G$8={"A";"B";"C";"D"},{"D";"C";"B";"A"},{"A";"B";"C";"D"})</f>
        <v>D</v>
      </c>
      <c r="H17" t="str" cm="1">
        <f t="array" ref="H17:H20">IF($H$5:$H$8={"A";"B";"C";"D"},{"D";"C";"B";"A"},{"A";"B";"C";"D"})</f>
        <v>D</v>
      </c>
      <c r="I17" t="str">
        <f ca="1">IF($A17="","",IF(COUNTA($K$2:$P$2)=6,"WK "&amp;_xlfn.ISOWEEKNUM($K$2)))</f>
        <v>WK 18</v>
      </c>
      <c r="J17" t="str">
        <f ca="1">IF($A17="","",IF(COUNTA($Y$2:$AD$2)=6,"WK "&amp;_xlfn.ISOWEEKNUM($Y$2)))</f>
        <v>WK 20</v>
      </c>
      <c r="K17" s="20" t="str">
        <f t="shared" ca="1" si="7"/>
        <v>ON</v>
      </c>
      <c r="L17" s="20" t="str">
        <f t="shared" ca="1" si="7"/>
        <v>ON</v>
      </c>
      <c r="M17" s="1" t="str">
        <f t="shared" ca="1" si="8"/>
        <v>ON</v>
      </c>
      <c r="N17" s="1" t="str">
        <f t="shared" ca="1" si="9"/>
        <v>ON</v>
      </c>
      <c r="O17" s="1" t="str">
        <f t="shared" ca="1" si="10"/>
        <v>ON</v>
      </c>
      <c r="P17" s="1" t="str">
        <f t="shared" ca="1" si="11"/>
        <v>OFF</v>
      </c>
      <c r="Q17" s="1"/>
      <c r="R17" s="20" t="str">
        <f t="shared" ca="1" si="12"/>
        <v>ON</v>
      </c>
      <c r="S17" s="20" t="str">
        <f t="shared" ca="1" si="12"/>
        <v>ON</v>
      </c>
      <c r="T17" s="1" t="str">
        <f t="shared" ca="1" si="13"/>
        <v>ON</v>
      </c>
      <c r="U17" s="1" t="str">
        <f t="shared" ca="1" si="14"/>
        <v>ON</v>
      </c>
      <c r="V17" s="1" t="str">
        <f t="shared" ca="1" si="15"/>
        <v>ON</v>
      </c>
      <c r="W17" s="1" t="str">
        <f t="shared" ca="1" si="16"/>
        <v>ON</v>
      </c>
      <c r="X17" s="1"/>
      <c r="Y17" s="20" t="str">
        <f t="shared" ca="1" si="17"/>
        <v>ON</v>
      </c>
      <c r="Z17" s="20" t="str">
        <f t="shared" ca="1" si="17"/>
        <v>ON</v>
      </c>
      <c r="AA17" s="1" t="str">
        <f t="shared" ca="1" si="18"/>
        <v>ON</v>
      </c>
      <c r="AB17" s="1" t="str">
        <f t="shared" ca="1" si="19"/>
        <v>ON</v>
      </c>
      <c r="AC17" s="1" t="str">
        <f t="shared" ca="1" si="20"/>
        <v>ON</v>
      </c>
      <c r="AD17" s="1" t="str">
        <f t="shared" ca="1" si="21"/>
        <v>OFF</v>
      </c>
      <c r="AE17" s="1"/>
      <c r="AF17" s="20" t="str">
        <f t="shared" ca="1" si="22"/>
        <v>ON</v>
      </c>
      <c r="AG17" s="20" t="str">
        <f t="shared" ca="1" si="22"/>
        <v>ON</v>
      </c>
      <c r="AH17" s="1" t="str">
        <f t="shared" ca="1" si="23"/>
        <v>ON</v>
      </c>
      <c r="AI17" s="1" t="str">
        <f t="shared" ca="1" si="24"/>
        <v>ON</v>
      </c>
      <c r="AJ17" s="1" t="str">
        <f t="shared" ca="1" si="25"/>
        <v>ON</v>
      </c>
      <c r="AK17" s="1" t="str">
        <f t="shared" ca="1" si="26"/>
        <v>ON</v>
      </c>
      <c r="AL17" s="1"/>
      <c r="AM17" s="20" t="str">
        <f t="shared" si="27"/>
        <v>ON</v>
      </c>
      <c r="AN17" s="20" t="str">
        <f t="shared" si="27"/>
        <v>ON</v>
      </c>
      <c r="AO17" s="20" t="str">
        <f t="shared" si="28"/>
        <v>ON</v>
      </c>
    </row>
    <row r="18" spans="1:41">
      <c r="A18" t="str">
        <f t="shared" ca="1" si="2"/>
        <v>Ogun</v>
      </c>
      <c r="B18" t="str">
        <f t="shared" ca="1" si="3"/>
        <v>D</v>
      </c>
      <c r="C18" t="str">
        <f t="shared" ca="1" si="4"/>
        <v>B1</v>
      </c>
      <c r="D18" t="s">
        <v>8</v>
      </c>
      <c r="E18">
        <f t="shared" ca="1" si="5"/>
        <v>25</v>
      </c>
      <c r="F18">
        <f t="shared" ca="1" si="6"/>
        <v>2</v>
      </c>
      <c r="G18" t="str">
        <v>C</v>
      </c>
      <c r="H18" t="str">
        <v>C</v>
      </c>
      <c r="I18" t="str">
        <f ca="1">IF($A18="","",IF(COUNTA($R$2:$W$2)=6,"WK "&amp;_xlfn.ISOWEEKNUM($R$2)))</f>
        <v>WK 19</v>
      </c>
      <c r="J18" t="str">
        <f ca="1">IF($A18="","",IF(COUNTA($AF$2:$AK$2)=6,"WK "&amp;_xlfn.ISOWEEKNUM($AF$2)))</f>
        <v>WK 21</v>
      </c>
      <c r="K18" s="20" t="str">
        <f t="shared" ca="1" si="7"/>
        <v>ON</v>
      </c>
      <c r="L18" s="20" t="str">
        <f t="shared" ca="1" si="7"/>
        <v>ON</v>
      </c>
      <c r="M18" s="1" t="str">
        <f t="shared" ca="1" si="8"/>
        <v>ON</v>
      </c>
      <c r="N18" s="1" t="str">
        <f t="shared" ca="1" si="9"/>
        <v>ON</v>
      </c>
      <c r="O18" s="1" t="str">
        <f t="shared" ca="1" si="10"/>
        <v>ON</v>
      </c>
      <c r="P18" s="1" t="str">
        <f t="shared" ca="1" si="11"/>
        <v>ON</v>
      </c>
      <c r="Q18" s="1"/>
      <c r="R18" s="20" t="str">
        <f t="shared" ca="1" si="12"/>
        <v>ON</v>
      </c>
      <c r="S18" s="20" t="str">
        <f t="shared" ca="1" si="12"/>
        <v>ON</v>
      </c>
      <c r="T18" s="1" t="str">
        <f t="shared" ca="1" si="13"/>
        <v>ON</v>
      </c>
      <c r="U18" s="1" t="str">
        <f t="shared" ca="1" si="14"/>
        <v>ON</v>
      </c>
      <c r="V18" s="1" t="str">
        <f t="shared" ca="1" si="15"/>
        <v>OFF</v>
      </c>
      <c r="W18" s="1" t="str">
        <f t="shared" ca="1" si="16"/>
        <v>ON</v>
      </c>
      <c r="X18" s="1"/>
      <c r="Y18" s="20" t="str">
        <f t="shared" ca="1" si="17"/>
        <v>ON</v>
      </c>
      <c r="Z18" s="20" t="str">
        <f t="shared" ca="1" si="17"/>
        <v>ON</v>
      </c>
      <c r="AA18" s="1" t="str">
        <f t="shared" ca="1" si="18"/>
        <v>ON</v>
      </c>
      <c r="AB18" s="1" t="str">
        <f t="shared" ca="1" si="19"/>
        <v>ON</v>
      </c>
      <c r="AC18" s="1" t="str">
        <f t="shared" ca="1" si="20"/>
        <v>ON</v>
      </c>
      <c r="AD18" s="1" t="str">
        <f t="shared" ca="1" si="21"/>
        <v>ON</v>
      </c>
      <c r="AE18" s="1"/>
      <c r="AF18" s="20" t="str">
        <f t="shared" ca="1" si="22"/>
        <v>ON</v>
      </c>
      <c r="AG18" s="20" t="str">
        <f t="shared" ca="1" si="22"/>
        <v>ON</v>
      </c>
      <c r="AH18" s="1" t="str">
        <f t="shared" ca="1" si="23"/>
        <v>ON</v>
      </c>
      <c r="AI18" s="1" t="str">
        <f t="shared" ca="1" si="24"/>
        <v>ON</v>
      </c>
      <c r="AJ18" s="1" t="str">
        <f t="shared" ca="1" si="25"/>
        <v>OFF</v>
      </c>
      <c r="AK18" s="1" t="str">
        <f t="shared" ca="1" si="26"/>
        <v>ON</v>
      </c>
      <c r="AL18" s="1"/>
      <c r="AM18" s="20" t="str">
        <f t="shared" si="27"/>
        <v>ON</v>
      </c>
      <c r="AN18" s="20" t="str">
        <f t="shared" si="27"/>
        <v>ON</v>
      </c>
      <c r="AO18" s="20" t="str">
        <f t="shared" si="28"/>
        <v>ON</v>
      </c>
    </row>
    <row r="19" spans="1:41">
      <c r="A19" t="str">
        <f t="shared" ca="1" si="2"/>
        <v>Ondo</v>
      </c>
      <c r="B19" t="str">
        <f t="shared" ca="1" si="3"/>
        <v>A</v>
      </c>
      <c r="C19" t="str">
        <f t="shared" ca="1" si="4"/>
        <v>E1</v>
      </c>
      <c r="D19" t="s">
        <v>7</v>
      </c>
      <c r="E19">
        <f t="shared" ca="1" si="5"/>
        <v>25</v>
      </c>
      <c r="F19">
        <f t="shared" ca="1" si="6"/>
        <v>2</v>
      </c>
      <c r="G19" t="str">
        <v>B</v>
      </c>
      <c r="H19" t="str">
        <v>B</v>
      </c>
      <c r="I19" t="str">
        <f ca="1">IF($A19="","",IF(COUNTA($K$2:$P$2)=6,"WK "&amp;_xlfn.ISOWEEKNUM($K$2)))</f>
        <v>WK 18</v>
      </c>
      <c r="J19" t="str">
        <f ca="1">IF($A19="","",IF(COUNTA($Y$2:$AD$2)=6,"WK "&amp;_xlfn.ISOWEEKNUM($Y$2)))</f>
        <v>WK 20</v>
      </c>
      <c r="K19" s="20" t="str">
        <f t="shared" ca="1" si="7"/>
        <v>ON</v>
      </c>
      <c r="L19" s="20" t="str">
        <f t="shared" ca="1" si="7"/>
        <v>ON</v>
      </c>
      <c r="M19" s="1" t="str">
        <f t="shared" ca="1" si="8"/>
        <v>ON</v>
      </c>
      <c r="N19" s="1" t="str">
        <f t="shared" ca="1" si="9"/>
        <v>OFF</v>
      </c>
      <c r="O19" s="1" t="str">
        <f t="shared" ca="1" si="10"/>
        <v>ON</v>
      </c>
      <c r="P19" s="1" t="str">
        <f t="shared" ca="1" si="11"/>
        <v>ON</v>
      </c>
      <c r="Q19" s="1"/>
      <c r="R19" s="20" t="str">
        <f t="shared" ca="1" si="12"/>
        <v>ON</v>
      </c>
      <c r="S19" s="20" t="str">
        <f t="shared" ca="1" si="12"/>
        <v>ON</v>
      </c>
      <c r="T19" s="1" t="str">
        <f t="shared" ca="1" si="13"/>
        <v>ON</v>
      </c>
      <c r="U19" s="1" t="str">
        <f t="shared" ca="1" si="14"/>
        <v>ON</v>
      </c>
      <c r="V19" s="1" t="str">
        <f t="shared" ca="1" si="15"/>
        <v>ON</v>
      </c>
      <c r="W19" s="1" t="str">
        <f t="shared" ca="1" si="16"/>
        <v>ON</v>
      </c>
      <c r="X19" s="1"/>
      <c r="Y19" s="20" t="str">
        <f t="shared" ca="1" si="17"/>
        <v>ON</v>
      </c>
      <c r="Z19" s="20" t="str">
        <f t="shared" ca="1" si="17"/>
        <v>ON</v>
      </c>
      <c r="AA19" s="1" t="str">
        <f t="shared" ca="1" si="18"/>
        <v>ON</v>
      </c>
      <c r="AB19" s="1" t="str">
        <f t="shared" ca="1" si="19"/>
        <v>OFF</v>
      </c>
      <c r="AC19" s="1" t="str">
        <f t="shared" ca="1" si="20"/>
        <v>ON</v>
      </c>
      <c r="AD19" s="1" t="str">
        <f t="shared" ca="1" si="21"/>
        <v>ON</v>
      </c>
      <c r="AE19" s="1"/>
      <c r="AF19" s="20" t="str">
        <f t="shared" ca="1" si="22"/>
        <v>ON</v>
      </c>
      <c r="AG19" s="20" t="str">
        <f t="shared" ca="1" si="22"/>
        <v>ON</v>
      </c>
      <c r="AH19" s="1" t="str">
        <f t="shared" ca="1" si="23"/>
        <v>ON</v>
      </c>
      <c r="AI19" s="1" t="str">
        <f t="shared" ca="1" si="24"/>
        <v>ON</v>
      </c>
      <c r="AJ19" s="1" t="str">
        <f t="shared" ca="1" si="25"/>
        <v>ON</v>
      </c>
      <c r="AK19" s="1" t="str">
        <f t="shared" ca="1" si="26"/>
        <v>ON</v>
      </c>
      <c r="AL19" s="1"/>
      <c r="AM19" s="20" t="str">
        <f t="shared" si="27"/>
        <v>ON</v>
      </c>
      <c r="AN19" s="20" t="str">
        <f t="shared" si="27"/>
        <v>ON</v>
      </c>
      <c r="AO19" s="20" t="str">
        <f t="shared" si="28"/>
        <v>ON</v>
      </c>
    </row>
    <row r="20" spans="1:41">
      <c r="A20" t="str">
        <f t="shared" ca="1" si="2"/>
        <v>Ekiti</v>
      </c>
      <c r="B20" t="str">
        <f t="shared" ca="1" si="3"/>
        <v>D</v>
      </c>
      <c r="C20" t="str">
        <f t="shared" ca="1" si="4"/>
        <v>E1</v>
      </c>
      <c r="D20" t="s">
        <v>7</v>
      </c>
      <c r="E20">
        <f t="shared" ca="1" si="5"/>
        <v>25</v>
      </c>
      <c r="F20">
        <f t="shared" ca="1" si="6"/>
        <v>2</v>
      </c>
      <c r="G20" t="str">
        <v>A</v>
      </c>
      <c r="H20" t="str">
        <v>A</v>
      </c>
      <c r="I20" t="str">
        <f ca="1">IF($A20="","",IF(COUNTA($R$2:$W$2)=6,"WK "&amp;_xlfn.ISOWEEKNUM($R$2)))</f>
        <v>WK 19</v>
      </c>
      <c r="J20" t="str">
        <f ca="1">IF($A20="","",IF(COUNTA($AF$2:$AK$2)=6,"WK "&amp;_xlfn.ISOWEEKNUM($AF$2)))</f>
        <v>WK 21</v>
      </c>
      <c r="K20" s="20" t="str">
        <f t="shared" ca="1" si="7"/>
        <v>ON</v>
      </c>
      <c r="L20" s="20" t="str">
        <f t="shared" ca="1" si="7"/>
        <v>ON</v>
      </c>
      <c r="M20" s="1" t="str">
        <f t="shared" ca="1" si="8"/>
        <v>ON</v>
      </c>
      <c r="N20" s="1" t="str">
        <f t="shared" ca="1" si="9"/>
        <v>ON</v>
      </c>
      <c r="O20" s="1" t="str">
        <f t="shared" ca="1" si="10"/>
        <v>ON</v>
      </c>
      <c r="P20" s="1" t="str">
        <f t="shared" ca="1" si="11"/>
        <v>ON</v>
      </c>
      <c r="Q20" s="1"/>
      <c r="R20" s="20" t="str">
        <f t="shared" ca="1" si="12"/>
        <v>ON</v>
      </c>
      <c r="S20" s="20" t="str">
        <f t="shared" ca="1" si="12"/>
        <v>ON</v>
      </c>
      <c r="T20" s="1" t="str">
        <f t="shared" ca="1" si="13"/>
        <v>OFF</v>
      </c>
      <c r="U20" s="1" t="str">
        <f t="shared" ca="1" si="14"/>
        <v>ON</v>
      </c>
      <c r="V20" s="1" t="str">
        <f t="shared" ca="1" si="15"/>
        <v>ON</v>
      </c>
      <c r="W20" s="1" t="str">
        <f t="shared" ca="1" si="16"/>
        <v>ON</v>
      </c>
      <c r="X20" s="1"/>
      <c r="Y20" s="20" t="str">
        <f t="shared" ca="1" si="17"/>
        <v>ON</v>
      </c>
      <c r="Z20" s="20" t="str">
        <f t="shared" ca="1" si="17"/>
        <v>ON</v>
      </c>
      <c r="AA20" s="1" t="str">
        <f t="shared" ca="1" si="18"/>
        <v>ON</v>
      </c>
      <c r="AB20" s="1" t="str">
        <f t="shared" ca="1" si="19"/>
        <v>ON</v>
      </c>
      <c r="AC20" s="1" t="str">
        <f t="shared" ca="1" si="20"/>
        <v>ON</v>
      </c>
      <c r="AD20" s="1" t="str">
        <f t="shared" ca="1" si="21"/>
        <v>ON</v>
      </c>
      <c r="AE20" s="1"/>
      <c r="AF20" s="20" t="str">
        <f t="shared" ca="1" si="22"/>
        <v>ON</v>
      </c>
      <c r="AG20" s="20" t="str">
        <f t="shared" ca="1" si="22"/>
        <v>ON</v>
      </c>
      <c r="AH20" s="1" t="str">
        <f t="shared" ca="1" si="23"/>
        <v>OFF</v>
      </c>
      <c r="AI20" s="1" t="str">
        <f t="shared" ca="1" si="24"/>
        <v>ON</v>
      </c>
      <c r="AJ20" s="1" t="str">
        <f t="shared" ca="1" si="25"/>
        <v>ON</v>
      </c>
      <c r="AK20" s="1" t="str">
        <f t="shared" ca="1" si="26"/>
        <v>ON</v>
      </c>
      <c r="AL20" s="1"/>
      <c r="AM20" s="20" t="str">
        <f t="shared" si="27"/>
        <v>ON</v>
      </c>
      <c r="AN20" s="20" t="str">
        <f t="shared" si="27"/>
        <v>ON</v>
      </c>
      <c r="AO20" s="20" t="str">
        <f t="shared" si="28"/>
        <v>ON</v>
      </c>
    </row>
    <row r="21" spans="1:41">
      <c r="A21" t="str">
        <f t="shared" ca="1" si="2"/>
        <v>Oyo</v>
      </c>
      <c r="B21" t="str">
        <f t="shared" ca="1" si="3"/>
        <v>C</v>
      </c>
      <c r="C21" t="str">
        <f t="shared" ca="1" si="4"/>
        <v>D1</v>
      </c>
      <c r="D21" t="s">
        <v>7</v>
      </c>
      <c r="E21">
        <f t="shared" ca="1" si="5"/>
        <v>25</v>
      </c>
      <c r="F21">
        <f t="shared" ca="1" si="6"/>
        <v>2</v>
      </c>
      <c r="G21" t="str" cm="1">
        <f t="array" ref="G21:G24">Groups!$B$2:$B$5</f>
        <v>A</v>
      </c>
      <c r="H21" t="str" cm="1">
        <f t="array" ref="H21:H24">Groups!$B$2:$B$5</f>
        <v>A</v>
      </c>
      <c r="I21" t="str">
        <f ca="1">IF($A21="","",IF(COUNTA($K$2:$P$2)=6,"WK "&amp;_xlfn.ISOWEEKNUM($K$2)))</f>
        <v>WK 18</v>
      </c>
      <c r="J21" t="str">
        <f ca="1">IF($A21="","",IF(COUNTA($Y$2:$AD$2)=6,"WK "&amp;_xlfn.ISOWEEKNUM($Y$2)))</f>
        <v>WK 20</v>
      </c>
      <c r="K21" s="20" t="str">
        <f t="shared" ca="1" si="7"/>
        <v>ON</v>
      </c>
      <c r="L21" s="20" t="str">
        <f t="shared" ca="1" si="7"/>
        <v>ON</v>
      </c>
      <c r="M21" s="1" t="str">
        <f t="shared" ca="1" si="8"/>
        <v>OFF</v>
      </c>
      <c r="N21" s="1" t="str">
        <f t="shared" ca="1" si="9"/>
        <v>ON</v>
      </c>
      <c r="O21" s="1" t="str">
        <f t="shared" ca="1" si="10"/>
        <v>ON</v>
      </c>
      <c r="P21" s="1" t="str">
        <f t="shared" ca="1" si="11"/>
        <v>ON</v>
      </c>
      <c r="Q21" s="1"/>
      <c r="R21" s="20" t="str">
        <f t="shared" ca="1" si="12"/>
        <v>ON</v>
      </c>
      <c r="S21" s="20" t="str">
        <f t="shared" ca="1" si="12"/>
        <v>ON</v>
      </c>
      <c r="T21" s="1" t="str">
        <f t="shared" ca="1" si="13"/>
        <v>ON</v>
      </c>
      <c r="U21" s="1" t="str">
        <f t="shared" ca="1" si="14"/>
        <v>ON</v>
      </c>
      <c r="V21" s="1" t="str">
        <f t="shared" ca="1" si="15"/>
        <v>ON</v>
      </c>
      <c r="W21" s="1" t="str">
        <f t="shared" ca="1" si="16"/>
        <v>ON</v>
      </c>
      <c r="X21" s="1"/>
      <c r="Y21" s="20" t="str">
        <f t="shared" ca="1" si="17"/>
        <v>ON</v>
      </c>
      <c r="Z21" s="20" t="str">
        <f t="shared" ca="1" si="17"/>
        <v>ON</v>
      </c>
      <c r="AA21" s="1" t="str">
        <f t="shared" ca="1" si="18"/>
        <v>OFF</v>
      </c>
      <c r="AB21" s="1" t="str">
        <f t="shared" ca="1" si="19"/>
        <v>ON</v>
      </c>
      <c r="AC21" s="1" t="str">
        <f t="shared" ca="1" si="20"/>
        <v>ON</v>
      </c>
      <c r="AD21" s="1" t="str">
        <f t="shared" ca="1" si="21"/>
        <v>ON</v>
      </c>
      <c r="AE21" s="1"/>
      <c r="AF21" s="20" t="str">
        <f t="shared" ca="1" si="22"/>
        <v>ON</v>
      </c>
      <c r="AG21" s="20" t="str">
        <f t="shared" ca="1" si="22"/>
        <v>ON</v>
      </c>
      <c r="AH21" s="1" t="str">
        <f t="shared" ca="1" si="23"/>
        <v>ON</v>
      </c>
      <c r="AI21" s="1" t="str">
        <f t="shared" ca="1" si="24"/>
        <v>ON</v>
      </c>
      <c r="AJ21" s="1" t="str">
        <f t="shared" ca="1" si="25"/>
        <v>ON</v>
      </c>
      <c r="AK21" s="1" t="str">
        <f t="shared" ca="1" si="26"/>
        <v>ON</v>
      </c>
      <c r="AL21" s="1"/>
      <c r="AM21" s="20" t="str">
        <f t="shared" si="27"/>
        <v>ON</v>
      </c>
      <c r="AN21" s="20" t="str">
        <f t="shared" si="27"/>
        <v>ON</v>
      </c>
      <c r="AO21" s="20" t="str">
        <f t="shared" si="28"/>
        <v>ON</v>
      </c>
    </row>
    <row r="22" spans="1:41">
      <c r="A22" t="str">
        <f t="shared" ca="1" si="2"/>
        <v>Ogun</v>
      </c>
      <c r="B22" t="str">
        <f t="shared" ca="1" si="3"/>
        <v>E</v>
      </c>
      <c r="C22" t="str">
        <f t="shared" ca="1" si="4"/>
        <v>D1</v>
      </c>
      <c r="D22" t="s">
        <v>7</v>
      </c>
      <c r="E22">
        <f t="shared" ca="1" si="5"/>
        <v>25</v>
      </c>
      <c r="F22">
        <f t="shared" ca="1" si="6"/>
        <v>2</v>
      </c>
      <c r="G22" t="str">
        <v>B</v>
      </c>
      <c r="H22" t="str">
        <v>B</v>
      </c>
      <c r="I22" t="str">
        <f ca="1">IF($A22="","",IF(COUNTA($R$2:$W$2)=6,"WK "&amp;_xlfn.ISOWEEKNUM($R$2)))</f>
        <v>WK 19</v>
      </c>
      <c r="J22" t="str">
        <f ca="1">IF($A22="","",IF(COUNTA($AF$2:$AK$2)=6,"WK "&amp;_xlfn.ISOWEEKNUM($AF$2)))</f>
        <v>WK 21</v>
      </c>
      <c r="K22" s="20" t="str">
        <f t="shared" ca="1" si="7"/>
        <v>ON</v>
      </c>
      <c r="L22" s="20" t="str">
        <f t="shared" ca="1" si="7"/>
        <v>ON</v>
      </c>
      <c r="M22" s="1" t="str">
        <f t="shared" ca="1" si="8"/>
        <v>ON</v>
      </c>
      <c r="N22" s="1" t="str">
        <f t="shared" ca="1" si="9"/>
        <v>ON</v>
      </c>
      <c r="O22" s="1" t="str">
        <f t="shared" ca="1" si="10"/>
        <v>ON</v>
      </c>
      <c r="P22" s="1" t="str">
        <f t="shared" ca="1" si="11"/>
        <v>ON</v>
      </c>
      <c r="Q22" s="1"/>
      <c r="R22" s="20" t="str">
        <f t="shared" ca="1" si="12"/>
        <v>ON</v>
      </c>
      <c r="S22" s="20" t="str">
        <f t="shared" ca="1" si="12"/>
        <v>ON</v>
      </c>
      <c r="T22" s="1" t="str">
        <f t="shared" ca="1" si="13"/>
        <v>ON</v>
      </c>
      <c r="U22" s="1" t="str">
        <f t="shared" ca="1" si="14"/>
        <v>OFF</v>
      </c>
      <c r="V22" s="1" t="str">
        <f t="shared" ca="1" si="15"/>
        <v>ON</v>
      </c>
      <c r="W22" s="1" t="str">
        <f t="shared" ca="1" si="16"/>
        <v>ON</v>
      </c>
      <c r="X22" s="1"/>
      <c r="Y22" s="20" t="str">
        <f t="shared" ca="1" si="17"/>
        <v>ON</v>
      </c>
      <c r="Z22" s="20" t="str">
        <f t="shared" ca="1" si="17"/>
        <v>ON</v>
      </c>
      <c r="AA22" s="1" t="str">
        <f t="shared" ca="1" si="18"/>
        <v>ON</v>
      </c>
      <c r="AB22" s="1" t="str">
        <f t="shared" ca="1" si="19"/>
        <v>ON</v>
      </c>
      <c r="AC22" s="1" t="str">
        <f t="shared" ca="1" si="20"/>
        <v>ON</v>
      </c>
      <c r="AD22" s="1" t="str">
        <f t="shared" ca="1" si="21"/>
        <v>ON</v>
      </c>
      <c r="AE22" s="1"/>
      <c r="AF22" s="20" t="str">
        <f t="shared" ca="1" si="22"/>
        <v>ON</v>
      </c>
      <c r="AG22" s="20" t="str">
        <f t="shared" ca="1" si="22"/>
        <v>ON</v>
      </c>
      <c r="AH22" s="1" t="str">
        <f t="shared" ca="1" si="23"/>
        <v>ON</v>
      </c>
      <c r="AI22" s="1" t="str">
        <f t="shared" ca="1" si="24"/>
        <v>OFF</v>
      </c>
      <c r="AJ22" s="1" t="str">
        <f t="shared" ca="1" si="25"/>
        <v>ON</v>
      </c>
      <c r="AK22" s="1" t="str">
        <f t="shared" ca="1" si="26"/>
        <v>ON</v>
      </c>
      <c r="AL22" s="1"/>
      <c r="AM22" s="20" t="str">
        <f t="shared" si="27"/>
        <v>ON</v>
      </c>
      <c r="AN22" s="20" t="str">
        <f t="shared" si="27"/>
        <v>ON</v>
      </c>
      <c r="AO22" s="20" t="str">
        <f t="shared" si="28"/>
        <v>ON</v>
      </c>
    </row>
    <row r="23" spans="1:41">
      <c r="A23" t="str">
        <f t="shared" ca="1" si="2"/>
        <v>Ekiti</v>
      </c>
      <c r="B23" t="str">
        <f t="shared" ca="1" si="3"/>
        <v>B</v>
      </c>
      <c r="C23" t="str">
        <f t="shared" ca="1" si="4"/>
        <v>A1</v>
      </c>
      <c r="D23" t="s">
        <v>7</v>
      </c>
      <c r="E23">
        <f t="shared" ca="1" si="5"/>
        <v>25</v>
      </c>
      <c r="F23">
        <f t="shared" ca="1" si="6"/>
        <v>2</v>
      </c>
      <c r="G23" t="str">
        <v>C</v>
      </c>
      <c r="H23" t="str">
        <v>C</v>
      </c>
      <c r="I23" t="str">
        <f ca="1">IF($A23="","",IF(COUNTA($K$2:$P$2)=6,"WK "&amp;_xlfn.ISOWEEKNUM($K$2)))</f>
        <v>WK 18</v>
      </c>
      <c r="J23" t="str">
        <f ca="1">IF($A23="","",IF(COUNTA($Y$2:$AD$2)=6,"WK "&amp;_xlfn.ISOWEEKNUM($Y$2)))</f>
        <v>WK 20</v>
      </c>
      <c r="K23" s="20" t="str">
        <f t="shared" ca="1" si="7"/>
        <v>ON</v>
      </c>
      <c r="L23" s="20" t="str">
        <f t="shared" ca="1" si="7"/>
        <v>ON</v>
      </c>
      <c r="M23" s="1" t="str">
        <f t="shared" ca="1" si="8"/>
        <v>ON</v>
      </c>
      <c r="N23" s="1" t="str">
        <f t="shared" ca="1" si="9"/>
        <v>ON</v>
      </c>
      <c r="O23" s="1" t="str">
        <f t="shared" ca="1" si="10"/>
        <v>OFF</v>
      </c>
      <c r="P23" s="1" t="str">
        <f t="shared" ca="1" si="11"/>
        <v>ON</v>
      </c>
      <c r="Q23" s="1"/>
      <c r="R23" s="20" t="str">
        <f t="shared" ca="1" si="12"/>
        <v>ON</v>
      </c>
      <c r="S23" s="20" t="str">
        <f t="shared" ca="1" si="12"/>
        <v>ON</v>
      </c>
      <c r="T23" s="1" t="str">
        <f t="shared" ca="1" si="13"/>
        <v>ON</v>
      </c>
      <c r="U23" s="1" t="str">
        <f t="shared" ca="1" si="14"/>
        <v>ON</v>
      </c>
      <c r="V23" s="1" t="str">
        <f t="shared" ca="1" si="15"/>
        <v>ON</v>
      </c>
      <c r="W23" s="1" t="str">
        <f t="shared" ca="1" si="16"/>
        <v>ON</v>
      </c>
      <c r="X23" s="1"/>
      <c r="Y23" s="20" t="str">
        <f t="shared" ca="1" si="17"/>
        <v>ON</v>
      </c>
      <c r="Z23" s="20" t="str">
        <f t="shared" ca="1" si="17"/>
        <v>ON</v>
      </c>
      <c r="AA23" s="1" t="str">
        <f t="shared" ca="1" si="18"/>
        <v>ON</v>
      </c>
      <c r="AB23" s="1" t="str">
        <f t="shared" ca="1" si="19"/>
        <v>ON</v>
      </c>
      <c r="AC23" s="1" t="str">
        <f t="shared" ca="1" si="20"/>
        <v>OFF</v>
      </c>
      <c r="AD23" s="1" t="str">
        <f t="shared" ca="1" si="21"/>
        <v>ON</v>
      </c>
      <c r="AE23" s="1"/>
      <c r="AF23" s="20" t="str">
        <f t="shared" ca="1" si="22"/>
        <v>ON</v>
      </c>
      <c r="AG23" s="20" t="str">
        <f t="shared" ca="1" si="22"/>
        <v>ON</v>
      </c>
      <c r="AH23" s="1" t="str">
        <f t="shared" ca="1" si="23"/>
        <v>ON</v>
      </c>
      <c r="AI23" s="1" t="str">
        <f t="shared" ca="1" si="24"/>
        <v>ON</v>
      </c>
      <c r="AJ23" s="1" t="str">
        <f t="shared" ca="1" si="25"/>
        <v>ON</v>
      </c>
      <c r="AK23" s="1" t="str">
        <f t="shared" ca="1" si="26"/>
        <v>ON</v>
      </c>
      <c r="AL23" s="1"/>
      <c r="AM23" s="20" t="str">
        <f t="shared" si="27"/>
        <v>ON</v>
      </c>
      <c r="AN23" s="20" t="str">
        <f t="shared" si="27"/>
        <v>ON</v>
      </c>
      <c r="AO23" s="20" t="str">
        <f t="shared" si="28"/>
        <v>ON</v>
      </c>
    </row>
    <row r="24" spans="1:41">
      <c r="A24" t="str">
        <f t="shared" ca="1" si="2"/>
        <v>Ogun</v>
      </c>
      <c r="B24" t="str">
        <f t="shared" ca="1" si="3"/>
        <v>E</v>
      </c>
      <c r="C24" t="str">
        <f t="shared" ca="1" si="4"/>
        <v>A1</v>
      </c>
      <c r="D24" t="s">
        <v>7</v>
      </c>
      <c r="E24">
        <f t="shared" ca="1" si="5"/>
        <v>25</v>
      </c>
      <c r="F24">
        <f t="shared" ca="1" si="6"/>
        <v>2</v>
      </c>
      <c r="G24" t="str">
        <v>D</v>
      </c>
      <c r="H24" t="str">
        <v>D</v>
      </c>
      <c r="I24" t="str">
        <f ca="1">IF($A24="","",IF(COUNTA($R$2:$W$2)=6,"WK "&amp;_xlfn.ISOWEEKNUM($R$2)))</f>
        <v>WK 19</v>
      </c>
      <c r="J24" t="str">
        <f ca="1">IF($A24="","",IF(COUNTA($AF$2:$AK$2)=6,"WK "&amp;_xlfn.ISOWEEKNUM($AF$2)))</f>
        <v>WK 21</v>
      </c>
      <c r="K24" s="20" t="str">
        <f t="shared" ca="1" si="7"/>
        <v>ON</v>
      </c>
      <c r="L24" s="20" t="str">
        <f t="shared" ca="1" si="7"/>
        <v>ON</v>
      </c>
      <c r="M24" s="1" t="str">
        <f t="shared" ca="1" si="8"/>
        <v>ON</v>
      </c>
      <c r="N24" s="1" t="str">
        <f t="shared" ca="1" si="9"/>
        <v>ON</v>
      </c>
      <c r="O24" s="1" t="str">
        <f t="shared" ca="1" si="10"/>
        <v>ON</v>
      </c>
      <c r="P24" s="1" t="str">
        <f t="shared" ca="1" si="11"/>
        <v>ON</v>
      </c>
      <c r="Q24" s="1"/>
      <c r="R24" s="20" t="str">
        <f t="shared" ca="1" si="12"/>
        <v>ON</v>
      </c>
      <c r="S24" s="20" t="str">
        <f t="shared" ca="1" si="12"/>
        <v>ON</v>
      </c>
      <c r="T24" s="1" t="str">
        <f t="shared" ca="1" si="13"/>
        <v>ON</v>
      </c>
      <c r="U24" s="1" t="str">
        <f t="shared" ca="1" si="14"/>
        <v>ON</v>
      </c>
      <c r="V24" s="1" t="str">
        <f t="shared" ca="1" si="15"/>
        <v>ON</v>
      </c>
      <c r="W24" s="1" t="str">
        <f t="shared" ca="1" si="16"/>
        <v>OFF</v>
      </c>
      <c r="X24" s="1"/>
      <c r="Y24" s="20" t="str">
        <f t="shared" ca="1" si="17"/>
        <v>ON</v>
      </c>
      <c r="Z24" s="20" t="str">
        <f t="shared" ca="1" si="17"/>
        <v>ON</v>
      </c>
      <c r="AA24" s="1" t="str">
        <f t="shared" ca="1" si="18"/>
        <v>ON</v>
      </c>
      <c r="AB24" s="1" t="str">
        <f t="shared" ca="1" si="19"/>
        <v>ON</v>
      </c>
      <c r="AC24" s="1" t="str">
        <f t="shared" ca="1" si="20"/>
        <v>ON</v>
      </c>
      <c r="AD24" s="1" t="str">
        <f t="shared" ca="1" si="21"/>
        <v>ON</v>
      </c>
      <c r="AE24" s="1"/>
      <c r="AF24" s="20" t="str">
        <f t="shared" ca="1" si="22"/>
        <v>ON</v>
      </c>
      <c r="AG24" s="20" t="str">
        <f t="shared" ca="1" si="22"/>
        <v>ON</v>
      </c>
      <c r="AH24" s="1" t="str">
        <f t="shared" ca="1" si="23"/>
        <v>ON</v>
      </c>
      <c r="AI24" s="1" t="str">
        <f t="shared" ca="1" si="24"/>
        <v>ON</v>
      </c>
      <c r="AJ24" s="1" t="str">
        <f t="shared" ca="1" si="25"/>
        <v>ON</v>
      </c>
      <c r="AK24" s="1" t="str">
        <f t="shared" ca="1" si="26"/>
        <v>OFF</v>
      </c>
      <c r="AL24" s="1"/>
      <c r="AM24" s="20" t="str">
        <f t="shared" si="27"/>
        <v>ON</v>
      </c>
      <c r="AN24" s="20" t="str">
        <f t="shared" si="27"/>
        <v>ON</v>
      </c>
      <c r="AO24" s="20" t="str">
        <f t="shared" si="28"/>
        <v>ON</v>
      </c>
    </row>
    <row r="25" spans="1:41">
      <c r="A25" t="str">
        <f t="shared" ca="1" si="2"/>
        <v>Lagos</v>
      </c>
      <c r="B25" t="str">
        <f t="shared" ca="1" si="3"/>
        <v>A</v>
      </c>
      <c r="C25" t="str">
        <f t="shared" ca="1" si="4"/>
        <v>A1</v>
      </c>
      <c r="D25" t="s">
        <v>5</v>
      </c>
      <c r="E25">
        <f t="shared" ca="1" si="5"/>
        <v>25</v>
      </c>
      <c r="F25">
        <f t="shared" ca="1" si="6"/>
        <v>2</v>
      </c>
      <c r="G25" t="str" cm="1">
        <f t="array" ref="G25:G28">IF($G$5:$G$8={"A";"B";"C";"D"},{"D";"C";"B";"A"},{"A";"B";"C";"D"})</f>
        <v>D</v>
      </c>
      <c r="H25" t="str" cm="1">
        <f t="array" ref="H25:H28">IF($H$5:$H$8={"A";"B";"C";"D"},{"D";"C";"B";"A"},{"A";"B";"C";"D"})</f>
        <v>D</v>
      </c>
      <c r="I25" t="str">
        <f ca="1">IF($A25="","",IF(COUNTA($K$2:$P$2)=6,"WK "&amp;_xlfn.ISOWEEKNUM($K$2)))</f>
        <v>WK 18</v>
      </c>
      <c r="J25" t="str">
        <f ca="1">IF($A25="","",IF(COUNTA($Y$2:$AD$2)=6,"WK "&amp;_xlfn.ISOWEEKNUM($Y$2)))</f>
        <v>WK 20</v>
      </c>
      <c r="K25" s="20" t="str">
        <f t="shared" ca="1" si="7"/>
        <v>ON</v>
      </c>
      <c r="L25" s="20" t="str">
        <f t="shared" ca="1" si="7"/>
        <v>ON</v>
      </c>
      <c r="M25" s="1" t="str">
        <f t="shared" ca="1" si="8"/>
        <v>ON</v>
      </c>
      <c r="N25" s="1" t="str">
        <f t="shared" ca="1" si="9"/>
        <v>ON</v>
      </c>
      <c r="O25" s="1" t="str">
        <f t="shared" ca="1" si="10"/>
        <v>ON</v>
      </c>
      <c r="P25" s="1" t="str">
        <f t="shared" ca="1" si="11"/>
        <v>OFF</v>
      </c>
      <c r="Q25" s="1"/>
      <c r="R25" s="20" t="str">
        <f t="shared" ca="1" si="12"/>
        <v>ON</v>
      </c>
      <c r="S25" s="20" t="str">
        <f t="shared" ca="1" si="12"/>
        <v>ON</v>
      </c>
      <c r="T25" s="1" t="str">
        <f t="shared" ca="1" si="13"/>
        <v>ON</v>
      </c>
      <c r="U25" s="1" t="str">
        <f t="shared" ca="1" si="14"/>
        <v>ON</v>
      </c>
      <c r="V25" s="1" t="str">
        <f t="shared" ca="1" si="15"/>
        <v>ON</v>
      </c>
      <c r="W25" s="1" t="str">
        <f t="shared" ca="1" si="16"/>
        <v>ON</v>
      </c>
      <c r="X25" s="1"/>
      <c r="Y25" s="20" t="str">
        <f t="shared" ca="1" si="17"/>
        <v>ON</v>
      </c>
      <c r="Z25" s="20" t="str">
        <f t="shared" ca="1" si="17"/>
        <v>ON</v>
      </c>
      <c r="AA25" s="1" t="str">
        <f t="shared" ca="1" si="18"/>
        <v>ON</v>
      </c>
      <c r="AB25" s="1" t="str">
        <f t="shared" ca="1" si="19"/>
        <v>ON</v>
      </c>
      <c r="AC25" s="1" t="str">
        <f t="shared" ca="1" si="20"/>
        <v>ON</v>
      </c>
      <c r="AD25" s="1" t="str">
        <f t="shared" ca="1" si="21"/>
        <v>OFF</v>
      </c>
      <c r="AE25" s="1"/>
      <c r="AF25" s="20" t="str">
        <f t="shared" ca="1" si="22"/>
        <v>ON</v>
      </c>
      <c r="AG25" s="20" t="str">
        <f t="shared" ca="1" si="22"/>
        <v>ON</v>
      </c>
      <c r="AH25" s="1" t="str">
        <f t="shared" ca="1" si="23"/>
        <v>ON</v>
      </c>
      <c r="AI25" s="1" t="str">
        <f t="shared" ca="1" si="24"/>
        <v>ON</v>
      </c>
      <c r="AJ25" s="1" t="str">
        <f t="shared" ca="1" si="25"/>
        <v>ON</v>
      </c>
      <c r="AK25" s="1" t="str">
        <f t="shared" ca="1" si="26"/>
        <v>ON</v>
      </c>
      <c r="AL25" s="1"/>
      <c r="AM25" s="20" t="str">
        <f t="shared" si="27"/>
        <v>ON</v>
      </c>
      <c r="AN25" s="20" t="str">
        <f t="shared" si="27"/>
        <v>ON</v>
      </c>
      <c r="AO25" s="20" t="str">
        <f t="shared" si="28"/>
        <v>ON</v>
      </c>
    </row>
    <row r="26" spans="1:41">
      <c r="A26" t="str">
        <f t="shared" ca="1" si="2"/>
        <v>Lagos</v>
      </c>
      <c r="B26" t="str">
        <f t="shared" ca="1" si="3"/>
        <v>C</v>
      </c>
      <c r="C26" t="str">
        <f t="shared" ca="1" si="4"/>
        <v>A1</v>
      </c>
      <c r="D26" t="s">
        <v>5</v>
      </c>
      <c r="E26">
        <f t="shared" ca="1" si="5"/>
        <v>25</v>
      </c>
      <c r="F26">
        <f t="shared" ca="1" si="6"/>
        <v>2</v>
      </c>
      <c r="G26" t="str">
        <v>C</v>
      </c>
      <c r="H26" t="str">
        <v>C</v>
      </c>
      <c r="I26" t="str">
        <f ca="1">IF($A26="","",IF(COUNTA($R$2:$W$2)=6,"WK "&amp;_xlfn.ISOWEEKNUM($R$2)))</f>
        <v>WK 19</v>
      </c>
      <c r="J26" t="str">
        <f ca="1">IF($A26="","",IF(COUNTA($AF$2:$AK$2)=6,"WK "&amp;_xlfn.ISOWEEKNUM($AF$2)))</f>
        <v>WK 21</v>
      </c>
      <c r="K26" s="20" t="str">
        <f t="shared" ca="1" si="7"/>
        <v>ON</v>
      </c>
      <c r="L26" s="20" t="str">
        <f t="shared" ca="1" si="7"/>
        <v>ON</v>
      </c>
      <c r="M26" s="1" t="str">
        <f t="shared" ca="1" si="8"/>
        <v>ON</v>
      </c>
      <c r="N26" s="1" t="str">
        <f t="shared" ca="1" si="9"/>
        <v>ON</v>
      </c>
      <c r="O26" s="1" t="str">
        <f t="shared" ca="1" si="10"/>
        <v>ON</v>
      </c>
      <c r="P26" s="1" t="str">
        <f t="shared" ca="1" si="11"/>
        <v>ON</v>
      </c>
      <c r="Q26" s="1"/>
      <c r="R26" s="20" t="str">
        <f t="shared" ca="1" si="12"/>
        <v>ON</v>
      </c>
      <c r="S26" s="20" t="str">
        <f t="shared" ca="1" si="12"/>
        <v>ON</v>
      </c>
      <c r="T26" s="1" t="str">
        <f t="shared" ca="1" si="13"/>
        <v>ON</v>
      </c>
      <c r="U26" s="1" t="str">
        <f t="shared" ca="1" si="14"/>
        <v>ON</v>
      </c>
      <c r="V26" s="1" t="str">
        <f t="shared" ca="1" si="15"/>
        <v>OFF</v>
      </c>
      <c r="W26" s="1" t="str">
        <f t="shared" ca="1" si="16"/>
        <v>ON</v>
      </c>
      <c r="X26" s="1"/>
      <c r="Y26" s="20" t="str">
        <f t="shared" ca="1" si="17"/>
        <v>ON</v>
      </c>
      <c r="Z26" s="20" t="str">
        <f t="shared" ca="1" si="17"/>
        <v>ON</v>
      </c>
      <c r="AA26" s="1" t="str">
        <f t="shared" ca="1" si="18"/>
        <v>ON</v>
      </c>
      <c r="AB26" s="1" t="str">
        <f t="shared" ca="1" si="19"/>
        <v>ON</v>
      </c>
      <c r="AC26" s="1" t="str">
        <f t="shared" ca="1" si="20"/>
        <v>ON</v>
      </c>
      <c r="AD26" s="1" t="str">
        <f t="shared" ca="1" si="21"/>
        <v>ON</v>
      </c>
      <c r="AE26" s="1"/>
      <c r="AF26" s="20" t="str">
        <f t="shared" ca="1" si="22"/>
        <v>ON</v>
      </c>
      <c r="AG26" s="20" t="str">
        <f t="shared" ca="1" si="22"/>
        <v>ON</v>
      </c>
      <c r="AH26" s="1" t="str">
        <f t="shared" ca="1" si="23"/>
        <v>ON</v>
      </c>
      <c r="AI26" s="1" t="str">
        <f t="shared" ca="1" si="24"/>
        <v>ON</v>
      </c>
      <c r="AJ26" s="1" t="str">
        <f t="shared" ca="1" si="25"/>
        <v>OFF</v>
      </c>
      <c r="AK26" s="1" t="str">
        <f t="shared" ca="1" si="26"/>
        <v>ON</v>
      </c>
      <c r="AL26" s="1"/>
      <c r="AM26" s="20" t="str">
        <f t="shared" si="27"/>
        <v>ON</v>
      </c>
      <c r="AN26" s="20" t="str">
        <f t="shared" si="27"/>
        <v>ON</v>
      </c>
      <c r="AO26" s="20" t="str">
        <f t="shared" si="28"/>
        <v>ON</v>
      </c>
    </row>
    <row r="27" spans="1:41">
      <c r="A27" t="str">
        <f t="shared" ca="1" si="2"/>
        <v>Oyo</v>
      </c>
      <c r="B27" t="str">
        <f t="shared" ca="1" si="3"/>
        <v>B</v>
      </c>
      <c r="C27" t="str">
        <f t="shared" ca="1" si="4"/>
        <v>A1</v>
      </c>
      <c r="D27" t="s">
        <v>5</v>
      </c>
      <c r="E27">
        <f t="shared" ca="1" si="5"/>
        <v>25</v>
      </c>
      <c r="F27">
        <f t="shared" ca="1" si="6"/>
        <v>2</v>
      </c>
      <c r="G27" t="str">
        <v>B</v>
      </c>
      <c r="H27" t="str">
        <v>B</v>
      </c>
      <c r="I27" t="str">
        <f ca="1">IF($A27="","",IF(COUNTA($K$2:$P$2)=6,"WK "&amp;_xlfn.ISOWEEKNUM($K$2)))</f>
        <v>WK 18</v>
      </c>
      <c r="J27" t="str">
        <f ca="1">IF($A27="","",IF(COUNTA($Y$2:$AD$2)=6,"WK "&amp;_xlfn.ISOWEEKNUM($Y$2)))</f>
        <v>WK 20</v>
      </c>
      <c r="K27" s="20" t="str">
        <f t="shared" ca="1" si="7"/>
        <v>ON</v>
      </c>
      <c r="L27" s="20" t="str">
        <f t="shared" ca="1" si="7"/>
        <v>ON</v>
      </c>
      <c r="M27" s="1" t="str">
        <f t="shared" ca="1" si="8"/>
        <v>ON</v>
      </c>
      <c r="N27" s="1" t="str">
        <f t="shared" ca="1" si="9"/>
        <v>OFF</v>
      </c>
      <c r="O27" s="1" t="str">
        <f t="shared" ca="1" si="10"/>
        <v>ON</v>
      </c>
      <c r="P27" s="1" t="str">
        <f t="shared" ca="1" si="11"/>
        <v>ON</v>
      </c>
      <c r="Q27" s="1"/>
      <c r="R27" s="20" t="str">
        <f t="shared" ca="1" si="12"/>
        <v>ON</v>
      </c>
      <c r="S27" s="20" t="str">
        <f t="shared" ca="1" si="12"/>
        <v>ON</v>
      </c>
      <c r="T27" s="1" t="str">
        <f t="shared" ca="1" si="13"/>
        <v>ON</v>
      </c>
      <c r="U27" s="1" t="str">
        <f t="shared" ca="1" si="14"/>
        <v>ON</v>
      </c>
      <c r="V27" s="1" t="str">
        <f t="shared" ca="1" si="15"/>
        <v>ON</v>
      </c>
      <c r="W27" s="1" t="str">
        <f t="shared" ca="1" si="16"/>
        <v>ON</v>
      </c>
      <c r="X27" s="1"/>
      <c r="Y27" s="20" t="str">
        <f t="shared" ca="1" si="17"/>
        <v>ON</v>
      </c>
      <c r="Z27" s="20" t="str">
        <f t="shared" ca="1" si="17"/>
        <v>ON</v>
      </c>
      <c r="AA27" s="1" t="str">
        <f t="shared" ca="1" si="18"/>
        <v>ON</v>
      </c>
      <c r="AB27" s="1" t="str">
        <f t="shared" ca="1" si="19"/>
        <v>OFF</v>
      </c>
      <c r="AC27" s="1" t="str">
        <f t="shared" ca="1" si="20"/>
        <v>ON</v>
      </c>
      <c r="AD27" s="1" t="str">
        <f t="shared" ca="1" si="21"/>
        <v>ON</v>
      </c>
      <c r="AE27" s="1"/>
      <c r="AF27" s="20" t="str">
        <f t="shared" ca="1" si="22"/>
        <v>ON</v>
      </c>
      <c r="AG27" s="20" t="str">
        <f t="shared" ca="1" si="22"/>
        <v>ON</v>
      </c>
      <c r="AH27" s="1" t="str">
        <f t="shared" ca="1" si="23"/>
        <v>ON</v>
      </c>
      <c r="AI27" s="1" t="str">
        <f t="shared" ca="1" si="24"/>
        <v>ON</v>
      </c>
      <c r="AJ27" s="1" t="str">
        <f t="shared" ca="1" si="25"/>
        <v>ON</v>
      </c>
      <c r="AK27" s="1" t="str">
        <f t="shared" ca="1" si="26"/>
        <v>ON</v>
      </c>
      <c r="AL27" s="1"/>
      <c r="AM27" s="20" t="str">
        <f t="shared" si="27"/>
        <v>ON</v>
      </c>
      <c r="AN27" s="20" t="str">
        <f t="shared" si="27"/>
        <v>ON</v>
      </c>
      <c r="AO27" s="20" t="str">
        <f t="shared" si="28"/>
        <v>ON</v>
      </c>
    </row>
    <row r="28" spans="1:41">
      <c r="A28" t="str">
        <f t="shared" ca="1" si="2"/>
        <v>Ondo</v>
      </c>
      <c r="B28" t="str">
        <f t="shared" ca="1" si="3"/>
        <v>D</v>
      </c>
      <c r="C28" t="str">
        <f t="shared" ca="1" si="4"/>
        <v>E1</v>
      </c>
      <c r="D28" s="8" t="s">
        <v>7</v>
      </c>
      <c r="E28">
        <f t="shared" ca="1" si="5"/>
        <v>25</v>
      </c>
      <c r="F28">
        <f t="shared" ca="1" si="6"/>
        <v>2</v>
      </c>
      <c r="G28" t="str">
        <v>A</v>
      </c>
      <c r="H28" t="str">
        <v>A</v>
      </c>
      <c r="I28" t="str">
        <f ca="1">IF($A28="","",IF(COUNTA($R$2:$W$2)=6,"WK "&amp;_xlfn.ISOWEEKNUM($R$2)))</f>
        <v>WK 19</v>
      </c>
      <c r="J28" t="str">
        <f ca="1">IF($A28="","",IF(COUNTA($AF$2:$AK$2)=6,"WK "&amp;_xlfn.ISOWEEKNUM($AF$2)))</f>
        <v>WK 21</v>
      </c>
      <c r="K28" s="20" t="str">
        <f t="shared" ca="1" si="7"/>
        <v>ON</v>
      </c>
      <c r="L28" s="20" t="str">
        <f t="shared" ca="1" si="7"/>
        <v>ON</v>
      </c>
      <c r="M28" s="1" t="str">
        <f t="shared" ca="1" si="8"/>
        <v>ON</v>
      </c>
      <c r="N28" s="1" t="str">
        <f t="shared" ca="1" si="9"/>
        <v>ON</v>
      </c>
      <c r="O28" s="1" t="str">
        <f t="shared" ca="1" si="10"/>
        <v>ON</v>
      </c>
      <c r="P28" s="1" t="str">
        <f t="shared" ca="1" si="11"/>
        <v>ON</v>
      </c>
      <c r="Q28" s="1"/>
      <c r="R28" s="20" t="str">
        <f t="shared" ca="1" si="12"/>
        <v>ON</v>
      </c>
      <c r="S28" s="20" t="str">
        <f t="shared" ca="1" si="12"/>
        <v>ON</v>
      </c>
      <c r="T28" s="1" t="str">
        <f t="shared" ca="1" si="13"/>
        <v>OFF</v>
      </c>
      <c r="U28" s="1" t="str">
        <f t="shared" ca="1" si="14"/>
        <v>ON</v>
      </c>
      <c r="V28" s="1" t="str">
        <f t="shared" ca="1" si="15"/>
        <v>ON</v>
      </c>
      <c r="W28" s="1" t="str">
        <f t="shared" ca="1" si="16"/>
        <v>ON</v>
      </c>
      <c r="X28" s="1"/>
      <c r="Y28" s="20" t="str">
        <f t="shared" ca="1" si="17"/>
        <v>ON</v>
      </c>
      <c r="Z28" s="20" t="str">
        <f t="shared" ca="1" si="17"/>
        <v>ON</v>
      </c>
      <c r="AA28" s="1" t="str">
        <f t="shared" ca="1" si="18"/>
        <v>ON</v>
      </c>
      <c r="AB28" s="1" t="str">
        <f t="shared" ca="1" si="19"/>
        <v>ON</v>
      </c>
      <c r="AC28" s="1" t="str">
        <f t="shared" ca="1" si="20"/>
        <v>ON</v>
      </c>
      <c r="AD28" s="1" t="str">
        <f t="shared" ca="1" si="21"/>
        <v>ON</v>
      </c>
      <c r="AE28" s="1"/>
      <c r="AF28" s="20" t="str">
        <f t="shared" ca="1" si="22"/>
        <v>ON</v>
      </c>
      <c r="AG28" s="20" t="str">
        <f t="shared" ca="1" si="22"/>
        <v>ON</v>
      </c>
      <c r="AH28" s="1" t="str">
        <f t="shared" ca="1" si="23"/>
        <v>OFF</v>
      </c>
      <c r="AI28" s="1" t="str">
        <f t="shared" ca="1" si="24"/>
        <v>ON</v>
      </c>
      <c r="AJ28" s="1" t="str">
        <f t="shared" ca="1" si="25"/>
        <v>ON</v>
      </c>
      <c r="AK28" s="1" t="str">
        <f t="shared" ca="1" si="26"/>
        <v>ON</v>
      </c>
      <c r="AL28" s="1"/>
      <c r="AM28" s="20" t="str">
        <f t="shared" si="27"/>
        <v>ON</v>
      </c>
      <c r="AN28" s="20" t="str">
        <f t="shared" si="27"/>
        <v>ON</v>
      </c>
      <c r="AO28" s="20" t="str">
        <f t="shared" si="28"/>
        <v>ON</v>
      </c>
    </row>
    <row r="29" spans="1:41">
      <c r="A29" t="str">
        <f t="shared" ca="1" si="2"/>
        <v>Ondo</v>
      </c>
      <c r="B29" t="str">
        <f t="shared" ca="1" si="3"/>
        <v>B</v>
      </c>
      <c r="C29" t="str">
        <f t="shared" ca="1" si="4"/>
        <v>C1</v>
      </c>
      <c r="D29" s="8" t="s">
        <v>7</v>
      </c>
      <c r="E29">
        <f t="shared" ca="1" si="5"/>
        <v>25</v>
      </c>
      <c r="F29">
        <f t="shared" ca="1" si="6"/>
        <v>2</v>
      </c>
      <c r="G29" t="str" cm="1">
        <f t="array" ref="G29:G32">Groups!$B$2:$B$5</f>
        <v>A</v>
      </c>
      <c r="H29" t="str" cm="1">
        <f t="array" ref="H29:H32">Groups!$B$2:$B$5</f>
        <v>A</v>
      </c>
      <c r="I29" t="str">
        <f ca="1">IF($A29="","",IF(COUNTA($K$2:$P$2)=6,"WK "&amp;_xlfn.ISOWEEKNUM($K$2)))</f>
        <v>WK 18</v>
      </c>
      <c r="J29" t="str">
        <f ca="1">IF($A29="","",IF(COUNTA($Y$2:$AD$2)=6,"WK "&amp;_xlfn.ISOWEEKNUM($Y$2)))</f>
        <v>WK 20</v>
      </c>
      <c r="K29" s="20" t="str">
        <f t="shared" ca="1" si="7"/>
        <v>ON</v>
      </c>
      <c r="L29" s="20" t="str">
        <f t="shared" ca="1" si="7"/>
        <v>ON</v>
      </c>
      <c r="M29" s="1" t="str">
        <f t="shared" ca="1" si="8"/>
        <v>OFF</v>
      </c>
      <c r="N29" s="1" t="str">
        <f t="shared" ca="1" si="9"/>
        <v>ON</v>
      </c>
      <c r="O29" s="1" t="str">
        <f t="shared" ca="1" si="10"/>
        <v>ON</v>
      </c>
      <c r="P29" s="1" t="str">
        <f t="shared" ca="1" si="11"/>
        <v>ON</v>
      </c>
      <c r="Q29" s="1"/>
      <c r="R29" s="20" t="str">
        <f t="shared" ca="1" si="12"/>
        <v>ON</v>
      </c>
      <c r="S29" s="20" t="str">
        <f t="shared" ca="1" si="12"/>
        <v>ON</v>
      </c>
      <c r="T29" s="1" t="str">
        <f t="shared" ca="1" si="13"/>
        <v>ON</v>
      </c>
      <c r="U29" s="1" t="str">
        <f t="shared" ca="1" si="14"/>
        <v>ON</v>
      </c>
      <c r="V29" s="1" t="str">
        <f t="shared" ca="1" si="15"/>
        <v>ON</v>
      </c>
      <c r="W29" s="1" t="str">
        <f t="shared" ca="1" si="16"/>
        <v>ON</v>
      </c>
      <c r="X29" s="1"/>
      <c r="Y29" s="20" t="str">
        <f t="shared" ca="1" si="17"/>
        <v>ON</v>
      </c>
      <c r="Z29" s="20" t="str">
        <f t="shared" ca="1" si="17"/>
        <v>ON</v>
      </c>
      <c r="AA29" s="1" t="str">
        <f t="shared" ca="1" si="18"/>
        <v>OFF</v>
      </c>
      <c r="AB29" s="1" t="str">
        <f t="shared" ca="1" si="19"/>
        <v>ON</v>
      </c>
      <c r="AC29" s="1" t="str">
        <f t="shared" ca="1" si="20"/>
        <v>ON</v>
      </c>
      <c r="AD29" s="1" t="str">
        <f t="shared" ca="1" si="21"/>
        <v>ON</v>
      </c>
      <c r="AE29" s="1"/>
      <c r="AF29" s="20" t="str">
        <f t="shared" ca="1" si="22"/>
        <v>ON</v>
      </c>
      <c r="AG29" s="20" t="str">
        <f t="shared" ca="1" si="22"/>
        <v>ON</v>
      </c>
      <c r="AH29" s="1" t="str">
        <f t="shared" ca="1" si="23"/>
        <v>ON</v>
      </c>
      <c r="AI29" s="1" t="str">
        <f t="shared" ca="1" si="24"/>
        <v>ON</v>
      </c>
      <c r="AJ29" s="1" t="str">
        <f t="shared" ca="1" si="25"/>
        <v>ON</v>
      </c>
      <c r="AK29" s="1" t="str">
        <f t="shared" ca="1" si="26"/>
        <v>ON</v>
      </c>
      <c r="AL29" s="1"/>
      <c r="AM29" s="20" t="str">
        <f t="shared" si="27"/>
        <v>ON</v>
      </c>
      <c r="AN29" s="20" t="str">
        <f t="shared" si="27"/>
        <v>ON</v>
      </c>
      <c r="AO29" s="20" t="str">
        <f t="shared" si="28"/>
        <v>ON</v>
      </c>
    </row>
    <row r="30" spans="1:41">
      <c r="A30" t="str">
        <f t="shared" ca="1" si="2"/>
        <v>Ondo</v>
      </c>
      <c r="B30" t="str">
        <f t="shared" ca="1" si="3"/>
        <v>D</v>
      </c>
      <c r="C30" t="str">
        <f t="shared" ca="1" si="4"/>
        <v>B1</v>
      </c>
      <c r="D30" s="8" t="s">
        <v>7</v>
      </c>
      <c r="E30">
        <f t="shared" ca="1" si="5"/>
        <v>25</v>
      </c>
      <c r="F30">
        <f t="shared" ca="1" si="6"/>
        <v>2</v>
      </c>
      <c r="G30" t="str">
        <v>B</v>
      </c>
      <c r="H30" t="str">
        <v>B</v>
      </c>
      <c r="I30" t="str">
        <f ca="1">IF($A30="","",IF(COUNTA($R$2:$W$2)=6,"WK "&amp;_xlfn.ISOWEEKNUM($R$2)))</f>
        <v>WK 19</v>
      </c>
      <c r="J30" t="str">
        <f ca="1">IF($A30="","",IF(COUNTA($AF$2:$AK$2)=6,"WK "&amp;_xlfn.ISOWEEKNUM($AF$2)))</f>
        <v>WK 21</v>
      </c>
      <c r="K30" s="20" t="str">
        <f t="shared" ca="1" si="7"/>
        <v>ON</v>
      </c>
      <c r="L30" s="20" t="str">
        <f t="shared" ca="1" si="7"/>
        <v>ON</v>
      </c>
      <c r="M30" s="1" t="str">
        <f t="shared" ca="1" si="8"/>
        <v>ON</v>
      </c>
      <c r="N30" s="1" t="str">
        <f t="shared" ca="1" si="9"/>
        <v>ON</v>
      </c>
      <c r="O30" s="1" t="str">
        <f t="shared" ca="1" si="10"/>
        <v>ON</v>
      </c>
      <c r="P30" s="1" t="str">
        <f t="shared" ca="1" si="11"/>
        <v>ON</v>
      </c>
      <c r="Q30" s="1"/>
      <c r="R30" s="20" t="str">
        <f t="shared" ca="1" si="12"/>
        <v>ON</v>
      </c>
      <c r="S30" s="20" t="str">
        <f t="shared" ca="1" si="12"/>
        <v>ON</v>
      </c>
      <c r="T30" s="1" t="str">
        <f t="shared" ca="1" si="13"/>
        <v>ON</v>
      </c>
      <c r="U30" s="1" t="str">
        <f t="shared" ca="1" si="14"/>
        <v>OFF</v>
      </c>
      <c r="V30" s="1" t="str">
        <f t="shared" ca="1" si="15"/>
        <v>ON</v>
      </c>
      <c r="W30" s="1" t="str">
        <f t="shared" ca="1" si="16"/>
        <v>ON</v>
      </c>
      <c r="X30" s="1"/>
      <c r="Y30" s="20" t="str">
        <f t="shared" ca="1" si="17"/>
        <v>ON</v>
      </c>
      <c r="Z30" s="20" t="str">
        <f t="shared" ca="1" si="17"/>
        <v>ON</v>
      </c>
      <c r="AA30" s="1" t="str">
        <f t="shared" ca="1" si="18"/>
        <v>ON</v>
      </c>
      <c r="AB30" s="1" t="str">
        <f t="shared" ca="1" si="19"/>
        <v>ON</v>
      </c>
      <c r="AC30" s="1" t="str">
        <f t="shared" ca="1" si="20"/>
        <v>ON</v>
      </c>
      <c r="AD30" s="1" t="str">
        <f t="shared" ca="1" si="21"/>
        <v>ON</v>
      </c>
      <c r="AE30" s="1"/>
      <c r="AF30" s="20" t="str">
        <f t="shared" ca="1" si="22"/>
        <v>ON</v>
      </c>
      <c r="AG30" s="20" t="str">
        <f t="shared" ca="1" si="22"/>
        <v>ON</v>
      </c>
      <c r="AH30" s="1" t="str">
        <f t="shared" ca="1" si="23"/>
        <v>ON</v>
      </c>
      <c r="AI30" s="1" t="str">
        <f t="shared" ca="1" si="24"/>
        <v>OFF</v>
      </c>
      <c r="AJ30" s="1" t="str">
        <f t="shared" ca="1" si="25"/>
        <v>ON</v>
      </c>
      <c r="AK30" s="1" t="str">
        <f t="shared" ca="1" si="26"/>
        <v>ON</v>
      </c>
      <c r="AL30" s="1"/>
      <c r="AM30" s="20" t="str">
        <f t="shared" si="27"/>
        <v>ON</v>
      </c>
      <c r="AN30" s="20" t="str">
        <f t="shared" si="27"/>
        <v>ON</v>
      </c>
      <c r="AO30" s="20" t="str">
        <f t="shared" si="28"/>
        <v>ON</v>
      </c>
    </row>
    <row r="31" spans="1:41">
      <c r="A31" t="str">
        <f t="shared" ca="1" si="2"/>
        <v>Lagos</v>
      </c>
      <c r="B31" t="str">
        <f t="shared" ca="1" si="3"/>
        <v>B</v>
      </c>
      <c r="C31" t="str">
        <f t="shared" ca="1" si="4"/>
        <v>E1</v>
      </c>
      <c r="D31" s="8" t="s">
        <v>7</v>
      </c>
      <c r="E31">
        <f t="shared" ca="1" si="5"/>
        <v>25</v>
      </c>
      <c r="F31">
        <f t="shared" ca="1" si="6"/>
        <v>2</v>
      </c>
      <c r="G31" t="str">
        <v>C</v>
      </c>
      <c r="H31" t="str">
        <v>C</v>
      </c>
      <c r="I31" t="str">
        <f ca="1">IF($A31="","",IF(COUNTA($K$2:$P$2)=6,"WK "&amp;_xlfn.ISOWEEKNUM($K$2)))</f>
        <v>WK 18</v>
      </c>
      <c r="J31" t="str">
        <f ca="1">IF($A31="","",IF(COUNTA($Y$2:$AD$2)=6,"WK "&amp;_xlfn.ISOWEEKNUM($Y$2)))</f>
        <v>WK 20</v>
      </c>
      <c r="K31" s="20" t="str">
        <f t="shared" ca="1" si="7"/>
        <v>ON</v>
      </c>
      <c r="L31" s="20" t="str">
        <f t="shared" ca="1" si="7"/>
        <v>ON</v>
      </c>
      <c r="M31" s="1" t="str">
        <f t="shared" ca="1" si="8"/>
        <v>ON</v>
      </c>
      <c r="N31" s="1" t="str">
        <f t="shared" ca="1" si="9"/>
        <v>ON</v>
      </c>
      <c r="O31" s="1" t="str">
        <f t="shared" ca="1" si="10"/>
        <v>OFF</v>
      </c>
      <c r="P31" s="1" t="str">
        <f t="shared" ca="1" si="11"/>
        <v>ON</v>
      </c>
      <c r="Q31" s="1"/>
      <c r="R31" s="20" t="str">
        <f t="shared" ca="1" si="12"/>
        <v>ON</v>
      </c>
      <c r="S31" s="20" t="str">
        <f t="shared" ca="1" si="12"/>
        <v>ON</v>
      </c>
      <c r="T31" s="1" t="str">
        <f t="shared" ca="1" si="13"/>
        <v>ON</v>
      </c>
      <c r="U31" s="1" t="str">
        <f t="shared" ca="1" si="14"/>
        <v>ON</v>
      </c>
      <c r="V31" s="1" t="str">
        <f t="shared" ca="1" si="15"/>
        <v>ON</v>
      </c>
      <c r="W31" s="1" t="str">
        <f t="shared" ca="1" si="16"/>
        <v>ON</v>
      </c>
      <c r="X31" s="1"/>
      <c r="Y31" s="20" t="str">
        <f t="shared" ca="1" si="17"/>
        <v>ON</v>
      </c>
      <c r="Z31" s="20" t="str">
        <f t="shared" ca="1" si="17"/>
        <v>ON</v>
      </c>
      <c r="AA31" s="1" t="str">
        <f t="shared" ca="1" si="18"/>
        <v>ON</v>
      </c>
      <c r="AB31" s="1" t="str">
        <f t="shared" ca="1" si="19"/>
        <v>ON</v>
      </c>
      <c r="AC31" s="1" t="str">
        <f t="shared" ca="1" si="20"/>
        <v>OFF</v>
      </c>
      <c r="AD31" s="1" t="str">
        <f t="shared" ca="1" si="21"/>
        <v>ON</v>
      </c>
      <c r="AE31" s="1"/>
      <c r="AF31" s="20" t="str">
        <f t="shared" ca="1" si="22"/>
        <v>ON</v>
      </c>
      <c r="AG31" s="20" t="str">
        <f t="shared" ca="1" si="22"/>
        <v>ON</v>
      </c>
      <c r="AH31" s="1" t="str">
        <f t="shared" ca="1" si="23"/>
        <v>ON</v>
      </c>
      <c r="AI31" s="1" t="str">
        <f t="shared" ca="1" si="24"/>
        <v>ON</v>
      </c>
      <c r="AJ31" s="1" t="str">
        <f t="shared" ca="1" si="25"/>
        <v>ON</v>
      </c>
      <c r="AK31" s="1" t="str">
        <f t="shared" ca="1" si="26"/>
        <v>ON</v>
      </c>
      <c r="AL31" s="1"/>
      <c r="AM31" s="20" t="str">
        <f t="shared" si="27"/>
        <v>ON</v>
      </c>
      <c r="AN31" s="20" t="str">
        <f t="shared" si="27"/>
        <v>ON</v>
      </c>
      <c r="AO31" s="20" t="str">
        <f t="shared" si="28"/>
        <v>ON</v>
      </c>
    </row>
    <row r="32" spans="1:41">
      <c r="A32" t="str">
        <f t="shared" ca="1" si="2"/>
        <v>Ogun</v>
      </c>
      <c r="B32" t="str">
        <f t="shared" ca="1" si="3"/>
        <v>B</v>
      </c>
      <c r="C32" t="str">
        <f t="shared" ca="1" si="4"/>
        <v>B1</v>
      </c>
      <c r="D32" s="8" t="s">
        <v>7</v>
      </c>
      <c r="E32">
        <f t="shared" ca="1" si="5"/>
        <v>25</v>
      </c>
      <c r="F32">
        <f t="shared" ca="1" si="6"/>
        <v>2</v>
      </c>
      <c r="G32" t="str">
        <v>D</v>
      </c>
      <c r="H32" t="str">
        <v>D</v>
      </c>
      <c r="I32" t="str">
        <f ca="1">IF($A32="","",IF(COUNTA($R$2:$W$2)=6,"WK "&amp;_xlfn.ISOWEEKNUM($R$2)))</f>
        <v>WK 19</v>
      </c>
      <c r="J32" t="str">
        <f ca="1">IF($A32="","",IF(COUNTA($AF$2:$AK$2)=6,"WK "&amp;_xlfn.ISOWEEKNUM($AF$2)))</f>
        <v>WK 21</v>
      </c>
      <c r="K32" s="20" t="str">
        <f t="shared" ca="1" si="7"/>
        <v>ON</v>
      </c>
      <c r="L32" s="20" t="str">
        <f t="shared" ca="1" si="7"/>
        <v>ON</v>
      </c>
      <c r="M32" s="1" t="str">
        <f t="shared" ca="1" si="8"/>
        <v>ON</v>
      </c>
      <c r="N32" s="1" t="str">
        <f t="shared" ca="1" si="9"/>
        <v>ON</v>
      </c>
      <c r="O32" s="1" t="str">
        <f t="shared" ca="1" si="10"/>
        <v>ON</v>
      </c>
      <c r="P32" s="1" t="str">
        <f t="shared" ca="1" si="11"/>
        <v>ON</v>
      </c>
      <c r="Q32" s="1"/>
      <c r="R32" s="20" t="str">
        <f t="shared" ca="1" si="12"/>
        <v>ON</v>
      </c>
      <c r="S32" s="20" t="str">
        <f t="shared" ca="1" si="12"/>
        <v>ON</v>
      </c>
      <c r="T32" s="1" t="str">
        <f t="shared" ca="1" si="13"/>
        <v>ON</v>
      </c>
      <c r="U32" s="1" t="str">
        <f t="shared" ca="1" si="14"/>
        <v>ON</v>
      </c>
      <c r="V32" s="1" t="str">
        <f t="shared" ca="1" si="15"/>
        <v>ON</v>
      </c>
      <c r="W32" s="1" t="str">
        <f t="shared" ca="1" si="16"/>
        <v>OFF</v>
      </c>
      <c r="X32" s="1"/>
      <c r="Y32" s="20" t="str">
        <f t="shared" ca="1" si="17"/>
        <v>ON</v>
      </c>
      <c r="Z32" s="20" t="str">
        <f t="shared" ca="1" si="17"/>
        <v>ON</v>
      </c>
      <c r="AA32" s="1" t="str">
        <f t="shared" ca="1" si="18"/>
        <v>ON</v>
      </c>
      <c r="AB32" s="1" t="str">
        <f t="shared" ca="1" si="19"/>
        <v>ON</v>
      </c>
      <c r="AC32" s="1" t="str">
        <f t="shared" ca="1" si="20"/>
        <v>ON</v>
      </c>
      <c r="AD32" s="1" t="str">
        <f t="shared" ca="1" si="21"/>
        <v>ON</v>
      </c>
      <c r="AE32" s="1"/>
      <c r="AF32" s="20" t="str">
        <f t="shared" ca="1" si="22"/>
        <v>ON</v>
      </c>
      <c r="AG32" s="20" t="str">
        <f t="shared" ca="1" si="22"/>
        <v>ON</v>
      </c>
      <c r="AH32" s="1" t="str">
        <f t="shared" ca="1" si="23"/>
        <v>ON</v>
      </c>
      <c r="AI32" s="1" t="str">
        <f t="shared" ca="1" si="24"/>
        <v>ON</v>
      </c>
      <c r="AJ32" s="1" t="str">
        <f t="shared" ca="1" si="25"/>
        <v>ON</v>
      </c>
      <c r="AK32" s="1" t="str">
        <f t="shared" ca="1" si="26"/>
        <v>OFF</v>
      </c>
      <c r="AL32" s="1"/>
      <c r="AM32" s="20" t="str">
        <f t="shared" si="27"/>
        <v>ON</v>
      </c>
      <c r="AN32" s="20" t="str">
        <f t="shared" si="27"/>
        <v>ON</v>
      </c>
      <c r="AO32" s="20" t="str">
        <f t="shared" si="28"/>
        <v>ON</v>
      </c>
    </row>
    <row r="33" spans="1:41">
      <c r="A33" t="str">
        <f t="shared" ca="1" si="2"/>
        <v>Ogun</v>
      </c>
      <c r="B33" t="str">
        <f t="shared" ca="1" si="3"/>
        <v>C</v>
      </c>
      <c r="C33" t="str">
        <f t="shared" ca="1" si="4"/>
        <v>D1</v>
      </c>
      <c r="D33" s="8" t="s">
        <v>7</v>
      </c>
      <c r="E33">
        <f t="shared" ca="1" si="5"/>
        <v>25</v>
      </c>
      <c r="F33">
        <f t="shared" ca="1" si="6"/>
        <v>2</v>
      </c>
      <c r="G33" t="str" cm="1">
        <f t="array" ref="G33:G36">IF($G$5:$G$8={"A";"B";"C";"D"},{"D";"C";"B";"A"},{"A";"B";"C";"D"})</f>
        <v>D</v>
      </c>
      <c r="H33" t="str" cm="1">
        <f t="array" ref="H33:H36">IF($H$5:$H$8={"A";"B";"C";"D"},{"D";"C";"B";"A"},{"A";"B";"C";"D"})</f>
        <v>D</v>
      </c>
      <c r="I33" t="str">
        <f ca="1">IF($A33="","",IF(COUNTA($K$2:$P$2)=6,"WK "&amp;_xlfn.ISOWEEKNUM($K$2)))</f>
        <v>WK 18</v>
      </c>
      <c r="J33" t="str">
        <f ca="1">IF($A33="","",IF(COUNTA($Y$2:$AD$2)=6,"WK "&amp;_xlfn.ISOWEEKNUM($Y$2)))</f>
        <v>WK 20</v>
      </c>
      <c r="K33" s="20" t="str">
        <f t="shared" ca="1" si="7"/>
        <v>ON</v>
      </c>
      <c r="L33" s="20" t="str">
        <f t="shared" ca="1" si="7"/>
        <v>ON</v>
      </c>
      <c r="M33" s="1" t="str">
        <f t="shared" ca="1" si="8"/>
        <v>ON</v>
      </c>
      <c r="N33" s="1" t="str">
        <f t="shared" ca="1" si="9"/>
        <v>ON</v>
      </c>
      <c r="O33" s="1" t="str">
        <f t="shared" ca="1" si="10"/>
        <v>ON</v>
      </c>
      <c r="P33" s="1" t="str">
        <f t="shared" ca="1" si="11"/>
        <v>OFF</v>
      </c>
      <c r="Q33" s="1"/>
      <c r="R33" s="20" t="str">
        <f t="shared" ca="1" si="12"/>
        <v>ON</v>
      </c>
      <c r="S33" s="20" t="str">
        <f t="shared" ca="1" si="12"/>
        <v>ON</v>
      </c>
      <c r="T33" s="1" t="str">
        <f t="shared" ca="1" si="13"/>
        <v>ON</v>
      </c>
      <c r="U33" s="1" t="str">
        <f t="shared" ca="1" si="14"/>
        <v>ON</v>
      </c>
      <c r="V33" s="1" t="str">
        <f t="shared" ca="1" si="15"/>
        <v>ON</v>
      </c>
      <c r="W33" s="1" t="str">
        <f t="shared" ca="1" si="16"/>
        <v>ON</v>
      </c>
      <c r="X33" s="1"/>
      <c r="Y33" s="20" t="str">
        <f t="shared" ca="1" si="17"/>
        <v>ON</v>
      </c>
      <c r="Z33" s="20" t="str">
        <f t="shared" ca="1" si="17"/>
        <v>ON</v>
      </c>
      <c r="AA33" s="1" t="str">
        <f t="shared" ca="1" si="18"/>
        <v>ON</v>
      </c>
      <c r="AB33" s="1" t="str">
        <f t="shared" ca="1" si="19"/>
        <v>ON</v>
      </c>
      <c r="AC33" s="1" t="str">
        <f t="shared" ca="1" si="20"/>
        <v>ON</v>
      </c>
      <c r="AD33" s="1" t="str">
        <f t="shared" ca="1" si="21"/>
        <v>OFF</v>
      </c>
      <c r="AE33" s="1"/>
      <c r="AF33" s="20" t="str">
        <f t="shared" ca="1" si="22"/>
        <v>ON</v>
      </c>
      <c r="AG33" s="20" t="str">
        <f t="shared" ca="1" si="22"/>
        <v>ON</v>
      </c>
      <c r="AH33" s="1" t="str">
        <f t="shared" ca="1" si="23"/>
        <v>ON</v>
      </c>
      <c r="AI33" s="1" t="str">
        <f t="shared" ca="1" si="24"/>
        <v>ON</v>
      </c>
      <c r="AJ33" s="1" t="str">
        <f t="shared" ca="1" si="25"/>
        <v>ON</v>
      </c>
      <c r="AK33" s="1" t="str">
        <f t="shared" ca="1" si="26"/>
        <v>ON</v>
      </c>
      <c r="AL33" s="1"/>
      <c r="AM33" s="20" t="str">
        <f t="shared" si="27"/>
        <v>ON</v>
      </c>
      <c r="AN33" s="20" t="str">
        <f t="shared" si="27"/>
        <v>ON</v>
      </c>
      <c r="AO33" s="20" t="str">
        <f t="shared" si="28"/>
        <v>ON</v>
      </c>
    </row>
    <row r="34" spans="1:41">
      <c r="A34" t="str">
        <f t="shared" ca="1" si="2"/>
        <v>Ogun</v>
      </c>
      <c r="B34" t="str">
        <f t="shared" ca="1" si="3"/>
        <v>A</v>
      </c>
      <c r="C34" t="str">
        <f t="shared" ca="1" si="4"/>
        <v>E1</v>
      </c>
      <c r="D34" s="8" t="s">
        <v>7</v>
      </c>
      <c r="E34">
        <f t="shared" ca="1" si="5"/>
        <v>25</v>
      </c>
      <c r="F34">
        <f t="shared" ca="1" si="6"/>
        <v>2</v>
      </c>
      <c r="G34" t="str">
        <v>C</v>
      </c>
      <c r="H34" t="str">
        <v>C</v>
      </c>
      <c r="I34" t="str">
        <f ca="1">IF($A34="","",IF(COUNTA($R$2:$W$2)=6,"WK "&amp;_xlfn.ISOWEEKNUM($R$2)))</f>
        <v>WK 19</v>
      </c>
      <c r="J34" t="str">
        <f ca="1">IF($A34="","",IF(COUNTA($AF$2:$AK$2)=6,"WK "&amp;_xlfn.ISOWEEKNUM($AF$2)))</f>
        <v>WK 21</v>
      </c>
      <c r="K34" s="20" t="str">
        <f t="shared" ca="1" si="7"/>
        <v>ON</v>
      </c>
      <c r="L34" s="20" t="str">
        <f t="shared" ca="1" si="7"/>
        <v>ON</v>
      </c>
      <c r="M34" s="1" t="str">
        <f t="shared" ca="1" si="8"/>
        <v>ON</v>
      </c>
      <c r="N34" s="1" t="str">
        <f t="shared" ca="1" si="9"/>
        <v>ON</v>
      </c>
      <c r="O34" s="1" t="str">
        <f t="shared" ca="1" si="10"/>
        <v>ON</v>
      </c>
      <c r="P34" s="1" t="str">
        <f t="shared" ca="1" si="11"/>
        <v>ON</v>
      </c>
      <c r="Q34" s="1"/>
      <c r="R34" s="20" t="str">
        <f t="shared" ca="1" si="12"/>
        <v>ON</v>
      </c>
      <c r="S34" s="20" t="str">
        <f t="shared" ca="1" si="12"/>
        <v>ON</v>
      </c>
      <c r="T34" s="1" t="str">
        <f t="shared" ca="1" si="13"/>
        <v>ON</v>
      </c>
      <c r="U34" s="1" t="str">
        <f t="shared" ca="1" si="14"/>
        <v>ON</v>
      </c>
      <c r="V34" s="1" t="str">
        <f t="shared" ca="1" si="15"/>
        <v>OFF</v>
      </c>
      <c r="W34" s="1" t="str">
        <f t="shared" ca="1" si="16"/>
        <v>ON</v>
      </c>
      <c r="X34" s="1"/>
      <c r="Y34" s="20" t="str">
        <f t="shared" ca="1" si="17"/>
        <v>ON</v>
      </c>
      <c r="Z34" s="20" t="str">
        <f t="shared" ca="1" si="17"/>
        <v>ON</v>
      </c>
      <c r="AA34" s="1" t="str">
        <f t="shared" ca="1" si="18"/>
        <v>ON</v>
      </c>
      <c r="AB34" s="1" t="str">
        <f t="shared" ca="1" si="19"/>
        <v>ON</v>
      </c>
      <c r="AC34" s="1" t="str">
        <f t="shared" ca="1" si="20"/>
        <v>ON</v>
      </c>
      <c r="AD34" s="1" t="str">
        <f t="shared" ca="1" si="21"/>
        <v>ON</v>
      </c>
      <c r="AE34" s="1"/>
      <c r="AF34" s="20" t="str">
        <f t="shared" ca="1" si="22"/>
        <v>ON</v>
      </c>
      <c r="AG34" s="20" t="str">
        <f t="shared" ca="1" si="22"/>
        <v>ON</v>
      </c>
      <c r="AH34" s="1" t="str">
        <f t="shared" ca="1" si="23"/>
        <v>ON</v>
      </c>
      <c r="AI34" s="1" t="str">
        <f t="shared" ca="1" si="24"/>
        <v>ON</v>
      </c>
      <c r="AJ34" s="1" t="str">
        <f t="shared" ca="1" si="25"/>
        <v>OFF</v>
      </c>
      <c r="AK34" s="1" t="str">
        <f t="shared" ca="1" si="26"/>
        <v>ON</v>
      </c>
      <c r="AL34" s="1"/>
      <c r="AM34" s="20" t="str">
        <f t="shared" si="27"/>
        <v>ON</v>
      </c>
      <c r="AN34" s="20" t="str">
        <f t="shared" si="27"/>
        <v>ON</v>
      </c>
      <c r="AO34" s="20" t="str">
        <f t="shared" si="28"/>
        <v>ON</v>
      </c>
    </row>
    <row r="35" spans="1:41">
      <c r="A35" t="str">
        <f t="shared" ca="1" si="2"/>
        <v>Ekiti</v>
      </c>
      <c r="B35" t="str">
        <f t="shared" ca="1" si="3"/>
        <v>D</v>
      </c>
      <c r="C35" t="str">
        <f t="shared" ca="1" si="4"/>
        <v>C1</v>
      </c>
      <c r="D35" s="8" t="s">
        <v>7</v>
      </c>
      <c r="E35">
        <f t="shared" ca="1" si="5"/>
        <v>25</v>
      </c>
      <c r="F35">
        <f t="shared" ca="1" si="6"/>
        <v>2</v>
      </c>
      <c r="G35" t="str">
        <v>B</v>
      </c>
      <c r="H35" t="str">
        <v>B</v>
      </c>
      <c r="I35" t="str">
        <f ca="1">IF($A35="","",IF(COUNTA($K$2:$P$2)=6,"WK "&amp;_xlfn.ISOWEEKNUM($K$2)))</f>
        <v>WK 18</v>
      </c>
      <c r="J35" t="str">
        <f ca="1">IF($A35="","",IF(COUNTA($Y$2:$AD$2)=6,"WK "&amp;_xlfn.ISOWEEKNUM($Y$2)))</f>
        <v>WK 20</v>
      </c>
      <c r="K35" s="20" t="str">
        <f t="shared" ca="1" si="7"/>
        <v>ON</v>
      </c>
      <c r="L35" s="20" t="str">
        <f t="shared" ca="1" si="7"/>
        <v>ON</v>
      </c>
      <c r="M35" s="1" t="str">
        <f t="shared" ca="1" si="8"/>
        <v>ON</v>
      </c>
      <c r="N35" s="1" t="str">
        <f t="shared" ca="1" si="9"/>
        <v>OFF</v>
      </c>
      <c r="O35" s="1" t="str">
        <f t="shared" ca="1" si="10"/>
        <v>ON</v>
      </c>
      <c r="P35" s="1" t="str">
        <f t="shared" ca="1" si="11"/>
        <v>ON</v>
      </c>
      <c r="Q35" s="1"/>
      <c r="R35" s="20" t="str">
        <f t="shared" ca="1" si="12"/>
        <v>ON</v>
      </c>
      <c r="S35" s="20" t="str">
        <f t="shared" ca="1" si="12"/>
        <v>ON</v>
      </c>
      <c r="T35" s="1" t="str">
        <f t="shared" ca="1" si="13"/>
        <v>ON</v>
      </c>
      <c r="U35" s="1" t="str">
        <f t="shared" ca="1" si="14"/>
        <v>ON</v>
      </c>
      <c r="V35" s="1" t="str">
        <f t="shared" ca="1" si="15"/>
        <v>ON</v>
      </c>
      <c r="W35" s="1" t="str">
        <f t="shared" ca="1" si="16"/>
        <v>ON</v>
      </c>
      <c r="X35" s="1"/>
      <c r="Y35" s="20" t="str">
        <f t="shared" ca="1" si="17"/>
        <v>ON</v>
      </c>
      <c r="Z35" s="20" t="str">
        <f t="shared" ca="1" si="17"/>
        <v>ON</v>
      </c>
      <c r="AA35" s="1" t="str">
        <f t="shared" ca="1" si="18"/>
        <v>ON</v>
      </c>
      <c r="AB35" s="1" t="str">
        <f t="shared" ca="1" si="19"/>
        <v>OFF</v>
      </c>
      <c r="AC35" s="1" t="str">
        <f t="shared" ca="1" si="20"/>
        <v>ON</v>
      </c>
      <c r="AD35" s="1" t="str">
        <f t="shared" ca="1" si="21"/>
        <v>ON</v>
      </c>
      <c r="AE35" s="1"/>
      <c r="AF35" s="20" t="str">
        <f t="shared" ca="1" si="22"/>
        <v>ON</v>
      </c>
      <c r="AG35" s="20" t="str">
        <f t="shared" ca="1" si="22"/>
        <v>ON</v>
      </c>
      <c r="AH35" s="1" t="str">
        <f t="shared" ca="1" si="23"/>
        <v>ON</v>
      </c>
      <c r="AI35" s="1" t="str">
        <f t="shared" ca="1" si="24"/>
        <v>ON</v>
      </c>
      <c r="AJ35" s="1" t="str">
        <f t="shared" ca="1" si="25"/>
        <v>ON</v>
      </c>
      <c r="AK35" s="1" t="str">
        <f t="shared" ca="1" si="26"/>
        <v>ON</v>
      </c>
      <c r="AL35" s="1"/>
      <c r="AM35" s="20" t="str">
        <f t="shared" si="27"/>
        <v>ON</v>
      </c>
      <c r="AN35" s="20" t="str">
        <f t="shared" si="27"/>
        <v>ON</v>
      </c>
      <c r="AO35" s="20" t="str">
        <f t="shared" si="28"/>
        <v>ON</v>
      </c>
    </row>
    <row r="36" spans="1:41">
      <c r="A36" t="str">
        <f t="shared" ca="1" si="2"/>
        <v>Ogun</v>
      </c>
      <c r="B36" t="str">
        <f t="shared" ca="1" si="3"/>
        <v>B</v>
      </c>
      <c r="C36" t="str">
        <f t="shared" ca="1" si="4"/>
        <v>E1</v>
      </c>
      <c r="D36" s="8" t="s">
        <v>4</v>
      </c>
      <c r="E36">
        <f t="shared" ca="1" si="5"/>
        <v>25</v>
      </c>
      <c r="F36">
        <f t="shared" ca="1" si="6"/>
        <v>2</v>
      </c>
      <c r="G36" t="str">
        <v>A</v>
      </c>
      <c r="H36" t="str">
        <v>A</v>
      </c>
      <c r="I36" t="str">
        <f ca="1">IF($A36="","",IF(COUNTA($R$2:$W$2)=6,"WK "&amp;_xlfn.ISOWEEKNUM($R$2)))</f>
        <v>WK 19</v>
      </c>
      <c r="J36" t="str">
        <f ca="1">IF($A36="","",IF(COUNTA($AF$2:$AK$2)=6,"WK "&amp;_xlfn.ISOWEEKNUM($AF$2)))</f>
        <v>WK 21</v>
      </c>
      <c r="K36" s="20" t="str">
        <f t="shared" ca="1" si="7"/>
        <v>ON</v>
      </c>
      <c r="L36" s="20" t="str">
        <f t="shared" ca="1" si="7"/>
        <v>ON</v>
      </c>
      <c r="M36" s="1" t="str">
        <f t="shared" ca="1" si="8"/>
        <v>ON</v>
      </c>
      <c r="N36" s="1" t="str">
        <f t="shared" ca="1" si="9"/>
        <v>ON</v>
      </c>
      <c r="O36" s="1" t="str">
        <f t="shared" ca="1" si="10"/>
        <v>ON</v>
      </c>
      <c r="P36" s="1" t="str">
        <f t="shared" ca="1" si="11"/>
        <v>ON</v>
      </c>
      <c r="Q36" s="1"/>
      <c r="R36" s="20" t="str">
        <f t="shared" ca="1" si="12"/>
        <v>ON</v>
      </c>
      <c r="S36" s="20" t="str">
        <f t="shared" ca="1" si="12"/>
        <v>ON</v>
      </c>
      <c r="T36" s="1" t="str">
        <f t="shared" ca="1" si="13"/>
        <v>OFF</v>
      </c>
      <c r="U36" s="1" t="str">
        <f t="shared" ca="1" si="14"/>
        <v>ON</v>
      </c>
      <c r="V36" s="1" t="str">
        <f t="shared" ca="1" si="15"/>
        <v>ON</v>
      </c>
      <c r="W36" s="1" t="str">
        <f t="shared" ca="1" si="16"/>
        <v>ON</v>
      </c>
      <c r="X36" s="1"/>
      <c r="Y36" s="20" t="str">
        <f t="shared" ca="1" si="17"/>
        <v>ON</v>
      </c>
      <c r="Z36" s="20" t="str">
        <f t="shared" ca="1" si="17"/>
        <v>ON</v>
      </c>
      <c r="AA36" s="1" t="str">
        <f t="shared" ca="1" si="18"/>
        <v>ON</v>
      </c>
      <c r="AB36" s="1" t="str">
        <f t="shared" ca="1" si="19"/>
        <v>ON</v>
      </c>
      <c r="AC36" s="1" t="str">
        <f t="shared" ca="1" si="20"/>
        <v>ON</v>
      </c>
      <c r="AD36" s="1" t="str">
        <f t="shared" ca="1" si="21"/>
        <v>ON</v>
      </c>
      <c r="AE36" s="1"/>
      <c r="AF36" s="20" t="str">
        <f t="shared" ca="1" si="22"/>
        <v>ON</v>
      </c>
      <c r="AG36" s="20" t="str">
        <f t="shared" ca="1" si="22"/>
        <v>ON</v>
      </c>
      <c r="AH36" s="1" t="str">
        <f t="shared" ca="1" si="23"/>
        <v>OFF</v>
      </c>
      <c r="AI36" s="1" t="str">
        <f t="shared" ca="1" si="24"/>
        <v>ON</v>
      </c>
      <c r="AJ36" s="1" t="str">
        <f t="shared" ca="1" si="25"/>
        <v>ON</v>
      </c>
      <c r="AK36" s="1" t="str">
        <f t="shared" ca="1" si="26"/>
        <v>ON</v>
      </c>
      <c r="AL36" s="1"/>
      <c r="AM36" s="20" t="str">
        <f t="shared" si="27"/>
        <v>ON</v>
      </c>
      <c r="AN36" s="20" t="str">
        <f t="shared" si="27"/>
        <v>ON</v>
      </c>
      <c r="AO36" s="20" t="str">
        <f t="shared" si="28"/>
        <v>ON</v>
      </c>
    </row>
    <row r="37" spans="1:41">
      <c r="A37" t="str">
        <f t="shared" ca="1" si="2"/>
        <v>Oyo</v>
      </c>
      <c r="B37" t="str">
        <f t="shared" ca="1" si="3"/>
        <v>E</v>
      </c>
      <c r="C37" t="str">
        <f t="shared" ca="1" si="4"/>
        <v>E1</v>
      </c>
      <c r="D37" s="8" t="s">
        <v>4</v>
      </c>
      <c r="E37">
        <f t="shared" ca="1" si="5"/>
        <v>25</v>
      </c>
      <c r="F37">
        <f t="shared" ca="1" si="6"/>
        <v>2</v>
      </c>
      <c r="G37" t="str" cm="1">
        <f t="array" ref="G37:G40">Groups!$B$2:$B$5</f>
        <v>A</v>
      </c>
      <c r="H37" t="str" cm="1">
        <f t="array" ref="H37:H40">Groups!$B$2:$B$5</f>
        <v>A</v>
      </c>
      <c r="I37" t="str">
        <f ca="1">IF($A37="","",IF(COUNTA($K$2:$P$2)=6,"WK "&amp;_xlfn.ISOWEEKNUM($K$2)))</f>
        <v>WK 18</v>
      </c>
      <c r="J37" t="str">
        <f ca="1">IF($A37="","",IF(COUNTA($Y$2:$AD$2)=6,"WK "&amp;_xlfn.ISOWEEKNUM($Y$2)))</f>
        <v>WK 20</v>
      </c>
      <c r="K37" s="20" t="str">
        <f t="shared" ca="1" si="7"/>
        <v>ON</v>
      </c>
      <c r="L37" s="20" t="str">
        <f t="shared" ca="1" si="7"/>
        <v>ON</v>
      </c>
      <c r="M37" s="1" t="str">
        <f t="shared" ca="1" si="8"/>
        <v>OFF</v>
      </c>
      <c r="N37" s="1" t="str">
        <f t="shared" ca="1" si="9"/>
        <v>ON</v>
      </c>
      <c r="O37" s="1" t="str">
        <f t="shared" ca="1" si="10"/>
        <v>ON</v>
      </c>
      <c r="P37" s="1" t="str">
        <f t="shared" ca="1" si="11"/>
        <v>ON</v>
      </c>
      <c r="Q37" s="1"/>
      <c r="R37" s="20" t="str">
        <f t="shared" ca="1" si="12"/>
        <v>ON</v>
      </c>
      <c r="S37" s="20" t="str">
        <f t="shared" ca="1" si="12"/>
        <v>ON</v>
      </c>
      <c r="T37" s="1" t="str">
        <f t="shared" ca="1" si="13"/>
        <v>ON</v>
      </c>
      <c r="U37" s="1" t="str">
        <f t="shared" ca="1" si="14"/>
        <v>ON</v>
      </c>
      <c r="V37" s="1" t="str">
        <f t="shared" ca="1" si="15"/>
        <v>ON</v>
      </c>
      <c r="W37" s="1" t="str">
        <f t="shared" ca="1" si="16"/>
        <v>ON</v>
      </c>
      <c r="X37" s="1"/>
      <c r="Y37" s="20" t="str">
        <f t="shared" ca="1" si="17"/>
        <v>ON</v>
      </c>
      <c r="Z37" s="20" t="str">
        <f t="shared" ca="1" si="17"/>
        <v>ON</v>
      </c>
      <c r="AA37" s="1" t="str">
        <f t="shared" ca="1" si="18"/>
        <v>OFF</v>
      </c>
      <c r="AB37" s="1" t="str">
        <f t="shared" ca="1" si="19"/>
        <v>ON</v>
      </c>
      <c r="AC37" s="1" t="str">
        <f t="shared" ca="1" si="20"/>
        <v>ON</v>
      </c>
      <c r="AD37" s="1" t="str">
        <f t="shared" ca="1" si="21"/>
        <v>ON</v>
      </c>
      <c r="AE37" s="1"/>
      <c r="AF37" s="20" t="str">
        <f t="shared" ca="1" si="22"/>
        <v>ON</v>
      </c>
      <c r="AG37" s="20" t="str">
        <f t="shared" ca="1" si="22"/>
        <v>ON</v>
      </c>
      <c r="AH37" s="1" t="str">
        <f t="shared" ca="1" si="23"/>
        <v>ON</v>
      </c>
      <c r="AI37" s="1" t="str">
        <f t="shared" ca="1" si="24"/>
        <v>ON</v>
      </c>
      <c r="AJ37" s="1" t="str">
        <f t="shared" ca="1" si="25"/>
        <v>ON</v>
      </c>
      <c r="AK37" s="1" t="str">
        <f t="shared" ca="1" si="26"/>
        <v>ON</v>
      </c>
      <c r="AL37" s="1"/>
      <c r="AM37" s="20" t="str">
        <f t="shared" si="27"/>
        <v>ON</v>
      </c>
      <c r="AN37" s="20" t="str">
        <f t="shared" si="27"/>
        <v>ON</v>
      </c>
      <c r="AO37" s="20" t="str">
        <f t="shared" si="28"/>
        <v>ON</v>
      </c>
    </row>
    <row r="38" spans="1:41">
      <c r="A38" t="str">
        <f t="shared" ca="1" si="2"/>
        <v>Oyo</v>
      </c>
      <c r="B38" t="str">
        <f t="shared" ca="1" si="3"/>
        <v>E</v>
      </c>
      <c r="C38" t="str">
        <f t="shared" ca="1" si="4"/>
        <v>C1</v>
      </c>
      <c r="D38" s="8" t="s">
        <v>4</v>
      </c>
      <c r="E38">
        <f t="shared" ca="1" si="5"/>
        <v>25</v>
      </c>
      <c r="F38">
        <f t="shared" ca="1" si="6"/>
        <v>2</v>
      </c>
      <c r="G38" t="str">
        <v>B</v>
      </c>
      <c r="H38" t="str">
        <v>B</v>
      </c>
      <c r="I38" t="str">
        <f ca="1">IF($A38="","",IF(COUNTA($R$2:$W$2)=6,"WK "&amp;_xlfn.ISOWEEKNUM($R$2)))</f>
        <v>WK 19</v>
      </c>
      <c r="J38" t="str">
        <f ca="1">IF($A38="","",IF(COUNTA($AF$2:$AK$2)=6,"WK "&amp;_xlfn.ISOWEEKNUM($AF$2)))</f>
        <v>WK 21</v>
      </c>
      <c r="K38" s="20" t="str">
        <f t="shared" ca="1" si="7"/>
        <v>ON</v>
      </c>
      <c r="L38" s="20" t="str">
        <f t="shared" ca="1" si="7"/>
        <v>ON</v>
      </c>
      <c r="M38" s="1" t="str">
        <f t="shared" ca="1" si="8"/>
        <v>ON</v>
      </c>
      <c r="N38" s="1" t="str">
        <f t="shared" ca="1" si="9"/>
        <v>ON</v>
      </c>
      <c r="O38" s="1" t="str">
        <f t="shared" ca="1" si="10"/>
        <v>ON</v>
      </c>
      <c r="P38" s="1" t="str">
        <f t="shared" ca="1" si="11"/>
        <v>ON</v>
      </c>
      <c r="Q38" s="1"/>
      <c r="R38" s="20" t="str">
        <f t="shared" ca="1" si="12"/>
        <v>ON</v>
      </c>
      <c r="S38" s="20" t="str">
        <f t="shared" ca="1" si="12"/>
        <v>ON</v>
      </c>
      <c r="T38" s="1" t="str">
        <f t="shared" ca="1" si="13"/>
        <v>ON</v>
      </c>
      <c r="U38" s="1" t="str">
        <f t="shared" ca="1" si="14"/>
        <v>OFF</v>
      </c>
      <c r="V38" s="1" t="str">
        <f t="shared" ca="1" si="15"/>
        <v>ON</v>
      </c>
      <c r="W38" s="1" t="str">
        <f t="shared" ca="1" si="16"/>
        <v>ON</v>
      </c>
      <c r="X38" s="1"/>
      <c r="Y38" s="20" t="str">
        <f t="shared" ca="1" si="17"/>
        <v>ON</v>
      </c>
      <c r="Z38" s="20" t="str">
        <f t="shared" ca="1" si="17"/>
        <v>ON</v>
      </c>
      <c r="AA38" s="1" t="str">
        <f t="shared" ca="1" si="18"/>
        <v>ON</v>
      </c>
      <c r="AB38" s="1" t="str">
        <f t="shared" ca="1" si="19"/>
        <v>ON</v>
      </c>
      <c r="AC38" s="1" t="str">
        <f t="shared" ca="1" si="20"/>
        <v>ON</v>
      </c>
      <c r="AD38" s="1" t="str">
        <f t="shared" ca="1" si="21"/>
        <v>ON</v>
      </c>
      <c r="AE38" s="1"/>
      <c r="AF38" s="20" t="str">
        <f t="shared" ca="1" si="22"/>
        <v>ON</v>
      </c>
      <c r="AG38" s="20" t="str">
        <f t="shared" ca="1" si="22"/>
        <v>ON</v>
      </c>
      <c r="AH38" s="1" t="str">
        <f t="shared" ca="1" si="23"/>
        <v>ON</v>
      </c>
      <c r="AI38" s="1" t="str">
        <f t="shared" ca="1" si="24"/>
        <v>OFF</v>
      </c>
      <c r="AJ38" s="1" t="str">
        <f t="shared" ca="1" si="25"/>
        <v>ON</v>
      </c>
      <c r="AK38" s="1" t="str">
        <f t="shared" ca="1" si="26"/>
        <v>ON</v>
      </c>
      <c r="AL38" s="1"/>
      <c r="AM38" s="20" t="str">
        <f t="shared" si="27"/>
        <v>ON</v>
      </c>
      <c r="AN38" s="20" t="str">
        <f t="shared" si="27"/>
        <v>ON</v>
      </c>
      <c r="AO38" s="20" t="str">
        <f t="shared" si="28"/>
        <v>ON</v>
      </c>
    </row>
    <row r="39" spans="1:41">
      <c r="A39" t="str">
        <f t="shared" ca="1" si="2"/>
        <v>Ogun</v>
      </c>
      <c r="B39" t="str">
        <f t="shared" ca="1" si="3"/>
        <v>A</v>
      </c>
      <c r="C39" t="str">
        <f t="shared" ca="1" si="4"/>
        <v>A1</v>
      </c>
      <c r="D39" s="8" t="s">
        <v>4</v>
      </c>
      <c r="E39">
        <f t="shared" ca="1" si="5"/>
        <v>25</v>
      </c>
      <c r="F39">
        <f t="shared" ca="1" si="6"/>
        <v>2</v>
      </c>
      <c r="G39" t="str">
        <v>C</v>
      </c>
      <c r="H39" t="str">
        <v>C</v>
      </c>
      <c r="I39" t="str">
        <f ca="1">IF($A39="","",IF(COUNTA($K$2:$P$2)=6,"WK "&amp;_xlfn.ISOWEEKNUM($K$2)))</f>
        <v>WK 18</v>
      </c>
      <c r="J39" t="str">
        <f ca="1">IF($A39="","",IF(COUNTA($Y$2:$AD$2)=6,"WK "&amp;_xlfn.ISOWEEKNUM($Y$2)))</f>
        <v>WK 20</v>
      </c>
      <c r="K39" s="20" t="str">
        <f t="shared" ca="1" si="7"/>
        <v>ON</v>
      </c>
      <c r="L39" s="20" t="str">
        <f t="shared" ca="1" si="7"/>
        <v>ON</v>
      </c>
      <c r="M39" s="1" t="str">
        <f t="shared" ca="1" si="8"/>
        <v>ON</v>
      </c>
      <c r="N39" s="1" t="str">
        <f t="shared" ca="1" si="9"/>
        <v>ON</v>
      </c>
      <c r="O39" s="1" t="str">
        <f t="shared" ca="1" si="10"/>
        <v>OFF</v>
      </c>
      <c r="P39" s="1" t="str">
        <f t="shared" ca="1" si="11"/>
        <v>ON</v>
      </c>
      <c r="Q39" s="1"/>
      <c r="R39" s="20" t="str">
        <f t="shared" ca="1" si="12"/>
        <v>ON</v>
      </c>
      <c r="S39" s="20" t="str">
        <f t="shared" ca="1" si="12"/>
        <v>ON</v>
      </c>
      <c r="T39" s="1" t="str">
        <f t="shared" ca="1" si="13"/>
        <v>ON</v>
      </c>
      <c r="U39" s="1" t="str">
        <f t="shared" ca="1" si="14"/>
        <v>ON</v>
      </c>
      <c r="V39" s="1" t="str">
        <f t="shared" ca="1" si="15"/>
        <v>ON</v>
      </c>
      <c r="W39" s="1" t="str">
        <f t="shared" ca="1" si="16"/>
        <v>ON</v>
      </c>
      <c r="X39" s="1"/>
      <c r="Y39" s="20" t="str">
        <f t="shared" ca="1" si="17"/>
        <v>ON</v>
      </c>
      <c r="Z39" s="20" t="str">
        <f t="shared" ca="1" si="17"/>
        <v>ON</v>
      </c>
      <c r="AA39" s="1" t="str">
        <f t="shared" ca="1" si="18"/>
        <v>ON</v>
      </c>
      <c r="AB39" s="1" t="str">
        <f t="shared" ca="1" si="19"/>
        <v>ON</v>
      </c>
      <c r="AC39" s="1" t="str">
        <f t="shared" ca="1" si="20"/>
        <v>OFF</v>
      </c>
      <c r="AD39" s="1" t="str">
        <f t="shared" ca="1" si="21"/>
        <v>ON</v>
      </c>
      <c r="AE39" s="1"/>
      <c r="AF39" s="20" t="str">
        <f t="shared" ca="1" si="22"/>
        <v>ON</v>
      </c>
      <c r="AG39" s="20" t="str">
        <f t="shared" ca="1" si="22"/>
        <v>ON</v>
      </c>
      <c r="AH39" s="1" t="str">
        <f t="shared" ca="1" si="23"/>
        <v>ON</v>
      </c>
      <c r="AI39" s="1" t="str">
        <f t="shared" ca="1" si="24"/>
        <v>ON</v>
      </c>
      <c r="AJ39" s="1" t="str">
        <f t="shared" ca="1" si="25"/>
        <v>ON</v>
      </c>
      <c r="AK39" s="1" t="str">
        <f t="shared" ca="1" si="26"/>
        <v>ON</v>
      </c>
      <c r="AL39" s="1"/>
      <c r="AM39" s="20" t="str">
        <f t="shared" si="27"/>
        <v>ON</v>
      </c>
      <c r="AN39" s="20" t="str">
        <f t="shared" si="27"/>
        <v>ON</v>
      </c>
      <c r="AO39" s="20" t="str">
        <f t="shared" si="28"/>
        <v>ON</v>
      </c>
    </row>
    <row r="40" spans="1:41">
      <c r="A40" t="str">
        <f t="shared" ca="1" si="2"/>
        <v>Ogun</v>
      </c>
      <c r="B40" t="str">
        <f t="shared" ca="1" si="3"/>
        <v>A</v>
      </c>
      <c r="C40" t="str">
        <f t="shared" ca="1" si="4"/>
        <v>E1</v>
      </c>
      <c r="D40" s="3" t="s">
        <v>9</v>
      </c>
      <c r="E40">
        <f t="shared" ca="1" si="5"/>
        <v>25</v>
      </c>
      <c r="F40">
        <f t="shared" ca="1" si="6"/>
        <v>2</v>
      </c>
      <c r="G40" t="str">
        <v>D</v>
      </c>
      <c r="H40" t="str">
        <v>D</v>
      </c>
      <c r="I40" t="str">
        <f ca="1">IF($A40="","",IF(COUNTA($R$2:$W$2)=6,"WK "&amp;_xlfn.ISOWEEKNUM($R$2)))</f>
        <v>WK 19</v>
      </c>
      <c r="J40" t="str">
        <f ca="1">IF($A40="","",IF(COUNTA($AF$2:$AK$2)=6,"WK "&amp;_xlfn.ISOWEEKNUM($AF$2)))</f>
        <v>WK 21</v>
      </c>
      <c r="K40" s="20" t="str">
        <f t="shared" ca="1" si="7"/>
        <v>ON</v>
      </c>
      <c r="L40" s="20" t="str">
        <f t="shared" ca="1" si="7"/>
        <v>ON</v>
      </c>
      <c r="M40" s="1" t="str">
        <f t="shared" ca="1" si="8"/>
        <v>ON</v>
      </c>
      <c r="N40" s="1" t="str">
        <f t="shared" ca="1" si="9"/>
        <v>ON</v>
      </c>
      <c r="O40" s="1" t="str">
        <f t="shared" ca="1" si="10"/>
        <v>ON</v>
      </c>
      <c r="P40" s="1" t="str">
        <f t="shared" ca="1" si="11"/>
        <v>ON</v>
      </c>
      <c r="Q40" s="1"/>
      <c r="R40" s="20" t="str">
        <f t="shared" ca="1" si="12"/>
        <v>ON</v>
      </c>
      <c r="S40" s="20" t="str">
        <f t="shared" ca="1" si="12"/>
        <v>ON</v>
      </c>
      <c r="T40" s="1" t="str">
        <f t="shared" ca="1" si="13"/>
        <v>ON</v>
      </c>
      <c r="U40" s="1" t="str">
        <f t="shared" ca="1" si="14"/>
        <v>ON</v>
      </c>
      <c r="V40" s="1" t="str">
        <f t="shared" ca="1" si="15"/>
        <v>ON</v>
      </c>
      <c r="W40" s="1" t="str">
        <f t="shared" ca="1" si="16"/>
        <v>OFF</v>
      </c>
      <c r="X40" s="1"/>
      <c r="Y40" s="20" t="str">
        <f t="shared" ca="1" si="17"/>
        <v>ON</v>
      </c>
      <c r="Z40" s="20" t="str">
        <f t="shared" ca="1" si="17"/>
        <v>ON</v>
      </c>
      <c r="AA40" s="1" t="str">
        <f t="shared" ca="1" si="18"/>
        <v>ON</v>
      </c>
      <c r="AB40" s="1" t="str">
        <f t="shared" ca="1" si="19"/>
        <v>ON</v>
      </c>
      <c r="AC40" s="1" t="str">
        <f t="shared" ca="1" si="20"/>
        <v>ON</v>
      </c>
      <c r="AD40" s="1" t="str">
        <f t="shared" ca="1" si="21"/>
        <v>ON</v>
      </c>
      <c r="AE40" s="1"/>
      <c r="AF40" s="20" t="str">
        <f t="shared" ca="1" si="22"/>
        <v>ON</v>
      </c>
      <c r="AG40" s="20" t="str">
        <f t="shared" ca="1" si="22"/>
        <v>ON</v>
      </c>
      <c r="AH40" s="1" t="str">
        <f t="shared" ca="1" si="23"/>
        <v>ON</v>
      </c>
      <c r="AI40" s="1" t="str">
        <f t="shared" ca="1" si="24"/>
        <v>ON</v>
      </c>
      <c r="AJ40" s="1" t="str">
        <f t="shared" ca="1" si="25"/>
        <v>ON</v>
      </c>
      <c r="AK40" s="1" t="str">
        <f t="shared" ca="1" si="26"/>
        <v>OFF</v>
      </c>
      <c r="AL40" s="1"/>
      <c r="AM40" s="20" t="str">
        <f t="shared" si="27"/>
        <v>ON</v>
      </c>
      <c r="AN40" s="20" t="str">
        <f t="shared" si="27"/>
        <v>ON</v>
      </c>
      <c r="AO40" s="20" t="str">
        <f t="shared" si="28"/>
        <v>ON</v>
      </c>
    </row>
    <row r="41" spans="1:41">
      <c r="A41" t="str">
        <f t="shared" ca="1" si="2"/>
        <v>Ekiti</v>
      </c>
      <c r="B41" t="str">
        <f t="shared" ca="1" si="3"/>
        <v>B</v>
      </c>
      <c r="C41" t="str">
        <f t="shared" ca="1" si="4"/>
        <v>D1</v>
      </c>
      <c r="D41" s="3" t="s">
        <v>8</v>
      </c>
      <c r="E41">
        <f t="shared" ca="1" si="5"/>
        <v>25</v>
      </c>
      <c r="F41">
        <f t="shared" ca="1" si="6"/>
        <v>2</v>
      </c>
      <c r="G41" t="str" cm="1">
        <f t="array" ref="G41:G44">IF($G$5:$G$8={"A";"B";"C";"D"},{"D";"C";"B";"A"},{"A";"B";"C";"D"})</f>
        <v>D</v>
      </c>
      <c r="H41" t="str" cm="1">
        <f t="array" ref="H41:H44">IF($H$5:$H$8={"A";"B";"C";"D"},{"D";"C";"B";"A"},{"A";"B";"C";"D"})</f>
        <v>D</v>
      </c>
      <c r="I41" t="str">
        <f ca="1">IF($A41="","",IF(COUNTA($K$2:$P$2)=6,"WK "&amp;_xlfn.ISOWEEKNUM($K$2)))</f>
        <v>WK 18</v>
      </c>
      <c r="J41" t="str">
        <f ca="1">IF($A41="","",IF(COUNTA($Y$2:$AD$2)=6,"WK "&amp;_xlfn.ISOWEEKNUM($Y$2)))</f>
        <v>WK 20</v>
      </c>
      <c r="K41" s="20" t="str">
        <f t="shared" ca="1" si="7"/>
        <v>ON</v>
      </c>
      <c r="L41" s="20" t="str">
        <f t="shared" ca="1" si="7"/>
        <v>ON</v>
      </c>
      <c r="M41" s="1" t="str">
        <f t="shared" ca="1" si="8"/>
        <v>ON</v>
      </c>
      <c r="N41" s="1" t="str">
        <f t="shared" ca="1" si="9"/>
        <v>ON</v>
      </c>
      <c r="O41" s="1" t="str">
        <f t="shared" ca="1" si="10"/>
        <v>ON</v>
      </c>
      <c r="P41" s="1" t="str">
        <f t="shared" ca="1" si="11"/>
        <v>OFF</v>
      </c>
      <c r="Q41" s="1"/>
      <c r="R41" s="20" t="str">
        <f t="shared" ca="1" si="12"/>
        <v>ON</v>
      </c>
      <c r="S41" s="20" t="str">
        <f t="shared" ca="1" si="12"/>
        <v>ON</v>
      </c>
      <c r="T41" s="1" t="str">
        <f t="shared" ca="1" si="13"/>
        <v>ON</v>
      </c>
      <c r="U41" s="1" t="str">
        <f t="shared" ca="1" si="14"/>
        <v>ON</v>
      </c>
      <c r="V41" s="1" t="str">
        <f t="shared" ca="1" si="15"/>
        <v>ON</v>
      </c>
      <c r="W41" s="1" t="str">
        <f t="shared" ca="1" si="16"/>
        <v>ON</v>
      </c>
      <c r="X41" s="1"/>
      <c r="Y41" s="20" t="str">
        <f t="shared" ca="1" si="17"/>
        <v>ON</v>
      </c>
      <c r="Z41" s="20" t="str">
        <f t="shared" ca="1" si="17"/>
        <v>ON</v>
      </c>
      <c r="AA41" s="1" t="str">
        <f t="shared" ca="1" si="18"/>
        <v>ON</v>
      </c>
      <c r="AB41" s="1" t="str">
        <f t="shared" ca="1" si="19"/>
        <v>ON</v>
      </c>
      <c r="AC41" s="1" t="str">
        <f t="shared" ca="1" si="20"/>
        <v>ON</v>
      </c>
      <c r="AD41" s="1" t="str">
        <f t="shared" ca="1" si="21"/>
        <v>OFF</v>
      </c>
      <c r="AE41" s="1"/>
      <c r="AF41" s="20" t="str">
        <f t="shared" ca="1" si="22"/>
        <v>ON</v>
      </c>
      <c r="AG41" s="20" t="str">
        <f t="shared" ca="1" si="22"/>
        <v>ON</v>
      </c>
      <c r="AH41" s="1" t="str">
        <f t="shared" ca="1" si="23"/>
        <v>ON</v>
      </c>
      <c r="AI41" s="1" t="str">
        <f t="shared" ca="1" si="24"/>
        <v>ON</v>
      </c>
      <c r="AJ41" s="1" t="str">
        <f t="shared" ca="1" si="25"/>
        <v>ON</v>
      </c>
      <c r="AK41" s="1" t="str">
        <f t="shared" ca="1" si="26"/>
        <v>ON</v>
      </c>
      <c r="AL41" s="1"/>
      <c r="AM41" s="20" t="str">
        <f t="shared" si="27"/>
        <v>ON</v>
      </c>
      <c r="AN41" s="20" t="str">
        <f t="shared" si="27"/>
        <v>ON</v>
      </c>
      <c r="AO41" s="20" t="str">
        <f t="shared" si="28"/>
        <v>ON</v>
      </c>
    </row>
    <row r="42" spans="1:41">
      <c r="A42" t="str">
        <f t="shared" ca="1" si="2"/>
        <v>Oyo</v>
      </c>
      <c r="B42" t="str">
        <f t="shared" ca="1" si="3"/>
        <v>E</v>
      </c>
      <c r="C42" t="str">
        <f t="shared" ca="1" si="4"/>
        <v>A1</v>
      </c>
      <c r="D42" s="3" t="s">
        <v>8</v>
      </c>
      <c r="E42">
        <f t="shared" ca="1" si="5"/>
        <v>25</v>
      </c>
      <c r="F42">
        <f t="shared" ca="1" si="6"/>
        <v>2</v>
      </c>
      <c r="G42" t="str">
        <v>C</v>
      </c>
      <c r="H42" t="str">
        <v>C</v>
      </c>
      <c r="I42" t="str">
        <f ca="1">IF($A42="","",IF(COUNTA($R$2:$W$2)=6,"WK "&amp;_xlfn.ISOWEEKNUM($R$2)))</f>
        <v>WK 19</v>
      </c>
      <c r="J42" t="str">
        <f ca="1">IF($A42="","",IF(COUNTA($AF$2:$AK$2)=6,"WK "&amp;_xlfn.ISOWEEKNUM($AF$2)))</f>
        <v>WK 21</v>
      </c>
      <c r="K42" s="20" t="str">
        <f t="shared" ca="1" si="7"/>
        <v>ON</v>
      </c>
      <c r="L42" s="20" t="str">
        <f t="shared" ca="1" si="7"/>
        <v>ON</v>
      </c>
      <c r="M42" s="1" t="str">
        <f t="shared" ca="1" si="8"/>
        <v>ON</v>
      </c>
      <c r="N42" s="1" t="str">
        <f t="shared" ca="1" si="9"/>
        <v>ON</v>
      </c>
      <c r="O42" s="1" t="str">
        <f t="shared" ca="1" si="10"/>
        <v>ON</v>
      </c>
      <c r="P42" s="1" t="str">
        <f t="shared" ca="1" si="11"/>
        <v>ON</v>
      </c>
      <c r="Q42" s="1"/>
      <c r="R42" s="20" t="str">
        <f t="shared" ca="1" si="12"/>
        <v>ON</v>
      </c>
      <c r="S42" s="20" t="str">
        <f t="shared" ca="1" si="12"/>
        <v>ON</v>
      </c>
      <c r="T42" s="1" t="str">
        <f t="shared" ca="1" si="13"/>
        <v>ON</v>
      </c>
      <c r="U42" s="1" t="str">
        <f t="shared" ca="1" si="14"/>
        <v>ON</v>
      </c>
      <c r="V42" s="1" t="str">
        <f t="shared" ca="1" si="15"/>
        <v>OFF</v>
      </c>
      <c r="W42" s="1" t="str">
        <f t="shared" ca="1" si="16"/>
        <v>ON</v>
      </c>
      <c r="X42" s="1"/>
      <c r="Y42" s="20" t="str">
        <f t="shared" ca="1" si="17"/>
        <v>ON</v>
      </c>
      <c r="Z42" s="20" t="str">
        <f t="shared" ca="1" si="17"/>
        <v>ON</v>
      </c>
      <c r="AA42" s="1" t="str">
        <f t="shared" ca="1" si="18"/>
        <v>ON</v>
      </c>
      <c r="AB42" s="1" t="str">
        <f t="shared" ca="1" si="19"/>
        <v>ON</v>
      </c>
      <c r="AC42" s="1" t="str">
        <f t="shared" ca="1" si="20"/>
        <v>ON</v>
      </c>
      <c r="AD42" s="1" t="str">
        <f t="shared" ca="1" si="21"/>
        <v>ON</v>
      </c>
      <c r="AE42" s="1"/>
      <c r="AF42" s="20" t="str">
        <f t="shared" ca="1" si="22"/>
        <v>ON</v>
      </c>
      <c r="AG42" s="20" t="str">
        <f t="shared" ca="1" si="22"/>
        <v>ON</v>
      </c>
      <c r="AH42" s="1" t="str">
        <f t="shared" ca="1" si="23"/>
        <v>ON</v>
      </c>
      <c r="AI42" s="1" t="str">
        <f t="shared" ca="1" si="24"/>
        <v>ON</v>
      </c>
      <c r="AJ42" s="1" t="str">
        <f t="shared" ca="1" si="25"/>
        <v>OFF</v>
      </c>
      <c r="AK42" s="1" t="str">
        <f t="shared" ca="1" si="26"/>
        <v>ON</v>
      </c>
      <c r="AL42" s="1"/>
      <c r="AM42" s="20" t="str">
        <f t="shared" si="27"/>
        <v>ON</v>
      </c>
      <c r="AN42" s="20" t="str">
        <f t="shared" si="27"/>
        <v>ON</v>
      </c>
      <c r="AO42" s="20" t="str">
        <f t="shared" si="28"/>
        <v>ON</v>
      </c>
    </row>
    <row r="43" spans="1:41">
      <c r="A43" t="str">
        <f t="shared" ca="1" si="2"/>
        <v>Lagos</v>
      </c>
      <c r="B43" t="str">
        <f t="shared" ca="1" si="3"/>
        <v>D</v>
      </c>
      <c r="C43" t="str">
        <f t="shared" ca="1" si="4"/>
        <v>D1</v>
      </c>
      <c r="D43" s="3" t="s">
        <v>8</v>
      </c>
      <c r="E43">
        <f t="shared" ca="1" si="5"/>
        <v>25</v>
      </c>
      <c r="F43">
        <f t="shared" ca="1" si="6"/>
        <v>2</v>
      </c>
      <c r="G43" t="str">
        <v>B</v>
      </c>
      <c r="H43" t="str">
        <v>B</v>
      </c>
      <c r="I43" t="str">
        <f ca="1">IF($A43="","",IF(COUNTA($K$2:$P$2)=6,"WK "&amp;_xlfn.ISOWEEKNUM($K$2)))</f>
        <v>WK 18</v>
      </c>
      <c r="J43" t="str">
        <f ca="1">IF($A43="","",IF(COUNTA($Y$2:$AD$2)=6,"WK "&amp;_xlfn.ISOWEEKNUM($Y$2)))</f>
        <v>WK 20</v>
      </c>
      <c r="K43" s="20" t="str">
        <f t="shared" ca="1" si="7"/>
        <v>ON</v>
      </c>
      <c r="L43" s="20" t="str">
        <f t="shared" ca="1" si="7"/>
        <v>ON</v>
      </c>
      <c r="M43" s="1" t="str">
        <f t="shared" ca="1" si="8"/>
        <v>ON</v>
      </c>
      <c r="N43" s="1" t="str">
        <f t="shared" ca="1" si="9"/>
        <v>OFF</v>
      </c>
      <c r="O43" s="1" t="str">
        <f t="shared" ca="1" si="10"/>
        <v>ON</v>
      </c>
      <c r="P43" s="1" t="str">
        <f t="shared" ca="1" si="11"/>
        <v>ON</v>
      </c>
      <c r="Q43" s="1"/>
      <c r="R43" s="20" t="str">
        <f t="shared" ca="1" si="12"/>
        <v>ON</v>
      </c>
      <c r="S43" s="20" t="str">
        <f t="shared" ca="1" si="12"/>
        <v>ON</v>
      </c>
      <c r="T43" s="1" t="str">
        <f t="shared" ca="1" si="13"/>
        <v>ON</v>
      </c>
      <c r="U43" s="1" t="str">
        <f t="shared" ca="1" si="14"/>
        <v>ON</v>
      </c>
      <c r="V43" s="1" t="str">
        <f t="shared" ca="1" si="15"/>
        <v>ON</v>
      </c>
      <c r="W43" s="1" t="str">
        <f t="shared" ca="1" si="16"/>
        <v>ON</v>
      </c>
      <c r="X43" s="1"/>
      <c r="Y43" s="20" t="str">
        <f t="shared" ca="1" si="17"/>
        <v>ON</v>
      </c>
      <c r="Z43" s="20" t="str">
        <f t="shared" ca="1" si="17"/>
        <v>ON</v>
      </c>
      <c r="AA43" s="1" t="str">
        <f t="shared" ca="1" si="18"/>
        <v>ON</v>
      </c>
      <c r="AB43" s="1" t="str">
        <f t="shared" ca="1" si="19"/>
        <v>OFF</v>
      </c>
      <c r="AC43" s="1" t="str">
        <f t="shared" ca="1" si="20"/>
        <v>ON</v>
      </c>
      <c r="AD43" s="1" t="str">
        <f t="shared" ca="1" si="21"/>
        <v>ON</v>
      </c>
      <c r="AE43" s="1"/>
      <c r="AF43" s="20" t="str">
        <f t="shared" ca="1" si="22"/>
        <v>ON</v>
      </c>
      <c r="AG43" s="20" t="str">
        <f t="shared" ca="1" si="22"/>
        <v>ON</v>
      </c>
      <c r="AH43" s="1" t="str">
        <f t="shared" ca="1" si="23"/>
        <v>ON</v>
      </c>
      <c r="AI43" s="1" t="str">
        <f t="shared" ca="1" si="24"/>
        <v>ON</v>
      </c>
      <c r="AJ43" s="1" t="str">
        <f t="shared" ca="1" si="25"/>
        <v>ON</v>
      </c>
      <c r="AK43" s="1" t="str">
        <f t="shared" ca="1" si="26"/>
        <v>ON</v>
      </c>
      <c r="AL43" s="1"/>
      <c r="AM43" s="20" t="str">
        <f t="shared" si="27"/>
        <v>ON</v>
      </c>
      <c r="AN43" s="20" t="str">
        <f t="shared" si="27"/>
        <v>ON</v>
      </c>
      <c r="AO43" s="20" t="str">
        <f t="shared" si="28"/>
        <v>ON</v>
      </c>
    </row>
    <row r="44" spans="1:41">
      <c r="A44" t="str">
        <f t="shared" ca="1" si="2"/>
        <v>Oyo</v>
      </c>
      <c r="B44" t="str">
        <f t="shared" ca="1" si="3"/>
        <v>B</v>
      </c>
      <c r="C44" t="str">
        <f t="shared" ca="1" si="4"/>
        <v>D1</v>
      </c>
      <c r="D44" s="3" t="s">
        <v>8</v>
      </c>
      <c r="E44">
        <f t="shared" ca="1" si="5"/>
        <v>25</v>
      </c>
      <c r="F44">
        <f t="shared" ca="1" si="6"/>
        <v>2</v>
      </c>
      <c r="G44" t="str">
        <v>A</v>
      </c>
      <c r="H44" t="str">
        <v>A</v>
      </c>
      <c r="I44" t="str">
        <f ca="1">IF($A44="","",IF(COUNTA($R$2:$W$2)=6,"WK "&amp;_xlfn.ISOWEEKNUM($R$2)))</f>
        <v>WK 19</v>
      </c>
      <c r="J44" t="str">
        <f ca="1">IF($A44="","",IF(COUNTA($AF$2:$AK$2)=6,"WK "&amp;_xlfn.ISOWEEKNUM($AF$2)))</f>
        <v>WK 21</v>
      </c>
      <c r="K44" s="20" t="str">
        <f t="shared" ca="1" si="7"/>
        <v>ON</v>
      </c>
      <c r="L44" s="20" t="str">
        <f t="shared" ca="1" si="7"/>
        <v>ON</v>
      </c>
      <c r="M44" s="1" t="str">
        <f t="shared" ca="1" si="8"/>
        <v>ON</v>
      </c>
      <c r="N44" s="1" t="str">
        <f t="shared" ca="1" si="9"/>
        <v>ON</v>
      </c>
      <c r="O44" s="1" t="str">
        <f t="shared" ca="1" si="10"/>
        <v>ON</v>
      </c>
      <c r="P44" s="1" t="str">
        <f t="shared" ca="1" si="11"/>
        <v>ON</v>
      </c>
      <c r="Q44" s="1"/>
      <c r="R44" s="20" t="str">
        <f t="shared" ca="1" si="12"/>
        <v>ON</v>
      </c>
      <c r="S44" s="20" t="str">
        <f t="shared" ca="1" si="12"/>
        <v>ON</v>
      </c>
      <c r="T44" s="1" t="str">
        <f t="shared" ca="1" si="13"/>
        <v>OFF</v>
      </c>
      <c r="U44" s="1" t="str">
        <f t="shared" ca="1" si="14"/>
        <v>ON</v>
      </c>
      <c r="V44" s="1" t="str">
        <f t="shared" ca="1" si="15"/>
        <v>ON</v>
      </c>
      <c r="W44" s="1" t="str">
        <f t="shared" ca="1" si="16"/>
        <v>ON</v>
      </c>
      <c r="X44" s="1"/>
      <c r="Y44" s="20" t="str">
        <f t="shared" ca="1" si="17"/>
        <v>ON</v>
      </c>
      <c r="Z44" s="20" t="str">
        <f t="shared" ca="1" si="17"/>
        <v>ON</v>
      </c>
      <c r="AA44" s="1" t="str">
        <f t="shared" ca="1" si="18"/>
        <v>ON</v>
      </c>
      <c r="AB44" s="1" t="str">
        <f t="shared" ca="1" si="19"/>
        <v>ON</v>
      </c>
      <c r="AC44" s="1" t="str">
        <f t="shared" ca="1" si="20"/>
        <v>ON</v>
      </c>
      <c r="AD44" s="1" t="str">
        <f t="shared" ca="1" si="21"/>
        <v>ON</v>
      </c>
      <c r="AE44" s="1"/>
      <c r="AF44" s="20" t="str">
        <f t="shared" ca="1" si="22"/>
        <v>ON</v>
      </c>
      <c r="AG44" s="20" t="str">
        <f t="shared" ca="1" si="22"/>
        <v>ON</v>
      </c>
      <c r="AH44" s="1" t="str">
        <f t="shared" ca="1" si="23"/>
        <v>OFF</v>
      </c>
      <c r="AI44" s="1" t="str">
        <f t="shared" ca="1" si="24"/>
        <v>ON</v>
      </c>
      <c r="AJ44" s="1" t="str">
        <f t="shared" ca="1" si="25"/>
        <v>ON</v>
      </c>
      <c r="AK44" s="1" t="str">
        <f t="shared" ca="1" si="26"/>
        <v>ON</v>
      </c>
      <c r="AL44" s="1"/>
      <c r="AM44" s="20" t="str">
        <f t="shared" si="27"/>
        <v>ON</v>
      </c>
      <c r="AN44" s="20" t="str">
        <f t="shared" si="27"/>
        <v>ON</v>
      </c>
      <c r="AO44" s="20" t="str">
        <f t="shared" si="28"/>
        <v>ON</v>
      </c>
    </row>
    <row r="45" spans="1:41">
      <c r="A45" t="str">
        <f t="shared" ca="1" si="2"/>
        <v>Ogun</v>
      </c>
      <c r="B45" t="str">
        <f t="shared" ca="1" si="3"/>
        <v>B</v>
      </c>
      <c r="C45" t="str">
        <f t="shared" ca="1" si="4"/>
        <v>E1</v>
      </c>
      <c r="D45" s="8" t="s">
        <v>7</v>
      </c>
      <c r="E45">
        <f t="shared" ca="1" si="5"/>
        <v>25</v>
      </c>
      <c r="F45">
        <f t="shared" ca="1" si="6"/>
        <v>2</v>
      </c>
      <c r="G45" t="str" cm="1">
        <f t="array" ref="G45:G48">Groups!$B$2:$B$5</f>
        <v>A</v>
      </c>
      <c r="H45" t="str" cm="1">
        <f t="array" ref="H45:H48">Groups!$B$2:$B$5</f>
        <v>A</v>
      </c>
      <c r="I45" t="str">
        <f ca="1">IF($A45="","",IF(COUNTA($K$2:$P$2)=6,"WK "&amp;_xlfn.ISOWEEKNUM($K$2)))</f>
        <v>WK 18</v>
      </c>
      <c r="J45" t="str">
        <f ca="1">IF($A45="","",IF(COUNTA($Y$2:$AD$2)=6,"WK "&amp;_xlfn.ISOWEEKNUM($Y$2)))</f>
        <v>WK 20</v>
      </c>
      <c r="K45" s="20" t="str">
        <f t="shared" ca="1" si="7"/>
        <v>ON</v>
      </c>
      <c r="L45" s="20" t="str">
        <f t="shared" ca="1" si="7"/>
        <v>ON</v>
      </c>
      <c r="M45" s="1" t="str">
        <f t="shared" ca="1" si="8"/>
        <v>OFF</v>
      </c>
      <c r="N45" s="1" t="str">
        <f t="shared" ca="1" si="9"/>
        <v>ON</v>
      </c>
      <c r="O45" s="1" t="str">
        <f t="shared" ca="1" si="10"/>
        <v>ON</v>
      </c>
      <c r="P45" s="1" t="str">
        <f t="shared" ca="1" si="11"/>
        <v>ON</v>
      </c>
      <c r="Q45" s="1"/>
      <c r="R45" s="20" t="str">
        <f t="shared" ca="1" si="12"/>
        <v>ON</v>
      </c>
      <c r="S45" s="20" t="str">
        <f t="shared" ca="1" si="12"/>
        <v>ON</v>
      </c>
      <c r="T45" s="1" t="str">
        <f t="shared" ca="1" si="13"/>
        <v>ON</v>
      </c>
      <c r="U45" s="1" t="str">
        <f t="shared" ca="1" si="14"/>
        <v>ON</v>
      </c>
      <c r="V45" s="1" t="str">
        <f t="shared" ca="1" si="15"/>
        <v>ON</v>
      </c>
      <c r="W45" s="1" t="str">
        <f t="shared" ca="1" si="16"/>
        <v>ON</v>
      </c>
      <c r="X45" s="1"/>
      <c r="Y45" s="20" t="str">
        <f t="shared" ca="1" si="17"/>
        <v>ON</v>
      </c>
      <c r="Z45" s="20" t="str">
        <f t="shared" ca="1" si="17"/>
        <v>ON</v>
      </c>
      <c r="AA45" s="1" t="str">
        <f t="shared" ca="1" si="18"/>
        <v>OFF</v>
      </c>
      <c r="AB45" s="1" t="str">
        <f t="shared" ca="1" si="19"/>
        <v>ON</v>
      </c>
      <c r="AC45" s="1" t="str">
        <f t="shared" ca="1" si="20"/>
        <v>ON</v>
      </c>
      <c r="AD45" s="1" t="str">
        <f t="shared" ca="1" si="21"/>
        <v>ON</v>
      </c>
      <c r="AE45" s="1"/>
      <c r="AF45" s="20" t="str">
        <f t="shared" ca="1" si="22"/>
        <v>ON</v>
      </c>
      <c r="AG45" s="20" t="str">
        <f t="shared" ca="1" si="22"/>
        <v>ON</v>
      </c>
      <c r="AH45" s="1" t="str">
        <f t="shared" ca="1" si="23"/>
        <v>ON</v>
      </c>
      <c r="AI45" s="1" t="str">
        <f t="shared" ca="1" si="24"/>
        <v>ON</v>
      </c>
      <c r="AJ45" s="1" t="str">
        <f t="shared" ca="1" si="25"/>
        <v>ON</v>
      </c>
      <c r="AK45" s="1" t="str">
        <f t="shared" ca="1" si="26"/>
        <v>ON</v>
      </c>
      <c r="AL45" s="1"/>
      <c r="AM45" s="20" t="str">
        <f t="shared" si="27"/>
        <v>ON</v>
      </c>
      <c r="AN45" s="20" t="str">
        <f t="shared" si="27"/>
        <v>ON</v>
      </c>
      <c r="AO45" s="20" t="str">
        <f t="shared" si="28"/>
        <v>ON</v>
      </c>
    </row>
    <row r="46" spans="1:41">
      <c r="A46" t="str">
        <f t="shared" ca="1" si="2"/>
        <v>Lagos</v>
      </c>
      <c r="B46" t="str">
        <f t="shared" ca="1" si="3"/>
        <v>C</v>
      </c>
      <c r="C46" t="str">
        <f t="shared" ca="1" si="4"/>
        <v>E1</v>
      </c>
      <c r="D46" s="8" t="s">
        <v>7</v>
      </c>
      <c r="E46">
        <f t="shared" ca="1" si="5"/>
        <v>25</v>
      </c>
      <c r="F46">
        <f t="shared" ca="1" si="6"/>
        <v>2</v>
      </c>
      <c r="G46" t="str">
        <v>B</v>
      </c>
      <c r="H46" t="str">
        <v>B</v>
      </c>
      <c r="I46" t="str">
        <f ca="1">IF($A46="","",IF(COUNTA($R$2:$W$2)=6,"WK "&amp;_xlfn.ISOWEEKNUM($R$2)))</f>
        <v>WK 19</v>
      </c>
      <c r="J46" t="str">
        <f ca="1">IF($A46="","",IF(COUNTA($AF$2:$AK$2)=6,"WK "&amp;_xlfn.ISOWEEKNUM($AF$2)))</f>
        <v>WK 21</v>
      </c>
      <c r="K46" s="20" t="str">
        <f t="shared" ca="1" si="7"/>
        <v>ON</v>
      </c>
      <c r="L46" s="20" t="str">
        <f t="shared" ca="1" si="7"/>
        <v>ON</v>
      </c>
      <c r="M46" s="1" t="str">
        <f t="shared" ca="1" si="8"/>
        <v>ON</v>
      </c>
      <c r="N46" s="1" t="str">
        <f t="shared" ca="1" si="9"/>
        <v>ON</v>
      </c>
      <c r="O46" s="1" t="str">
        <f t="shared" ca="1" si="10"/>
        <v>ON</v>
      </c>
      <c r="P46" s="1" t="str">
        <f t="shared" ca="1" si="11"/>
        <v>ON</v>
      </c>
      <c r="Q46" s="1"/>
      <c r="R46" s="20" t="str">
        <f t="shared" ca="1" si="12"/>
        <v>ON</v>
      </c>
      <c r="S46" s="20" t="str">
        <f t="shared" ca="1" si="12"/>
        <v>ON</v>
      </c>
      <c r="T46" s="1" t="str">
        <f t="shared" ca="1" si="13"/>
        <v>ON</v>
      </c>
      <c r="U46" s="1" t="str">
        <f t="shared" ca="1" si="14"/>
        <v>OFF</v>
      </c>
      <c r="V46" s="1" t="str">
        <f t="shared" ca="1" si="15"/>
        <v>ON</v>
      </c>
      <c r="W46" s="1" t="str">
        <f t="shared" ca="1" si="16"/>
        <v>ON</v>
      </c>
      <c r="X46" s="1"/>
      <c r="Y46" s="20" t="str">
        <f t="shared" ca="1" si="17"/>
        <v>ON</v>
      </c>
      <c r="Z46" s="20" t="str">
        <f t="shared" ca="1" si="17"/>
        <v>ON</v>
      </c>
      <c r="AA46" s="1" t="str">
        <f t="shared" ca="1" si="18"/>
        <v>ON</v>
      </c>
      <c r="AB46" s="1" t="str">
        <f t="shared" ca="1" si="19"/>
        <v>ON</v>
      </c>
      <c r="AC46" s="1" t="str">
        <f t="shared" ca="1" si="20"/>
        <v>ON</v>
      </c>
      <c r="AD46" s="1" t="str">
        <f t="shared" ca="1" si="21"/>
        <v>ON</v>
      </c>
      <c r="AE46" s="1"/>
      <c r="AF46" s="20" t="str">
        <f t="shared" ca="1" si="22"/>
        <v>ON</v>
      </c>
      <c r="AG46" s="20" t="str">
        <f t="shared" ca="1" si="22"/>
        <v>ON</v>
      </c>
      <c r="AH46" s="1" t="str">
        <f t="shared" ca="1" si="23"/>
        <v>ON</v>
      </c>
      <c r="AI46" s="1" t="str">
        <f t="shared" ca="1" si="24"/>
        <v>OFF</v>
      </c>
      <c r="AJ46" s="1" t="str">
        <f t="shared" ca="1" si="25"/>
        <v>ON</v>
      </c>
      <c r="AK46" s="1" t="str">
        <f t="shared" ca="1" si="26"/>
        <v>ON</v>
      </c>
      <c r="AL46" s="1"/>
      <c r="AM46" s="20" t="str">
        <f t="shared" si="27"/>
        <v>ON</v>
      </c>
      <c r="AN46" s="20" t="str">
        <f t="shared" si="27"/>
        <v>ON</v>
      </c>
      <c r="AO46" s="20" t="str">
        <f t="shared" si="28"/>
        <v>ON</v>
      </c>
    </row>
    <row r="47" spans="1:41">
      <c r="A47" t="str">
        <f t="shared" ca="1" si="2"/>
        <v>Oyo</v>
      </c>
      <c r="B47" t="str">
        <f t="shared" ca="1" si="3"/>
        <v>B</v>
      </c>
      <c r="C47" t="str">
        <f t="shared" ca="1" si="4"/>
        <v>D1</v>
      </c>
      <c r="D47" s="8" t="s">
        <v>7</v>
      </c>
      <c r="E47">
        <f t="shared" ca="1" si="5"/>
        <v>25</v>
      </c>
      <c r="F47">
        <f t="shared" ca="1" si="6"/>
        <v>2</v>
      </c>
      <c r="G47" t="str">
        <v>C</v>
      </c>
      <c r="H47" t="str">
        <v>C</v>
      </c>
      <c r="I47" t="str">
        <f ca="1">IF($A47="","",IF(COUNTA($K$2:$P$2)=6,"WK "&amp;_xlfn.ISOWEEKNUM($K$2)))</f>
        <v>WK 18</v>
      </c>
      <c r="J47" t="str">
        <f ca="1">IF($A47="","",IF(COUNTA($Y$2:$AD$2)=6,"WK "&amp;_xlfn.ISOWEEKNUM($Y$2)))</f>
        <v>WK 20</v>
      </c>
      <c r="K47" s="20" t="str">
        <f t="shared" ca="1" si="7"/>
        <v>ON</v>
      </c>
      <c r="L47" s="20" t="str">
        <f t="shared" ca="1" si="7"/>
        <v>ON</v>
      </c>
      <c r="M47" s="1" t="str">
        <f t="shared" ca="1" si="8"/>
        <v>ON</v>
      </c>
      <c r="N47" s="1" t="str">
        <f t="shared" ca="1" si="9"/>
        <v>ON</v>
      </c>
      <c r="O47" s="1" t="str">
        <f t="shared" ca="1" si="10"/>
        <v>OFF</v>
      </c>
      <c r="P47" s="1" t="str">
        <f t="shared" ca="1" si="11"/>
        <v>ON</v>
      </c>
      <c r="Q47" s="1"/>
      <c r="R47" s="20" t="str">
        <f t="shared" ca="1" si="12"/>
        <v>ON</v>
      </c>
      <c r="S47" s="20" t="str">
        <f t="shared" ca="1" si="12"/>
        <v>ON</v>
      </c>
      <c r="T47" s="1" t="str">
        <f t="shared" ca="1" si="13"/>
        <v>ON</v>
      </c>
      <c r="U47" s="1" t="str">
        <f t="shared" ca="1" si="14"/>
        <v>ON</v>
      </c>
      <c r="V47" s="1" t="str">
        <f t="shared" ca="1" si="15"/>
        <v>ON</v>
      </c>
      <c r="W47" s="1" t="str">
        <f t="shared" ca="1" si="16"/>
        <v>ON</v>
      </c>
      <c r="X47" s="1"/>
      <c r="Y47" s="20" t="str">
        <f t="shared" ca="1" si="17"/>
        <v>ON</v>
      </c>
      <c r="Z47" s="20" t="str">
        <f t="shared" ca="1" si="17"/>
        <v>ON</v>
      </c>
      <c r="AA47" s="1" t="str">
        <f t="shared" ca="1" si="18"/>
        <v>ON</v>
      </c>
      <c r="AB47" s="1" t="str">
        <f t="shared" ca="1" si="19"/>
        <v>ON</v>
      </c>
      <c r="AC47" s="1" t="str">
        <f t="shared" ca="1" si="20"/>
        <v>OFF</v>
      </c>
      <c r="AD47" s="1" t="str">
        <f t="shared" ca="1" si="21"/>
        <v>ON</v>
      </c>
      <c r="AE47" s="1"/>
      <c r="AF47" s="20" t="str">
        <f t="shared" ca="1" si="22"/>
        <v>ON</v>
      </c>
      <c r="AG47" s="20" t="str">
        <f t="shared" ca="1" si="22"/>
        <v>ON</v>
      </c>
      <c r="AH47" s="1" t="str">
        <f t="shared" ca="1" si="23"/>
        <v>ON</v>
      </c>
      <c r="AI47" s="1" t="str">
        <f t="shared" ca="1" si="24"/>
        <v>ON</v>
      </c>
      <c r="AJ47" s="1" t="str">
        <f t="shared" ca="1" si="25"/>
        <v>ON</v>
      </c>
      <c r="AK47" s="1" t="str">
        <f t="shared" ca="1" si="26"/>
        <v>ON</v>
      </c>
      <c r="AL47" s="1"/>
      <c r="AM47" s="20" t="str">
        <f t="shared" si="27"/>
        <v>ON</v>
      </c>
      <c r="AN47" s="20" t="str">
        <f t="shared" si="27"/>
        <v>ON</v>
      </c>
      <c r="AO47" s="20" t="str">
        <f t="shared" si="28"/>
        <v>ON</v>
      </c>
    </row>
    <row r="48" spans="1:41">
      <c r="A48" t="str">
        <f t="shared" ca="1" si="2"/>
        <v>Ekiti</v>
      </c>
      <c r="B48" t="str">
        <f t="shared" ca="1" si="3"/>
        <v>E</v>
      </c>
      <c r="C48" t="str">
        <f t="shared" ca="1" si="4"/>
        <v>E1</v>
      </c>
      <c r="D48" s="8" t="s">
        <v>7</v>
      </c>
      <c r="E48">
        <f t="shared" ca="1" si="5"/>
        <v>25</v>
      </c>
      <c r="F48">
        <f t="shared" ca="1" si="6"/>
        <v>2</v>
      </c>
      <c r="G48" t="str">
        <v>D</v>
      </c>
      <c r="H48" t="str">
        <v>D</v>
      </c>
      <c r="I48" t="str">
        <f ca="1">IF($A48="","",IF(COUNTA($R$2:$W$2)=6,"WK "&amp;_xlfn.ISOWEEKNUM($R$2)))</f>
        <v>WK 19</v>
      </c>
      <c r="J48" t="str">
        <f ca="1">IF($A48="","",IF(COUNTA($AF$2:$AK$2)=6,"WK "&amp;_xlfn.ISOWEEKNUM($AF$2)))</f>
        <v>WK 21</v>
      </c>
      <c r="K48" s="20" t="str">
        <f t="shared" ca="1" si="7"/>
        <v>ON</v>
      </c>
      <c r="L48" s="20" t="str">
        <f t="shared" ca="1" si="7"/>
        <v>ON</v>
      </c>
      <c r="M48" s="1" t="str">
        <f t="shared" ca="1" si="8"/>
        <v>ON</v>
      </c>
      <c r="N48" s="1" t="str">
        <f t="shared" ca="1" si="9"/>
        <v>ON</v>
      </c>
      <c r="O48" s="1" t="str">
        <f t="shared" ca="1" si="10"/>
        <v>ON</v>
      </c>
      <c r="P48" s="1" t="str">
        <f t="shared" ca="1" si="11"/>
        <v>ON</v>
      </c>
      <c r="Q48" s="1"/>
      <c r="R48" s="20" t="str">
        <f t="shared" ca="1" si="12"/>
        <v>ON</v>
      </c>
      <c r="S48" s="20" t="str">
        <f t="shared" ca="1" si="12"/>
        <v>ON</v>
      </c>
      <c r="T48" s="1" t="str">
        <f t="shared" ca="1" si="13"/>
        <v>ON</v>
      </c>
      <c r="U48" s="1" t="str">
        <f t="shared" ca="1" si="14"/>
        <v>ON</v>
      </c>
      <c r="V48" s="1" t="str">
        <f t="shared" ca="1" si="15"/>
        <v>ON</v>
      </c>
      <c r="W48" s="1" t="str">
        <f t="shared" ca="1" si="16"/>
        <v>OFF</v>
      </c>
      <c r="X48" s="1"/>
      <c r="Y48" s="20" t="str">
        <f t="shared" ca="1" si="17"/>
        <v>ON</v>
      </c>
      <c r="Z48" s="20" t="str">
        <f t="shared" ca="1" si="17"/>
        <v>ON</v>
      </c>
      <c r="AA48" s="1" t="str">
        <f t="shared" ca="1" si="18"/>
        <v>ON</v>
      </c>
      <c r="AB48" s="1" t="str">
        <f t="shared" ca="1" si="19"/>
        <v>ON</v>
      </c>
      <c r="AC48" s="1" t="str">
        <f t="shared" ca="1" si="20"/>
        <v>ON</v>
      </c>
      <c r="AD48" s="1" t="str">
        <f t="shared" ca="1" si="21"/>
        <v>ON</v>
      </c>
      <c r="AE48" s="1"/>
      <c r="AF48" s="20" t="str">
        <f t="shared" ca="1" si="22"/>
        <v>ON</v>
      </c>
      <c r="AG48" s="20" t="str">
        <f t="shared" ca="1" si="22"/>
        <v>ON</v>
      </c>
      <c r="AH48" s="1" t="str">
        <f t="shared" ca="1" si="23"/>
        <v>ON</v>
      </c>
      <c r="AI48" s="1" t="str">
        <f t="shared" ca="1" si="24"/>
        <v>ON</v>
      </c>
      <c r="AJ48" s="1" t="str">
        <f t="shared" ca="1" si="25"/>
        <v>ON</v>
      </c>
      <c r="AK48" s="1" t="str">
        <f t="shared" ca="1" si="26"/>
        <v>OFF</v>
      </c>
      <c r="AL48" s="1"/>
      <c r="AM48" s="20" t="str">
        <f t="shared" si="27"/>
        <v>ON</v>
      </c>
      <c r="AN48" s="20" t="str">
        <f t="shared" si="27"/>
        <v>ON</v>
      </c>
      <c r="AO48" s="20" t="str">
        <f t="shared" si="28"/>
        <v>ON</v>
      </c>
    </row>
    <row r="49" spans="1:41">
      <c r="A49" t="str">
        <f t="shared" ca="1" si="2"/>
        <v>Lagos</v>
      </c>
      <c r="B49" t="str">
        <f t="shared" ca="1" si="3"/>
        <v>C</v>
      </c>
      <c r="C49" t="str">
        <f t="shared" ca="1" si="4"/>
        <v>E1</v>
      </c>
      <c r="D49" s="8" t="s">
        <v>7</v>
      </c>
      <c r="E49">
        <f t="shared" ca="1" si="5"/>
        <v>25</v>
      </c>
      <c r="F49">
        <f t="shared" ca="1" si="6"/>
        <v>2</v>
      </c>
      <c r="G49" t="str" cm="1">
        <f t="array" ref="G49:G52">IF($G$5:$G$8={"A";"B";"C";"D"},{"D";"C";"B";"A"},{"A";"B";"C";"D"})</f>
        <v>D</v>
      </c>
      <c r="H49" t="str" cm="1">
        <f t="array" ref="H49:H52">IF($H$5:$H$8={"A";"B";"C";"D"},{"D";"C";"B";"A"},{"A";"B";"C";"D"})</f>
        <v>D</v>
      </c>
      <c r="I49" t="str">
        <f ca="1">IF($A49="","",IF(COUNTA($K$2:$P$2)=6,"WK "&amp;_xlfn.ISOWEEKNUM($K$2)))</f>
        <v>WK 18</v>
      </c>
      <c r="J49" t="str">
        <f ca="1">IF($A49="","",IF(COUNTA($Y$2:$AD$2)=6,"WK "&amp;_xlfn.ISOWEEKNUM($Y$2)))</f>
        <v>WK 20</v>
      </c>
      <c r="K49" s="20" t="str">
        <f t="shared" ca="1" si="7"/>
        <v>ON</v>
      </c>
      <c r="L49" s="20" t="str">
        <f t="shared" ca="1" si="7"/>
        <v>ON</v>
      </c>
      <c r="M49" s="1" t="str">
        <f t="shared" ca="1" si="8"/>
        <v>ON</v>
      </c>
      <c r="N49" s="1" t="str">
        <f t="shared" ca="1" si="9"/>
        <v>ON</v>
      </c>
      <c r="O49" s="1" t="str">
        <f t="shared" ca="1" si="10"/>
        <v>ON</v>
      </c>
      <c r="P49" s="1" t="str">
        <f t="shared" ca="1" si="11"/>
        <v>OFF</v>
      </c>
      <c r="Q49" s="1"/>
      <c r="R49" s="20" t="str">
        <f t="shared" ca="1" si="12"/>
        <v>ON</v>
      </c>
      <c r="S49" s="20" t="str">
        <f t="shared" ca="1" si="12"/>
        <v>ON</v>
      </c>
      <c r="T49" s="1" t="str">
        <f t="shared" ca="1" si="13"/>
        <v>ON</v>
      </c>
      <c r="U49" s="1" t="str">
        <f t="shared" ca="1" si="14"/>
        <v>ON</v>
      </c>
      <c r="V49" s="1" t="str">
        <f t="shared" ca="1" si="15"/>
        <v>ON</v>
      </c>
      <c r="W49" s="1" t="str">
        <f t="shared" ca="1" si="16"/>
        <v>ON</v>
      </c>
      <c r="X49" s="1"/>
      <c r="Y49" s="20" t="str">
        <f t="shared" ca="1" si="17"/>
        <v>ON</v>
      </c>
      <c r="Z49" s="20" t="str">
        <f t="shared" ca="1" si="17"/>
        <v>ON</v>
      </c>
      <c r="AA49" s="1" t="str">
        <f t="shared" ca="1" si="18"/>
        <v>ON</v>
      </c>
      <c r="AB49" s="1" t="str">
        <f t="shared" ca="1" si="19"/>
        <v>ON</v>
      </c>
      <c r="AC49" s="1" t="str">
        <f t="shared" ca="1" si="20"/>
        <v>ON</v>
      </c>
      <c r="AD49" s="1" t="str">
        <f t="shared" ca="1" si="21"/>
        <v>OFF</v>
      </c>
      <c r="AE49" s="1"/>
      <c r="AF49" s="20" t="str">
        <f t="shared" ca="1" si="22"/>
        <v>ON</v>
      </c>
      <c r="AG49" s="20" t="str">
        <f t="shared" ca="1" si="22"/>
        <v>ON</v>
      </c>
      <c r="AH49" s="1" t="str">
        <f t="shared" ca="1" si="23"/>
        <v>ON</v>
      </c>
      <c r="AI49" s="1" t="str">
        <f t="shared" ca="1" si="24"/>
        <v>ON</v>
      </c>
      <c r="AJ49" s="1" t="str">
        <f t="shared" ca="1" si="25"/>
        <v>ON</v>
      </c>
      <c r="AK49" s="1" t="str">
        <f t="shared" ca="1" si="26"/>
        <v>ON</v>
      </c>
      <c r="AL49" s="1"/>
      <c r="AM49" s="20" t="str">
        <f t="shared" si="27"/>
        <v>ON</v>
      </c>
      <c r="AN49" s="20" t="str">
        <f t="shared" si="27"/>
        <v>ON</v>
      </c>
      <c r="AO49" s="20" t="str">
        <f t="shared" si="28"/>
        <v>ON</v>
      </c>
    </row>
    <row r="50" spans="1:41">
      <c r="A50" t="str">
        <f t="shared" ca="1" si="2"/>
        <v>Ondo</v>
      </c>
      <c r="B50" t="str">
        <f t="shared" ca="1" si="3"/>
        <v>D</v>
      </c>
      <c r="C50" t="str">
        <f t="shared" ca="1" si="4"/>
        <v>A1</v>
      </c>
      <c r="D50" s="8" t="s">
        <v>4</v>
      </c>
      <c r="E50">
        <f t="shared" ca="1" si="5"/>
        <v>25</v>
      </c>
      <c r="F50">
        <f t="shared" ca="1" si="6"/>
        <v>2</v>
      </c>
      <c r="G50" t="str">
        <v>C</v>
      </c>
      <c r="H50" t="str">
        <v>C</v>
      </c>
      <c r="I50" t="str">
        <f ca="1">IF($A50="","",IF(COUNTA($R$2:$W$2)=6,"WK "&amp;_xlfn.ISOWEEKNUM($R$2)))</f>
        <v>WK 19</v>
      </c>
      <c r="J50" t="str">
        <f ca="1">IF($A50="","",IF(COUNTA($AF$2:$AK$2)=6,"WK "&amp;_xlfn.ISOWEEKNUM($AF$2)))</f>
        <v>WK 21</v>
      </c>
      <c r="K50" s="20" t="str">
        <f t="shared" ca="1" si="7"/>
        <v>ON</v>
      </c>
      <c r="L50" s="20" t="str">
        <f t="shared" ca="1" si="7"/>
        <v>ON</v>
      </c>
      <c r="M50" s="1" t="str">
        <f t="shared" ca="1" si="8"/>
        <v>ON</v>
      </c>
      <c r="N50" s="1" t="str">
        <f t="shared" ca="1" si="9"/>
        <v>ON</v>
      </c>
      <c r="O50" s="1" t="str">
        <f t="shared" ca="1" si="10"/>
        <v>ON</v>
      </c>
      <c r="P50" s="1" t="str">
        <f t="shared" ca="1" si="11"/>
        <v>ON</v>
      </c>
      <c r="Q50" s="1"/>
      <c r="R50" s="20" t="str">
        <f t="shared" ca="1" si="12"/>
        <v>ON</v>
      </c>
      <c r="S50" s="20" t="str">
        <f t="shared" ca="1" si="12"/>
        <v>ON</v>
      </c>
      <c r="T50" s="1" t="str">
        <f t="shared" ca="1" si="13"/>
        <v>ON</v>
      </c>
      <c r="U50" s="1" t="str">
        <f t="shared" ca="1" si="14"/>
        <v>ON</v>
      </c>
      <c r="V50" s="1" t="str">
        <f t="shared" ca="1" si="15"/>
        <v>OFF</v>
      </c>
      <c r="W50" s="1" t="str">
        <f t="shared" ca="1" si="16"/>
        <v>ON</v>
      </c>
      <c r="X50" s="1"/>
      <c r="Y50" s="20" t="str">
        <f t="shared" ca="1" si="17"/>
        <v>ON</v>
      </c>
      <c r="Z50" s="20" t="str">
        <f t="shared" ca="1" si="17"/>
        <v>ON</v>
      </c>
      <c r="AA50" s="1" t="str">
        <f t="shared" ca="1" si="18"/>
        <v>ON</v>
      </c>
      <c r="AB50" s="1" t="str">
        <f t="shared" ca="1" si="19"/>
        <v>ON</v>
      </c>
      <c r="AC50" s="1" t="str">
        <f t="shared" ca="1" si="20"/>
        <v>ON</v>
      </c>
      <c r="AD50" s="1" t="str">
        <f t="shared" ca="1" si="21"/>
        <v>ON</v>
      </c>
      <c r="AE50" s="1"/>
      <c r="AF50" s="20" t="str">
        <f t="shared" ca="1" si="22"/>
        <v>ON</v>
      </c>
      <c r="AG50" s="20" t="str">
        <f t="shared" ca="1" si="22"/>
        <v>ON</v>
      </c>
      <c r="AH50" s="1" t="str">
        <f t="shared" ca="1" si="23"/>
        <v>ON</v>
      </c>
      <c r="AI50" s="1" t="str">
        <f t="shared" ca="1" si="24"/>
        <v>ON</v>
      </c>
      <c r="AJ50" s="1" t="str">
        <f t="shared" ca="1" si="25"/>
        <v>OFF</v>
      </c>
      <c r="AK50" s="1" t="str">
        <f t="shared" ca="1" si="26"/>
        <v>ON</v>
      </c>
      <c r="AL50" s="1"/>
      <c r="AM50" s="20" t="str">
        <f t="shared" si="27"/>
        <v>ON</v>
      </c>
      <c r="AN50" s="20" t="str">
        <f t="shared" si="27"/>
        <v>ON</v>
      </c>
      <c r="AO50" s="20" t="str">
        <f t="shared" si="28"/>
        <v>ON</v>
      </c>
    </row>
    <row r="51" spans="1:41">
      <c r="A51" t="str">
        <f t="shared" ca="1" si="2"/>
        <v>Ondo</v>
      </c>
      <c r="B51" t="str">
        <f t="shared" ca="1" si="3"/>
        <v>A</v>
      </c>
      <c r="C51" t="str">
        <f t="shared" ca="1" si="4"/>
        <v>B1</v>
      </c>
      <c r="D51" s="3" t="s">
        <v>9</v>
      </c>
      <c r="E51">
        <f t="shared" ca="1" si="5"/>
        <v>25</v>
      </c>
      <c r="F51">
        <f t="shared" ca="1" si="6"/>
        <v>2</v>
      </c>
      <c r="G51" t="str">
        <v>B</v>
      </c>
      <c r="H51" t="str">
        <v>B</v>
      </c>
      <c r="I51" t="str">
        <f ca="1">IF($A51="","",IF(COUNTA($K$2:$P$2)=6,"WK "&amp;_xlfn.ISOWEEKNUM($K$2)))</f>
        <v>WK 18</v>
      </c>
      <c r="J51" t="str">
        <f ca="1">IF($A51="","",IF(COUNTA($Y$2:$AD$2)=6,"WK "&amp;_xlfn.ISOWEEKNUM($Y$2)))</f>
        <v>WK 20</v>
      </c>
      <c r="K51" s="20" t="str">
        <f t="shared" ca="1" si="7"/>
        <v>ON</v>
      </c>
      <c r="L51" s="20" t="str">
        <f t="shared" ca="1" si="7"/>
        <v>ON</v>
      </c>
      <c r="M51" s="1" t="str">
        <f t="shared" ca="1" si="8"/>
        <v>ON</v>
      </c>
      <c r="N51" s="1" t="str">
        <f t="shared" ca="1" si="9"/>
        <v>OFF</v>
      </c>
      <c r="O51" s="1" t="str">
        <f t="shared" ca="1" si="10"/>
        <v>ON</v>
      </c>
      <c r="P51" s="1" t="str">
        <f t="shared" ca="1" si="11"/>
        <v>ON</v>
      </c>
      <c r="Q51" s="1"/>
      <c r="R51" s="20" t="str">
        <f t="shared" ca="1" si="12"/>
        <v>ON</v>
      </c>
      <c r="S51" s="20" t="str">
        <f t="shared" ca="1" si="12"/>
        <v>ON</v>
      </c>
      <c r="T51" s="1" t="str">
        <f t="shared" ca="1" si="13"/>
        <v>ON</v>
      </c>
      <c r="U51" s="1" t="str">
        <f t="shared" ca="1" si="14"/>
        <v>ON</v>
      </c>
      <c r="V51" s="1" t="str">
        <f t="shared" ca="1" si="15"/>
        <v>ON</v>
      </c>
      <c r="W51" s="1" t="str">
        <f t="shared" ca="1" si="16"/>
        <v>ON</v>
      </c>
      <c r="X51" s="1"/>
      <c r="Y51" s="20" t="str">
        <f t="shared" ca="1" si="17"/>
        <v>ON</v>
      </c>
      <c r="Z51" s="20" t="str">
        <f t="shared" ca="1" si="17"/>
        <v>ON</v>
      </c>
      <c r="AA51" s="1" t="str">
        <f t="shared" ca="1" si="18"/>
        <v>ON</v>
      </c>
      <c r="AB51" s="1" t="str">
        <f t="shared" ca="1" si="19"/>
        <v>OFF</v>
      </c>
      <c r="AC51" s="1" t="str">
        <f t="shared" ca="1" si="20"/>
        <v>ON</v>
      </c>
      <c r="AD51" s="1" t="str">
        <f t="shared" ca="1" si="21"/>
        <v>ON</v>
      </c>
      <c r="AE51" s="1"/>
      <c r="AF51" s="20" t="str">
        <f t="shared" ca="1" si="22"/>
        <v>ON</v>
      </c>
      <c r="AG51" s="20" t="str">
        <f t="shared" ca="1" si="22"/>
        <v>ON</v>
      </c>
      <c r="AH51" s="1" t="str">
        <f t="shared" ca="1" si="23"/>
        <v>ON</v>
      </c>
      <c r="AI51" s="1" t="str">
        <f t="shared" ca="1" si="24"/>
        <v>ON</v>
      </c>
      <c r="AJ51" s="1" t="str">
        <f t="shared" ca="1" si="25"/>
        <v>ON</v>
      </c>
      <c r="AK51" s="1" t="str">
        <f t="shared" ca="1" si="26"/>
        <v>ON</v>
      </c>
      <c r="AL51" s="1"/>
      <c r="AM51" s="20" t="str">
        <f t="shared" si="27"/>
        <v>ON</v>
      </c>
      <c r="AN51" s="20" t="str">
        <f t="shared" si="27"/>
        <v>ON</v>
      </c>
      <c r="AO51" s="20" t="str">
        <f t="shared" si="28"/>
        <v>ON</v>
      </c>
    </row>
    <row r="52" spans="1:41">
      <c r="A52" t="str">
        <f t="shared" ca="1" si="2"/>
        <v>Ogun</v>
      </c>
      <c r="B52" t="str">
        <f t="shared" ca="1" si="3"/>
        <v>B</v>
      </c>
      <c r="C52" t="str">
        <f t="shared" ca="1" si="4"/>
        <v>A1</v>
      </c>
      <c r="D52" s="3" t="s">
        <v>8</v>
      </c>
      <c r="E52">
        <f t="shared" ca="1" si="5"/>
        <v>25</v>
      </c>
      <c r="F52">
        <f t="shared" ca="1" si="6"/>
        <v>2</v>
      </c>
      <c r="G52" t="str">
        <v>A</v>
      </c>
      <c r="H52" t="str">
        <v>A</v>
      </c>
      <c r="I52" t="str">
        <f ca="1">IF($A52="","",IF(COUNTA($R$2:$W$2)=6,"WK "&amp;_xlfn.ISOWEEKNUM($R$2)))</f>
        <v>WK 19</v>
      </c>
      <c r="J52" t="str">
        <f ca="1">IF($A52="","",IF(COUNTA($AF$2:$AK$2)=6,"WK "&amp;_xlfn.ISOWEEKNUM($AF$2)))</f>
        <v>WK 21</v>
      </c>
      <c r="K52" s="20" t="str">
        <f t="shared" ca="1" si="7"/>
        <v>ON</v>
      </c>
      <c r="L52" s="20" t="str">
        <f t="shared" ca="1" si="7"/>
        <v>ON</v>
      </c>
      <c r="M52" s="1" t="str">
        <f t="shared" ca="1" si="8"/>
        <v>ON</v>
      </c>
      <c r="N52" s="1" t="str">
        <f t="shared" ca="1" si="9"/>
        <v>ON</v>
      </c>
      <c r="O52" s="1" t="str">
        <f t="shared" ca="1" si="10"/>
        <v>ON</v>
      </c>
      <c r="P52" s="1" t="str">
        <f t="shared" ca="1" si="11"/>
        <v>ON</v>
      </c>
      <c r="Q52" s="1"/>
      <c r="R52" s="20" t="str">
        <f t="shared" ca="1" si="12"/>
        <v>ON</v>
      </c>
      <c r="S52" s="20" t="str">
        <f t="shared" ca="1" si="12"/>
        <v>ON</v>
      </c>
      <c r="T52" s="1" t="str">
        <f t="shared" ca="1" si="13"/>
        <v>OFF</v>
      </c>
      <c r="U52" s="1" t="str">
        <f t="shared" ca="1" si="14"/>
        <v>ON</v>
      </c>
      <c r="V52" s="1" t="str">
        <f t="shared" ca="1" si="15"/>
        <v>ON</v>
      </c>
      <c r="W52" s="1" t="str">
        <f t="shared" ca="1" si="16"/>
        <v>ON</v>
      </c>
      <c r="X52" s="1"/>
      <c r="Y52" s="20" t="str">
        <f t="shared" ca="1" si="17"/>
        <v>ON</v>
      </c>
      <c r="Z52" s="20" t="str">
        <f t="shared" ca="1" si="17"/>
        <v>ON</v>
      </c>
      <c r="AA52" s="1" t="str">
        <f t="shared" ca="1" si="18"/>
        <v>ON</v>
      </c>
      <c r="AB52" s="1" t="str">
        <f t="shared" ca="1" si="19"/>
        <v>ON</v>
      </c>
      <c r="AC52" s="1" t="str">
        <f t="shared" ca="1" si="20"/>
        <v>ON</v>
      </c>
      <c r="AD52" s="1" t="str">
        <f t="shared" ca="1" si="21"/>
        <v>ON</v>
      </c>
      <c r="AE52" s="1"/>
      <c r="AF52" s="20" t="str">
        <f t="shared" ca="1" si="22"/>
        <v>ON</v>
      </c>
      <c r="AG52" s="20" t="str">
        <f t="shared" ca="1" si="22"/>
        <v>ON</v>
      </c>
      <c r="AH52" s="1" t="str">
        <f t="shared" ca="1" si="23"/>
        <v>OFF</v>
      </c>
      <c r="AI52" s="1" t="str">
        <f t="shared" ca="1" si="24"/>
        <v>ON</v>
      </c>
      <c r="AJ52" s="1" t="str">
        <f t="shared" ca="1" si="25"/>
        <v>ON</v>
      </c>
      <c r="AK52" s="1" t="str">
        <f t="shared" ca="1" si="26"/>
        <v>ON</v>
      </c>
      <c r="AL52" s="1"/>
      <c r="AM52" s="20" t="str">
        <f t="shared" si="27"/>
        <v>ON</v>
      </c>
      <c r="AN52" s="20" t="str">
        <f t="shared" si="27"/>
        <v>ON</v>
      </c>
      <c r="AO52" s="20" t="str">
        <f t="shared" si="28"/>
        <v>ON</v>
      </c>
    </row>
    <row r="53" spans="1:41">
      <c r="A53" t="str">
        <f t="shared" ca="1" si="2"/>
        <v>Ogun</v>
      </c>
      <c r="B53" t="str">
        <f t="shared" ca="1" si="3"/>
        <v>E</v>
      </c>
      <c r="C53" t="str">
        <f t="shared" ca="1" si="4"/>
        <v>B1</v>
      </c>
      <c r="D53" s="3" t="s">
        <v>8</v>
      </c>
      <c r="E53">
        <f t="shared" ca="1" si="5"/>
        <v>25</v>
      </c>
      <c r="F53">
        <f t="shared" ca="1" si="6"/>
        <v>2</v>
      </c>
      <c r="G53" t="str" cm="1">
        <f t="array" ref="G53:G56">Groups!$B$2:$B$5</f>
        <v>A</v>
      </c>
      <c r="H53" t="str" cm="1">
        <f t="array" ref="H53:H56">Groups!$B$2:$B$5</f>
        <v>A</v>
      </c>
      <c r="I53" t="str">
        <f ca="1">IF($A53="","",IF(COUNTA($K$2:$P$2)=6,"WK "&amp;_xlfn.ISOWEEKNUM($K$2)))</f>
        <v>WK 18</v>
      </c>
      <c r="J53" t="str">
        <f ca="1">IF($A53="","",IF(COUNTA($Y$2:$AD$2)=6,"WK "&amp;_xlfn.ISOWEEKNUM($Y$2)))</f>
        <v>WK 20</v>
      </c>
      <c r="K53" s="20" t="str">
        <f t="shared" ca="1" si="7"/>
        <v>ON</v>
      </c>
      <c r="L53" s="20" t="str">
        <f t="shared" ca="1" si="7"/>
        <v>ON</v>
      </c>
      <c r="M53" s="1" t="str">
        <f t="shared" ca="1" si="8"/>
        <v>OFF</v>
      </c>
      <c r="N53" s="1" t="str">
        <f t="shared" ca="1" si="9"/>
        <v>ON</v>
      </c>
      <c r="O53" s="1" t="str">
        <f t="shared" ca="1" si="10"/>
        <v>ON</v>
      </c>
      <c r="P53" s="1" t="str">
        <f t="shared" ca="1" si="11"/>
        <v>ON</v>
      </c>
      <c r="Q53" s="1"/>
      <c r="R53" s="20" t="str">
        <f t="shared" ca="1" si="12"/>
        <v>ON</v>
      </c>
      <c r="S53" s="20" t="str">
        <f t="shared" ca="1" si="12"/>
        <v>ON</v>
      </c>
      <c r="T53" s="1" t="str">
        <f t="shared" ca="1" si="13"/>
        <v>ON</v>
      </c>
      <c r="U53" s="1" t="str">
        <f t="shared" ca="1" si="14"/>
        <v>ON</v>
      </c>
      <c r="V53" s="1" t="str">
        <f t="shared" ca="1" si="15"/>
        <v>ON</v>
      </c>
      <c r="W53" s="1" t="str">
        <f t="shared" ca="1" si="16"/>
        <v>ON</v>
      </c>
      <c r="X53" s="1"/>
      <c r="Y53" s="20" t="str">
        <f t="shared" ca="1" si="17"/>
        <v>ON</v>
      </c>
      <c r="Z53" s="20" t="str">
        <f t="shared" ca="1" si="17"/>
        <v>ON</v>
      </c>
      <c r="AA53" s="1" t="str">
        <f t="shared" ca="1" si="18"/>
        <v>OFF</v>
      </c>
      <c r="AB53" s="1" t="str">
        <f t="shared" ca="1" si="19"/>
        <v>ON</v>
      </c>
      <c r="AC53" s="1" t="str">
        <f t="shared" ca="1" si="20"/>
        <v>ON</v>
      </c>
      <c r="AD53" s="1" t="str">
        <f t="shared" ca="1" si="21"/>
        <v>ON</v>
      </c>
      <c r="AE53" s="1"/>
      <c r="AF53" s="20" t="str">
        <f t="shared" ca="1" si="22"/>
        <v>ON</v>
      </c>
      <c r="AG53" s="20" t="str">
        <f t="shared" ca="1" si="22"/>
        <v>ON</v>
      </c>
      <c r="AH53" s="1" t="str">
        <f t="shared" ca="1" si="23"/>
        <v>ON</v>
      </c>
      <c r="AI53" s="1" t="str">
        <f t="shared" ca="1" si="24"/>
        <v>ON</v>
      </c>
      <c r="AJ53" s="1" t="str">
        <f t="shared" ca="1" si="25"/>
        <v>ON</v>
      </c>
      <c r="AK53" s="1" t="str">
        <f t="shared" ca="1" si="26"/>
        <v>ON</v>
      </c>
      <c r="AL53" s="1"/>
      <c r="AM53" s="20" t="str">
        <f t="shared" si="27"/>
        <v>ON</v>
      </c>
      <c r="AN53" s="20" t="str">
        <f t="shared" si="27"/>
        <v>ON</v>
      </c>
      <c r="AO53" s="20" t="str">
        <f t="shared" si="28"/>
        <v>ON</v>
      </c>
    </row>
    <row r="54" spans="1:41">
      <c r="A54" t="str">
        <f t="shared" ca="1" si="2"/>
        <v>Lagos</v>
      </c>
      <c r="B54" t="str">
        <f t="shared" ca="1" si="3"/>
        <v>B</v>
      </c>
      <c r="C54" t="str">
        <f t="shared" ca="1" si="4"/>
        <v>C1</v>
      </c>
      <c r="D54" t="s">
        <v>7</v>
      </c>
      <c r="E54">
        <f t="shared" ca="1" si="5"/>
        <v>25</v>
      </c>
      <c r="F54">
        <f t="shared" ca="1" si="6"/>
        <v>2</v>
      </c>
      <c r="G54" t="str">
        <v>B</v>
      </c>
      <c r="H54" t="str">
        <v>B</v>
      </c>
      <c r="I54" t="str">
        <f ca="1">IF($A54="","",IF(COUNTA($R$2:$W$2)=6,"WK "&amp;_xlfn.ISOWEEKNUM($R$2)))</f>
        <v>WK 19</v>
      </c>
      <c r="J54" t="str">
        <f ca="1">IF($A54="","",IF(COUNTA($AF$2:$AK$2)=6,"WK "&amp;_xlfn.ISOWEEKNUM($AF$2)))</f>
        <v>WK 21</v>
      </c>
      <c r="K54" s="20" t="str">
        <f t="shared" ca="1" si="7"/>
        <v>ON</v>
      </c>
      <c r="L54" s="20" t="str">
        <f t="shared" ca="1" si="7"/>
        <v>ON</v>
      </c>
      <c r="M54" s="1" t="str">
        <f t="shared" ca="1" si="8"/>
        <v>ON</v>
      </c>
      <c r="N54" s="1" t="str">
        <f t="shared" ca="1" si="9"/>
        <v>ON</v>
      </c>
      <c r="O54" s="1" t="str">
        <f t="shared" ca="1" si="10"/>
        <v>ON</v>
      </c>
      <c r="P54" s="1" t="str">
        <f t="shared" ca="1" si="11"/>
        <v>ON</v>
      </c>
      <c r="Q54" s="1"/>
      <c r="R54" s="20" t="str">
        <f t="shared" ca="1" si="12"/>
        <v>ON</v>
      </c>
      <c r="S54" s="20" t="str">
        <f t="shared" ca="1" si="12"/>
        <v>ON</v>
      </c>
      <c r="T54" s="1" t="str">
        <f t="shared" ca="1" si="13"/>
        <v>ON</v>
      </c>
      <c r="U54" s="1" t="str">
        <f t="shared" ca="1" si="14"/>
        <v>OFF</v>
      </c>
      <c r="V54" s="1" t="str">
        <f t="shared" ca="1" si="15"/>
        <v>ON</v>
      </c>
      <c r="W54" s="1" t="str">
        <f t="shared" ca="1" si="16"/>
        <v>ON</v>
      </c>
      <c r="X54" s="1"/>
      <c r="Y54" s="20" t="str">
        <f t="shared" ca="1" si="17"/>
        <v>ON</v>
      </c>
      <c r="Z54" s="20" t="str">
        <f t="shared" ca="1" si="17"/>
        <v>ON</v>
      </c>
      <c r="AA54" s="1" t="str">
        <f t="shared" ca="1" si="18"/>
        <v>ON</v>
      </c>
      <c r="AB54" s="1" t="str">
        <f t="shared" ca="1" si="19"/>
        <v>ON</v>
      </c>
      <c r="AC54" s="1" t="str">
        <f t="shared" ca="1" si="20"/>
        <v>ON</v>
      </c>
      <c r="AD54" s="1" t="str">
        <f t="shared" ca="1" si="21"/>
        <v>ON</v>
      </c>
      <c r="AE54" s="1"/>
      <c r="AF54" s="20" t="str">
        <f t="shared" ca="1" si="22"/>
        <v>ON</v>
      </c>
      <c r="AG54" s="20" t="str">
        <f t="shared" ca="1" si="22"/>
        <v>ON</v>
      </c>
      <c r="AH54" s="1" t="str">
        <f t="shared" ca="1" si="23"/>
        <v>ON</v>
      </c>
      <c r="AI54" s="1" t="str">
        <f t="shared" ca="1" si="24"/>
        <v>OFF</v>
      </c>
      <c r="AJ54" s="1" t="str">
        <f t="shared" ca="1" si="25"/>
        <v>ON</v>
      </c>
      <c r="AK54" s="1" t="str">
        <f t="shared" ca="1" si="26"/>
        <v>ON</v>
      </c>
      <c r="AL54" s="1"/>
      <c r="AM54" s="20" t="str">
        <f t="shared" si="27"/>
        <v>ON</v>
      </c>
      <c r="AN54" s="20" t="str">
        <f t="shared" si="27"/>
        <v>ON</v>
      </c>
      <c r="AO54" s="20" t="str">
        <f t="shared" si="28"/>
        <v>ON</v>
      </c>
    </row>
    <row r="55" spans="1:41">
      <c r="A55" t="str">
        <f t="shared" ca="1" si="2"/>
        <v>Lagos</v>
      </c>
      <c r="B55" t="str">
        <f t="shared" ca="1" si="3"/>
        <v>C</v>
      </c>
      <c r="C55" t="str">
        <f t="shared" ca="1" si="4"/>
        <v>D1</v>
      </c>
      <c r="D55" t="s">
        <v>7</v>
      </c>
      <c r="E55">
        <f t="shared" ca="1" si="5"/>
        <v>25</v>
      </c>
      <c r="F55">
        <f t="shared" ca="1" si="6"/>
        <v>2</v>
      </c>
      <c r="G55" t="str">
        <v>C</v>
      </c>
      <c r="H55" t="str">
        <v>C</v>
      </c>
      <c r="I55" t="str">
        <f ca="1">IF($A55="","",IF(COUNTA($K$2:$P$2)=6,"WK "&amp;_xlfn.ISOWEEKNUM($K$2)))</f>
        <v>WK 18</v>
      </c>
      <c r="J55" t="str">
        <f ca="1">IF($A55="","",IF(COUNTA($Y$2:$AD$2)=6,"WK "&amp;_xlfn.ISOWEEKNUM($Y$2)))</f>
        <v>WK 20</v>
      </c>
      <c r="K55" s="20" t="str">
        <f t="shared" ca="1" si="7"/>
        <v>ON</v>
      </c>
      <c r="L55" s="20" t="str">
        <f t="shared" ca="1" si="7"/>
        <v>ON</v>
      </c>
      <c r="M55" s="1" t="str">
        <f t="shared" ca="1" si="8"/>
        <v>ON</v>
      </c>
      <c r="N55" s="1" t="str">
        <f t="shared" ca="1" si="9"/>
        <v>ON</v>
      </c>
      <c r="O55" s="1" t="str">
        <f t="shared" ca="1" si="10"/>
        <v>OFF</v>
      </c>
      <c r="P55" s="1" t="str">
        <f t="shared" ca="1" si="11"/>
        <v>ON</v>
      </c>
      <c r="Q55" s="1"/>
      <c r="R55" s="20" t="str">
        <f t="shared" ca="1" si="12"/>
        <v>ON</v>
      </c>
      <c r="S55" s="20" t="str">
        <f t="shared" ca="1" si="12"/>
        <v>ON</v>
      </c>
      <c r="T55" s="1" t="str">
        <f t="shared" ca="1" si="13"/>
        <v>ON</v>
      </c>
      <c r="U55" s="1" t="str">
        <f t="shared" ca="1" si="14"/>
        <v>ON</v>
      </c>
      <c r="V55" s="1" t="str">
        <f t="shared" ca="1" si="15"/>
        <v>ON</v>
      </c>
      <c r="W55" s="1" t="str">
        <f t="shared" ca="1" si="16"/>
        <v>ON</v>
      </c>
      <c r="X55" s="1"/>
      <c r="Y55" s="20" t="str">
        <f t="shared" ca="1" si="17"/>
        <v>ON</v>
      </c>
      <c r="Z55" s="20" t="str">
        <f t="shared" ca="1" si="17"/>
        <v>ON</v>
      </c>
      <c r="AA55" s="1" t="str">
        <f t="shared" ca="1" si="18"/>
        <v>ON</v>
      </c>
      <c r="AB55" s="1" t="str">
        <f t="shared" ca="1" si="19"/>
        <v>ON</v>
      </c>
      <c r="AC55" s="1" t="str">
        <f t="shared" ca="1" si="20"/>
        <v>OFF</v>
      </c>
      <c r="AD55" s="1" t="str">
        <f t="shared" ca="1" si="21"/>
        <v>ON</v>
      </c>
      <c r="AE55" s="1"/>
      <c r="AF55" s="20" t="str">
        <f t="shared" ca="1" si="22"/>
        <v>ON</v>
      </c>
      <c r="AG55" s="20" t="str">
        <f t="shared" ca="1" si="22"/>
        <v>ON</v>
      </c>
      <c r="AH55" s="1" t="str">
        <f t="shared" ca="1" si="23"/>
        <v>ON</v>
      </c>
      <c r="AI55" s="1" t="str">
        <f t="shared" ca="1" si="24"/>
        <v>ON</v>
      </c>
      <c r="AJ55" s="1" t="str">
        <f t="shared" ca="1" si="25"/>
        <v>ON</v>
      </c>
      <c r="AK55" s="1" t="str">
        <f t="shared" ca="1" si="26"/>
        <v>ON</v>
      </c>
      <c r="AL55" s="1"/>
      <c r="AM55" s="20" t="str">
        <f t="shared" si="27"/>
        <v>ON</v>
      </c>
      <c r="AN55" s="20" t="str">
        <f t="shared" si="27"/>
        <v>ON</v>
      </c>
      <c r="AO55" s="20" t="str">
        <f t="shared" si="28"/>
        <v>ON</v>
      </c>
    </row>
    <row r="56" spans="1:41">
      <c r="A56" t="str">
        <f t="shared" ca="1" si="2"/>
        <v>Ekiti</v>
      </c>
      <c r="B56" t="str">
        <f t="shared" ca="1" si="3"/>
        <v>C</v>
      </c>
      <c r="C56" t="str">
        <f t="shared" ca="1" si="4"/>
        <v>E1</v>
      </c>
      <c r="D56" t="s">
        <v>7</v>
      </c>
      <c r="E56">
        <f t="shared" ca="1" si="5"/>
        <v>25</v>
      </c>
      <c r="F56">
        <f t="shared" ca="1" si="6"/>
        <v>2</v>
      </c>
      <c r="G56" t="str">
        <v>D</v>
      </c>
      <c r="H56" t="str">
        <v>D</v>
      </c>
      <c r="I56" t="str">
        <f ca="1">IF($A56="","",IF(COUNTA($R$2:$W$2)=6,"WK "&amp;_xlfn.ISOWEEKNUM($R$2)))</f>
        <v>WK 19</v>
      </c>
      <c r="J56" t="str">
        <f ca="1">IF($A56="","",IF(COUNTA($AF$2:$AK$2)=6,"WK "&amp;_xlfn.ISOWEEKNUM($AF$2)))</f>
        <v>WK 21</v>
      </c>
      <c r="K56" s="20" t="str">
        <f t="shared" ca="1" si="7"/>
        <v>ON</v>
      </c>
      <c r="L56" s="20" t="str">
        <f t="shared" ca="1" si="7"/>
        <v>ON</v>
      </c>
      <c r="M56" s="1" t="str">
        <f t="shared" ca="1" si="8"/>
        <v>ON</v>
      </c>
      <c r="N56" s="1" t="str">
        <f t="shared" ca="1" si="9"/>
        <v>ON</v>
      </c>
      <c r="O56" s="1" t="str">
        <f t="shared" ca="1" si="10"/>
        <v>ON</v>
      </c>
      <c r="P56" s="1" t="str">
        <f t="shared" ca="1" si="11"/>
        <v>ON</v>
      </c>
      <c r="Q56" s="1"/>
      <c r="R56" s="20" t="str">
        <f t="shared" ca="1" si="12"/>
        <v>ON</v>
      </c>
      <c r="S56" s="20" t="str">
        <f t="shared" ca="1" si="12"/>
        <v>ON</v>
      </c>
      <c r="T56" s="1" t="str">
        <f t="shared" ca="1" si="13"/>
        <v>ON</v>
      </c>
      <c r="U56" s="1" t="str">
        <f t="shared" ca="1" si="14"/>
        <v>ON</v>
      </c>
      <c r="V56" s="1" t="str">
        <f t="shared" ca="1" si="15"/>
        <v>ON</v>
      </c>
      <c r="W56" s="1" t="str">
        <f t="shared" ca="1" si="16"/>
        <v>OFF</v>
      </c>
      <c r="X56" s="1"/>
      <c r="Y56" s="20" t="str">
        <f t="shared" ca="1" si="17"/>
        <v>ON</v>
      </c>
      <c r="Z56" s="20" t="str">
        <f t="shared" ca="1" si="17"/>
        <v>ON</v>
      </c>
      <c r="AA56" s="1" t="str">
        <f t="shared" ca="1" si="18"/>
        <v>ON</v>
      </c>
      <c r="AB56" s="1" t="str">
        <f t="shared" ca="1" si="19"/>
        <v>ON</v>
      </c>
      <c r="AC56" s="1" t="str">
        <f t="shared" ca="1" si="20"/>
        <v>ON</v>
      </c>
      <c r="AD56" s="1" t="str">
        <f t="shared" ca="1" si="21"/>
        <v>ON</v>
      </c>
      <c r="AE56" s="1"/>
      <c r="AF56" s="20" t="str">
        <f t="shared" ca="1" si="22"/>
        <v>ON</v>
      </c>
      <c r="AG56" s="20" t="str">
        <f t="shared" ca="1" si="22"/>
        <v>ON</v>
      </c>
      <c r="AH56" s="1" t="str">
        <f t="shared" ca="1" si="23"/>
        <v>ON</v>
      </c>
      <c r="AI56" s="1" t="str">
        <f t="shared" ca="1" si="24"/>
        <v>ON</v>
      </c>
      <c r="AJ56" s="1" t="str">
        <f t="shared" ca="1" si="25"/>
        <v>ON</v>
      </c>
      <c r="AK56" s="1" t="str">
        <f t="shared" ca="1" si="26"/>
        <v>OFF</v>
      </c>
      <c r="AL56" s="1"/>
      <c r="AM56" s="20" t="str">
        <f t="shared" si="27"/>
        <v>ON</v>
      </c>
      <c r="AN56" s="20" t="str">
        <f t="shared" si="27"/>
        <v>ON</v>
      </c>
      <c r="AO56" s="20" t="str">
        <f t="shared" si="28"/>
        <v>ON</v>
      </c>
    </row>
    <row r="57" spans="1:41">
      <c r="A57" t="str">
        <f t="shared" ca="1" si="2"/>
        <v>Ondo</v>
      </c>
      <c r="B57" t="str">
        <f t="shared" ca="1" si="3"/>
        <v>A</v>
      </c>
      <c r="C57" t="str">
        <f t="shared" ca="1" si="4"/>
        <v>E1</v>
      </c>
      <c r="D57" t="s">
        <v>7</v>
      </c>
      <c r="E57">
        <f t="shared" ca="1" si="5"/>
        <v>25</v>
      </c>
      <c r="F57">
        <f t="shared" ca="1" si="6"/>
        <v>2</v>
      </c>
      <c r="G57" t="str" cm="1">
        <f t="array" ref="G57:G60">IF($G$5:$G$8={"A";"B";"C";"D"},{"D";"C";"B";"A"},{"A";"B";"C";"D"})</f>
        <v>D</v>
      </c>
      <c r="H57" t="str" cm="1">
        <f t="array" ref="H57:H60">IF($H$5:$H$8={"A";"B";"C";"D"},{"D";"C";"B";"A"},{"A";"B";"C";"D"})</f>
        <v>D</v>
      </c>
      <c r="I57" t="str">
        <f ca="1">IF($A57="","",IF(COUNTA($K$2:$P$2)=6,"WK "&amp;_xlfn.ISOWEEKNUM($K$2)))</f>
        <v>WK 18</v>
      </c>
      <c r="J57" t="str">
        <f ca="1">IF($A57="","",IF(COUNTA($Y$2:$AD$2)=6,"WK "&amp;_xlfn.ISOWEEKNUM($Y$2)))</f>
        <v>WK 20</v>
      </c>
      <c r="K57" s="20" t="str">
        <f t="shared" ca="1" si="7"/>
        <v>ON</v>
      </c>
      <c r="L57" s="20" t="str">
        <f t="shared" ca="1" si="7"/>
        <v>ON</v>
      </c>
      <c r="M57" s="1" t="str">
        <f t="shared" ca="1" si="8"/>
        <v>ON</v>
      </c>
      <c r="N57" s="1" t="str">
        <f t="shared" ca="1" si="9"/>
        <v>ON</v>
      </c>
      <c r="O57" s="1" t="str">
        <f t="shared" ca="1" si="10"/>
        <v>ON</v>
      </c>
      <c r="P57" s="1" t="str">
        <f t="shared" ca="1" si="11"/>
        <v>OFF</v>
      </c>
      <c r="Q57" s="1"/>
      <c r="R57" s="20" t="str">
        <f t="shared" ca="1" si="12"/>
        <v>ON</v>
      </c>
      <c r="S57" s="20" t="str">
        <f t="shared" ca="1" si="12"/>
        <v>ON</v>
      </c>
      <c r="T57" s="1" t="str">
        <f t="shared" ca="1" si="13"/>
        <v>ON</v>
      </c>
      <c r="U57" s="1" t="str">
        <f t="shared" ca="1" si="14"/>
        <v>ON</v>
      </c>
      <c r="V57" s="1" t="str">
        <f t="shared" ca="1" si="15"/>
        <v>ON</v>
      </c>
      <c r="W57" s="1" t="str">
        <f t="shared" ca="1" si="16"/>
        <v>ON</v>
      </c>
      <c r="X57" s="1"/>
      <c r="Y57" s="20" t="str">
        <f t="shared" ca="1" si="17"/>
        <v>ON</v>
      </c>
      <c r="Z57" s="20" t="str">
        <f t="shared" ca="1" si="17"/>
        <v>ON</v>
      </c>
      <c r="AA57" s="1" t="str">
        <f t="shared" ca="1" si="18"/>
        <v>ON</v>
      </c>
      <c r="AB57" s="1" t="str">
        <f t="shared" ca="1" si="19"/>
        <v>ON</v>
      </c>
      <c r="AC57" s="1" t="str">
        <f t="shared" ca="1" si="20"/>
        <v>ON</v>
      </c>
      <c r="AD57" s="1" t="str">
        <f t="shared" ca="1" si="21"/>
        <v>OFF</v>
      </c>
      <c r="AE57" s="1"/>
      <c r="AF57" s="20" t="str">
        <f t="shared" ca="1" si="22"/>
        <v>ON</v>
      </c>
      <c r="AG57" s="20" t="str">
        <f t="shared" ca="1" si="22"/>
        <v>ON</v>
      </c>
      <c r="AH57" s="1" t="str">
        <f t="shared" ca="1" si="23"/>
        <v>ON</v>
      </c>
      <c r="AI57" s="1" t="str">
        <f t="shared" ca="1" si="24"/>
        <v>ON</v>
      </c>
      <c r="AJ57" s="1" t="str">
        <f t="shared" ca="1" si="25"/>
        <v>ON</v>
      </c>
      <c r="AK57" s="1" t="str">
        <f t="shared" ca="1" si="26"/>
        <v>ON</v>
      </c>
      <c r="AL57" s="1"/>
      <c r="AM57" s="20" t="str">
        <f t="shared" si="27"/>
        <v>ON</v>
      </c>
      <c r="AN57" s="20" t="str">
        <f t="shared" si="27"/>
        <v>ON</v>
      </c>
      <c r="AO57" s="20" t="str">
        <f t="shared" si="28"/>
        <v>ON</v>
      </c>
    </row>
    <row r="58" spans="1:41">
      <c r="A58" t="str">
        <f t="shared" ca="1" si="2"/>
        <v>Ogun</v>
      </c>
      <c r="B58" t="str">
        <f t="shared" ca="1" si="3"/>
        <v>E</v>
      </c>
      <c r="C58" t="str">
        <f t="shared" ca="1" si="4"/>
        <v>C1</v>
      </c>
      <c r="D58" t="s">
        <v>7</v>
      </c>
      <c r="E58">
        <f t="shared" ca="1" si="5"/>
        <v>25</v>
      </c>
      <c r="F58">
        <f t="shared" ca="1" si="6"/>
        <v>2</v>
      </c>
      <c r="G58" t="str">
        <v>C</v>
      </c>
      <c r="H58" t="str">
        <v>C</v>
      </c>
      <c r="I58" t="str">
        <f ca="1">IF($A58="","",IF(COUNTA($R$2:$W$2)=6,"WK "&amp;_xlfn.ISOWEEKNUM($R$2)))</f>
        <v>WK 19</v>
      </c>
      <c r="J58" t="str">
        <f ca="1">IF($A58="","",IF(COUNTA($AF$2:$AK$2)=6,"WK "&amp;_xlfn.ISOWEEKNUM($AF$2)))</f>
        <v>WK 21</v>
      </c>
      <c r="K58" s="20" t="str">
        <f t="shared" ca="1" si="7"/>
        <v>ON</v>
      </c>
      <c r="L58" s="20" t="str">
        <f t="shared" ca="1" si="7"/>
        <v>ON</v>
      </c>
      <c r="M58" s="1" t="str">
        <f t="shared" ca="1" si="8"/>
        <v>ON</v>
      </c>
      <c r="N58" s="1" t="str">
        <f t="shared" ca="1" si="9"/>
        <v>ON</v>
      </c>
      <c r="O58" s="1" t="str">
        <f t="shared" ca="1" si="10"/>
        <v>ON</v>
      </c>
      <c r="P58" s="1" t="str">
        <f t="shared" ca="1" si="11"/>
        <v>ON</v>
      </c>
      <c r="Q58" s="1"/>
      <c r="R58" s="20" t="str">
        <f t="shared" ca="1" si="12"/>
        <v>ON</v>
      </c>
      <c r="S58" s="20" t="str">
        <f t="shared" ca="1" si="12"/>
        <v>ON</v>
      </c>
      <c r="T58" s="1" t="str">
        <f t="shared" ca="1" si="13"/>
        <v>ON</v>
      </c>
      <c r="U58" s="1" t="str">
        <f t="shared" ca="1" si="14"/>
        <v>ON</v>
      </c>
      <c r="V58" s="1" t="str">
        <f t="shared" ca="1" si="15"/>
        <v>OFF</v>
      </c>
      <c r="W58" s="1" t="str">
        <f t="shared" ca="1" si="16"/>
        <v>ON</v>
      </c>
      <c r="X58" s="1"/>
      <c r="Y58" s="20" t="str">
        <f t="shared" ca="1" si="17"/>
        <v>ON</v>
      </c>
      <c r="Z58" s="20" t="str">
        <f t="shared" ca="1" si="17"/>
        <v>ON</v>
      </c>
      <c r="AA58" s="1" t="str">
        <f t="shared" ca="1" si="18"/>
        <v>ON</v>
      </c>
      <c r="AB58" s="1" t="str">
        <f t="shared" ca="1" si="19"/>
        <v>ON</v>
      </c>
      <c r="AC58" s="1" t="str">
        <f t="shared" ca="1" si="20"/>
        <v>ON</v>
      </c>
      <c r="AD58" s="1" t="str">
        <f t="shared" ca="1" si="21"/>
        <v>ON</v>
      </c>
      <c r="AE58" s="1"/>
      <c r="AF58" s="20" t="str">
        <f t="shared" ca="1" si="22"/>
        <v>ON</v>
      </c>
      <c r="AG58" s="20" t="str">
        <f t="shared" ca="1" si="22"/>
        <v>ON</v>
      </c>
      <c r="AH58" s="1" t="str">
        <f t="shared" ca="1" si="23"/>
        <v>ON</v>
      </c>
      <c r="AI58" s="1" t="str">
        <f t="shared" ca="1" si="24"/>
        <v>ON</v>
      </c>
      <c r="AJ58" s="1" t="str">
        <f t="shared" ca="1" si="25"/>
        <v>OFF</v>
      </c>
      <c r="AK58" s="1" t="str">
        <f t="shared" ca="1" si="26"/>
        <v>ON</v>
      </c>
      <c r="AL58" s="1"/>
      <c r="AM58" s="20" t="str">
        <f t="shared" si="27"/>
        <v>ON</v>
      </c>
      <c r="AN58" s="20" t="str">
        <f t="shared" si="27"/>
        <v>ON</v>
      </c>
      <c r="AO58" s="20" t="str">
        <f t="shared" si="28"/>
        <v>ON</v>
      </c>
    </row>
    <row r="59" spans="1:41">
      <c r="A59" t="str">
        <f t="shared" ca="1" si="2"/>
        <v>Ondo</v>
      </c>
      <c r="B59" t="str">
        <f t="shared" ca="1" si="3"/>
        <v>D</v>
      </c>
      <c r="C59" t="str">
        <f t="shared" ca="1" si="4"/>
        <v>D1</v>
      </c>
      <c r="D59" t="s">
        <v>4</v>
      </c>
      <c r="E59">
        <f t="shared" ca="1" si="5"/>
        <v>25</v>
      </c>
      <c r="F59">
        <f t="shared" ca="1" si="6"/>
        <v>2</v>
      </c>
      <c r="G59" t="str">
        <v>B</v>
      </c>
      <c r="H59" t="str">
        <v>B</v>
      </c>
      <c r="I59" t="str">
        <f ca="1">IF($A59="","",IF(COUNTA($K$2:$P$2)=6,"WK "&amp;_xlfn.ISOWEEKNUM($K$2)))</f>
        <v>WK 18</v>
      </c>
      <c r="J59" t="str">
        <f ca="1">IF($A59="","",IF(COUNTA($Y$2:$AD$2)=6,"WK "&amp;_xlfn.ISOWEEKNUM($Y$2)))</f>
        <v>WK 20</v>
      </c>
      <c r="K59" s="20" t="str">
        <f t="shared" ca="1" si="7"/>
        <v>ON</v>
      </c>
      <c r="L59" s="20" t="str">
        <f t="shared" ca="1" si="7"/>
        <v>ON</v>
      </c>
      <c r="M59" s="1" t="str">
        <f t="shared" ca="1" si="8"/>
        <v>ON</v>
      </c>
      <c r="N59" s="1" t="str">
        <f t="shared" ca="1" si="9"/>
        <v>OFF</v>
      </c>
      <c r="O59" s="1" t="str">
        <f t="shared" ca="1" si="10"/>
        <v>ON</v>
      </c>
      <c r="P59" s="1" t="str">
        <f t="shared" ca="1" si="11"/>
        <v>ON</v>
      </c>
      <c r="Q59" s="1"/>
      <c r="R59" s="20" t="str">
        <f t="shared" ca="1" si="12"/>
        <v>ON</v>
      </c>
      <c r="S59" s="20" t="str">
        <f t="shared" ca="1" si="12"/>
        <v>ON</v>
      </c>
      <c r="T59" s="1" t="str">
        <f t="shared" ca="1" si="13"/>
        <v>ON</v>
      </c>
      <c r="U59" s="1" t="str">
        <f t="shared" ca="1" si="14"/>
        <v>ON</v>
      </c>
      <c r="V59" s="1" t="str">
        <f t="shared" ca="1" si="15"/>
        <v>ON</v>
      </c>
      <c r="W59" s="1" t="str">
        <f t="shared" ca="1" si="16"/>
        <v>ON</v>
      </c>
      <c r="X59" s="1"/>
      <c r="Y59" s="20" t="str">
        <f t="shared" ca="1" si="17"/>
        <v>ON</v>
      </c>
      <c r="Z59" s="20" t="str">
        <f t="shared" ca="1" si="17"/>
        <v>ON</v>
      </c>
      <c r="AA59" s="1" t="str">
        <f t="shared" ca="1" si="18"/>
        <v>ON</v>
      </c>
      <c r="AB59" s="1" t="str">
        <f t="shared" ca="1" si="19"/>
        <v>OFF</v>
      </c>
      <c r="AC59" s="1" t="str">
        <f t="shared" ca="1" si="20"/>
        <v>ON</v>
      </c>
      <c r="AD59" s="1" t="str">
        <f t="shared" ca="1" si="21"/>
        <v>ON</v>
      </c>
      <c r="AE59" s="1"/>
      <c r="AF59" s="20" t="str">
        <f t="shared" ca="1" si="22"/>
        <v>ON</v>
      </c>
      <c r="AG59" s="20" t="str">
        <f t="shared" ca="1" si="22"/>
        <v>ON</v>
      </c>
      <c r="AH59" s="1" t="str">
        <f t="shared" ca="1" si="23"/>
        <v>ON</v>
      </c>
      <c r="AI59" s="1" t="str">
        <f t="shared" ca="1" si="24"/>
        <v>ON</v>
      </c>
      <c r="AJ59" s="1" t="str">
        <f t="shared" ca="1" si="25"/>
        <v>ON</v>
      </c>
      <c r="AK59" s="1" t="str">
        <f t="shared" ca="1" si="26"/>
        <v>ON</v>
      </c>
      <c r="AL59" s="1"/>
      <c r="AM59" s="20" t="str">
        <f t="shared" si="27"/>
        <v>ON</v>
      </c>
      <c r="AN59" s="20" t="str">
        <f t="shared" si="27"/>
        <v>ON</v>
      </c>
      <c r="AO59" s="20" t="str">
        <f t="shared" si="28"/>
        <v>ON</v>
      </c>
    </row>
    <row r="60" spans="1:41">
      <c r="A60" t="str">
        <f t="shared" ca="1" si="2"/>
        <v>Oyo</v>
      </c>
      <c r="B60" t="str">
        <f t="shared" ca="1" si="3"/>
        <v>C</v>
      </c>
      <c r="C60" t="str">
        <f t="shared" ca="1" si="4"/>
        <v>B1</v>
      </c>
      <c r="D60" t="s">
        <v>5</v>
      </c>
      <c r="E60">
        <f t="shared" ca="1" si="5"/>
        <v>25</v>
      </c>
      <c r="F60">
        <f t="shared" ca="1" si="6"/>
        <v>2</v>
      </c>
      <c r="G60" t="str">
        <v>A</v>
      </c>
      <c r="H60" t="str">
        <v>A</v>
      </c>
      <c r="I60" t="str">
        <f ca="1">IF($A60="","",IF(COUNTA($R$2:$W$2)=6,"WK "&amp;_xlfn.ISOWEEKNUM($R$2)))</f>
        <v>WK 19</v>
      </c>
      <c r="J60" t="str">
        <f ca="1">IF($A60="","",IF(COUNTA($AF$2:$AK$2)=6,"WK "&amp;_xlfn.ISOWEEKNUM($AF$2)))</f>
        <v>WK 21</v>
      </c>
      <c r="K60" s="20" t="str">
        <f t="shared" ca="1" si="7"/>
        <v>ON</v>
      </c>
      <c r="L60" s="20" t="str">
        <f t="shared" ca="1" si="7"/>
        <v>ON</v>
      </c>
      <c r="M60" s="1" t="str">
        <f t="shared" ca="1" si="8"/>
        <v>ON</v>
      </c>
      <c r="N60" s="1" t="str">
        <f t="shared" ca="1" si="9"/>
        <v>ON</v>
      </c>
      <c r="O60" s="1" t="str">
        <f t="shared" ca="1" si="10"/>
        <v>ON</v>
      </c>
      <c r="P60" s="1" t="str">
        <f t="shared" ca="1" si="11"/>
        <v>ON</v>
      </c>
      <c r="Q60" s="1"/>
      <c r="R60" s="20" t="str">
        <f t="shared" ca="1" si="12"/>
        <v>ON</v>
      </c>
      <c r="S60" s="20" t="str">
        <f t="shared" ca="1" si="12"/>
        <v>ON</v>
      </c>
      <c r="T60" s="1" t="str">
        <f t="shared" ca="1" si="13"/>
        <v>OFF</v>
      </c>
      <c r="U60" s="1" t="str">
        <f t="shared" ca="1" si="14"/>
        <v>ON</v>
      </c>
      <c r="V60" s="1" t="str">
        <f t="shared" ca="1" si="15"/>
        <v>ON</v>
      </c>
      <c r="W60" s="1" t="str">
        <f t="shared" ca="1" si="16"/>
        <v>ON</v>
      </c>
      <c r="X60" s="1"/>
      <c r="Y60" s="20" t="str">
        <f t="shared" ca="1" si="17"/>
        <v>ON</v>
      </c>
      <c r="Z60" s="20" t="str">
        <f t="shared" ca="1" si="17"/>
        <v>ON</v>
      </c>
      <c r="AA60" s="1" t="str">
        <f t="shared" ca="1" si="18"/>
        <v>ON</v>
      </c>
      <c r="AB60" s="1" t="str">
        <f t="shared" ca="1" si="19"/>
        <v>ON</v>
      </c>
      <c r="AC60" s="1" t="str">
        <f t="shared" ca="1" si="20"/>
        <v>ON</v>
      </c>
      <c r="AD60" s="1" t="str">
        <f t="shared" ca="1" si="21"/>
        <v>ON</v>
      </c>
      <c r="AE60" s="1"/>
      <c r="AF60" s="20" t="str">
        <f t="shared" ca="1" si="22"/>
        <v>ON</v>
      </c>
      <c r="AG60" s="20" t="str">
        <f t="shared" ca="1" si="22"/>
        <v>ON</v>
      </c>
      <c r="AH60" s="1" t="str">
        <f t="shared" ca="1" si="23"/>
        <v>OFF</v>
      </c>
      <c r="AI60" s="1" t="str">
        <f t="shared" ca="1" si="24"/>
        <v>ON</v>
      </c>
      <c r="AJ60" s="1" t="str">
        <f t="shared" ca="1" si="25"/>
        <v>ON</v>
      </c>
      <c r="AK60" s="1" t="str">
        <f t="shared" ca="1" si="26"/>
        <v>ON</v>
      </c>
      <c r="AL60" s="1"/>
      <c r="AM60" s="20" t="str">
        <f t="shared" si="27"/>
        <v>ON</v>
      </c>
      <c r="AN60" s="20" t="str">
        <f t="shared" si="27"/>
        <v>ON</v>
      </c>
      <c r="AO60" s="20" t="str">
        <f t="shared" si="28"/>
        <v>ON</v>
      </c>
    </row>
    <row r="61" spans="1:41">
      <c r="A61" t="str">
        <f t="shared" ca="1" si="2"/>
        <v>Lagos</v>
      </c>
      <c r="B61" t="str">
        <f t="shared" ca="1" si="3"/>
        <v>C</v>
      </c>
      <c r="C61" t="str">
        <f t="shared" ca="1" si="4"/>
        <v>E1</v>
      </c>
      <c r="D61" t="s">
        <v>5</v>
      </c>
      <c r="E61">
        <f t="shared" ca="1" si="5"/>
        <v>25</v>
      </c>
      <c r="F61">
        <f t="shared" ca="1" si="6"/>
        <v>2</v>
      </c>
      <c r="G61" t="str" cm="1">
        <f t="array" ref="G61:G64">Groups!$B$2:$B$5</f>
        <v>A</v>
      </c>
      <c r="H61" t="str" cm="1">
        <f t="array" ref="H61:H64">Groups!$B$2:$B$5</f>
        <v>A</v>
      </c>
      <c r="I61" t="str">
        <f ca="1">IF($A61="","",IF(COUNTA($K$2:$P$2)=6,"WK "&amp;_xlfn.ISOWEEKNUM($K$2)))</f>
        <v>WK 18</v>
      </c>
      <c r="J61" t="str">
        <f ca="1">IF($A61="","",IF(COUNTA($Y$2:$AD$2)=6,"WK "&amp;_xlfn.ISOWEEKNUM($Y$2)))</f>
        <v>WK 20</v>
      </c>
      <c r="K61" s="20" t="str">
        <f t="shared" ca="1" si="7"/>
        <v>ON</v>
      </c>
      <c r="L61" s="20" t="str">
        <f t="shared" ca="1" si="7"/>
        <v>ON</v>
      </c>
      <c r="M61" s="1" t="str">
        <f t="shared" ca="1" si="8"/>
        <v>OFF</v>
      </c>
      <c r="N61" s="1" t="str">
        <f t="shared" ca="1" si="9"/>
        <v>ON</v>
      </c>
      <c r="O61" s="1" t="str">
        <f t="shared" ca="1" si="10"/>
        <v>ON</v>
      </c>
      <c r="P61" s="1" t="str">
        <f t="shared" ca="1" si="11"/>
        <v>ON</v>
      </c>
      <c r="Q61" s="1"/>
      <c r="R61" s="20" t="str">
        <f t="shared" ca="1" si="12"/>
        <v>ON</v>
      </c>
      <c r="S61" s="20" t="str">
        <f t="shared" ca="1" si="12"/>
        <v>ON</v>
      </c>
      <c r="T61" s="1" t="str">
        <f t="shared" ca="1" si="13"/>
        <v>ON</v>
      </c>
      <c r="U61" s="1" t="str">
        <f t="shared" ca="1" si="14"/>
        <v>ON</v>
      </c>
      <c r="V61" s="1" t="str">
        <f t="shared" ca="1" si="15"/>
        <v>ON</v>
      </c>
      <c r="W61" s="1" t="str">
        <f t="shared" ca="1" si="16"/>
        <v>ON</v>
      </c>
      <c r="X61" s="1"/>
      <c r="Y61" s="20" t="str">
        <f t="shared" ca="1" si="17"/>
        <v>ON</v>
      </c>
      <c r="Z61" s="20" t="str">
        <f t="shared" ca="1" si="17"/>
        <v>ON</v>
      </c>
      <c r="AA61" s="1" t="str">
        <f t="shared" ca="1" si="18"/>
        <v>OFF</v>
      </c>
      <c r="AB61" s="1" t="str">
        <f t="shared" ca="1" si="19"/>
        <v>ON</v>
      </c>
      <c r="AC61" s="1" t="str">
        <f t="shared" ca="1" si="20"/>
        <v>ON</v>
      </c>
      <c r="AD61" s="1" t="str">
        <f t="shared" ca="1" si="21"/>
        <v>ON</v>
      </c>
      <c r="AE61" s="1"/>
      <c r="AF61" s="20" t="str">
        <f t="shared" ca="1" si="22"/>
        <v>ON</v>
      </c>
      <c r="AG61" s="20" t="str">
        <f t="shared" ca="1" si="22"/>
        <v>ON</v>
      </c>
      <c r="AH61" s="1" t="str">
        <f t="shared" ca="1" si="23"/>
        <v>ON</v>
      </c>
      <c r="AI61" s="1" t="str">
        <f t="shared" ca="1" si="24"/>
        <v>ON</v>
      </c>
      <c r="AJ61" s="1" t="str">
        <f t="shared" ca="1" si="25"/>
        <v>ON</v>
      </c>
      <c r="AK61" s="1" t="str">
        <f t="shared" ca="1" si="26"/>
        <v>ON</v>
      </c>
      <c r="AL61" s="1"/>
      <c r="AM61" s="20" t="str">
        <f t="shared" si="27"/>
        <v>ON</v>
      </c>
      <c r="AN61" s="20" t="str">
        <f t="shared" si="27"/>
        <v>ON</v>
      </c>
      <c r="AO61" s="20" t="str">
        <f t="shared" si="28"/>
        <v>ON</v>
      </c>
    </row>
    <row r="62" spans="1:41">
      <c r="A62" t="str">
        <f t="shared" ca="1" si="2"/>
        <v>Oyo</v>
      </c>
      <c r="B62" t="str">
        <f t="shared" ca="1" si="3"/>
        <v>B</v>
      </c>
      <c r="C62" t="str">
        <f t="shared" ca="1" si="4"/>
        <v>A1</v>
      </c>
      <c r="D62" t="s">
        <v>5</v>
      </c>
      <c r="E62">
        <f t="shared" ca="1" si="5"/>
        <v>25</v>
      </c>
      <c r="F62">
        <f t="shared" ca="1" si="6"/>
        <v>2</v>
      </c>
      <c r="G62" t="str">
        <v>B</v>
      </c>
      <c r="H62" t="str">
        <v>B</v>
      </c>
      <c r="I62" t="str">
        <f ca="1">IF($A62="","",IF(COUNTA($R$2:$W$2)=6,"WK "&amp;_xlfn.ISOWEEKNUM($R$2)))</f>
        <v>WK 19</v>
      </c>
      <c r="J62" t="str">
        <f ca="1">IF($A62="","",IF(COUNTA($AF$2:$AK$2)=6,"WK "&amp;_xlfn.ISOWEEKNUM($AF$2)))</f>
        <v>WK 21</v>
      </c>
      <c r="K62" s="20" t="str">
        <f t="shared" ca="1" si="7"/>
        <v>ON</v>
      </c>
      <c r="L62" s="20" t="str">
        <f t="shared" ca="1" si="7"/>
        <v>ON</v>
      </c>
      <c r="M62" s="1" t="str">
        <f t="shared" ca="1" si="8"/>
        <v>ON</v>
      </c>
      <c r="N62" s="1" t="str">
        <f t="shared" ca="1" si="9"/>
        <v>ON</v>
      </c>
      <c r="O62" s="1" t="str">
        <f t="shared" ca="1" si="10"/>
        <v>ON</v>
      </c>
      <c r="P62" s="1" t="str">
        <f t="shared" ca="1" si="11"/>
        <v>ON</v>
      </c>
      <c r="Q62" s="1"/>
      <c r="R62" s="20" t="str">
        <f t="shared" ca="1" si="12"/>
        <v>ON</v>
      </c>
      <c r="S62" s="20" t="str">
        <f t="shared" ca="1" si="12"/>
        <v>ON</v>
      </c>
      <c r="T62" s="1" t="str">
        <f t="shared" ca="1" si="13"/>
        <v>ON</v>
      </c>
      <c r="U62" s="1" t="str">
        <f t="shared" ca="1" si="14"/>
        <v>OFF</v>
      </c>
      <c r="V62" s="1" t="str">
        <f t="shared" ca="1" si="15"/>
        <v>ON</v>
      </c>
      <c r="W62" s="1" t="str">
        <f t="shared" ca="1" si="16"/>
        <v>ON</v>
      </c>
      <c r="X62" s="1"/>
      <c r="Y62" s="20" t="str">
        <f t="shared" ca="1" si="17"/>
        <v>ON</v>
      </c>
      <c r="Z62" s="20" t="str">
        <f t="shared" ca="1" si="17"/>
        <v>ON</v>
      </c>
      <c r="AA62" s="1" t="str">
        <f t="shared" ca="1" si="18"/>
        <v>ON</v>
      </c>
      <c r="AB62" s="1" t="str">
        <f t="shared" ca="1" si="19"/>
        <v>ON</v>
      </c>
      <c r="AC62" s="1" t="str">
        <f t="shared" ca="1" si="20"/>
        <v>ON</v>
      </c>
      <c r="AD62" s="1" t="str">
        <f t="shared" ca="1" si="21"/>
        <v>ON</v>
      </c>
      <c r="AE62" s="1"/>
      <c r="AF62" s="20" t="str">
        <f t="shared" ca="1" si="22"/>
        <v>ON</v>
      </c>
      <c r="AG62" s="20" t="str">
        <f t="shared" ca="1" si="22"/>
        <v>ON</v>
      </c>
      <c r="AH62" s="1" t="str">
        <f t="shared" ca="1" si="23"/>
        <v>ON</v>
      </c>
      <c r="AI62" s="1" t="str">
        <f t="shared" ca="1" si="24"/>
        <v>OFF</v>
      </c>
      <c r="AJ62" s="1" t="str">
        <f t="shared" ca="1" si="25"/>
        <v>ON</v>
      </c>
      <c r="AK62" s="1" t="str">
        <f t="shared" ca="1" si="26"/>
        <v>ON</v>
      </c>
      <c r="AL62" s="1"/>
      <c r="AM62" s="20" t="str">
        <f t="shared" si="27"/>
        <v>ON</v>
      </c>
      <c r="AN62" s="20" t="str">
        <f t="shared" si="27"/>
        <v>ON</v>
      </c>
      <c r="AO62" s="20" t="str">
        <f t="shared" si="28"/>
        <v>ON</v>
      </c>
    </row>
    <row r="63" spans="1:41">
      <c r="A63" t="str">
        <f t="shared" ca="1" si="2"/>
        <v>Oyo</v>
      </c>
      <c r="B63" t="str">
        <f t="shared" ca="1" si="3"/>
        <v>C</v>
      </c>
      <c r="C63" t="str">
        <f t="shared" ca="1" si="4"/>
        <v>B1</v>
      </c>
      <c r="D63" t="s">
        <v>7</v>
      </c>
      <c r="E63">
        <f t="shared" ca="1" si="5"/>
        <v>25</v>
      </c>
      <c r="F63">
        <f t="shared" ca="1" si="6"/>
        <v>2</v>
      </c>
      <c r="G63" t="str">
        <v>C</v>
      </c>
      <c r="H63" t="str">
        <v>C</v>
      </c>
      <c r="I63" t="str">
        <f ca="1">IF($A63="","",IF(COUNTA($K$2:$P$2)=6,"WK "&amp;_xlfn.ISOWEEKNUM($K$2)))</f>
        <v>WK 18</v>
      </c>
      <c r="J63" t="str">
        <f ca="1">IF($A63="","",IF(COUNTA($Y$2:$AD$2)=6,"WK "&amp;_xlfn.ISOWEEKNUM($Y$2)))</f>
        <v>WK 20</v>
      </c>
      <c r="K63" s="20" t="str">
        <f t="shared" ca="1" si="7"/>
        <v>ON</v>
      </c>
      <c r="L63" s="20" t="str">
        <f t="shared" ca="1" si="7"/>
        <v>ON</v>
      </c>
      <c r="M63" s="1" t="str">
        <f t="shared" ca="1" si="8"/>
        <v>ON</v>
      </c>
      <c r="N63" s="1" t="str">
        <f t="shared" ca="1" si="9"/>
        <v>ON</v>
      </c>
      <c r="O63" s="1" t="str">
        <f t="shared" ca="1" si="10"/>
        <v>OFF</v>
      </c>
      <c r="P63" s="1" t="str">
        <f t="shared" ca="1" si="11"/>
        <v>ON</v>
      </c>
      <c r="Q63" s="1"/>
      <c r="R63" s="20" t="str">
        <f t="shared" ca="1" si="12"/>
        <v>ON</v>
      </c>
      <c r="S63" s="20" t="str">
        <f t="shared" ca="1" si="12"/>
        <v>ON</v>
      </c>
      <c r="T63" s="1" t="str">
        <f t="shared" ca="1" si="13"/>
        <v>ON</v>
      </c>
      <c r="U63" s="1" t="str">
        <f t="shared" ca="1" si="14"/>
        <v>ON</v>
      </c>
      <c r="V63" s="1" t="str">
        <f t="shared" ca="1" si="15"/>
        <v>ON</v>
      </c>
      <c r="W63" s="1" t="str">
        <f t="shared" ca="1" si="16"/>
        <v>ON</v>
      </c>
      <c r="X63" s="1"/>
      <c r="Y63" s="20" t="str">
        <f t="shared" ca="1" si="17"/>
        <v>ON</v>
      </c>
      <c r="Z63" s="20" t="str">
        <f t="shared" ca="1" si="17"/>
        <v>ON</v>
      </c>
      <c r="AA63" s="1" t="str">
        <f t="shared" ca="1" si="18"/>
        <v>ON</v>
      </c>
      <c r="AB63" s="1" t="str">
        <f t="shared" ca="1" si="19"/>
        <v>ON</v>
      </c>
      <c r="AC63" s="1" t="str">
        <f t="shared" ca="1" si="20"/>
        <v>OFF</v>
      </c>
      <c r="AD63" s="1" t="str">
        <f t="shared" ca="1" si="21"/>
        <v>ON</v>
      </c>
      <c r="AE63" s="1"/>
      <c r="AF63" s="20" t="str">
        <f t="shared" ca="1" si="22"/>
        <v>ON</v>
      </c>
      <c r="AG63" s="20" t="str">
        <f t="shared" ca="1" si="22"/>
        <v>ON</v>
      </c>
      <c r="AH63" s="1" t="str">
        <f t="shared" ca="1" si="23"/>
        <v>ON</v>
      </c>
      <c r="AI63" s="1" t="str">
        <f t="shared" ca="1" si="24"/>
        <v>ON</v>
      </c>
      <c r="AJ63" s="1" t="str">
        <f t="shared" ca="1" si="25"/>
        <v>ON</v>
      </c>
      <c r="AK63" s="1" t="str">
        <f t="shared" ca="1" si="26"/>
        <v>ON</v>
      </c>
      <c r="AL63" s="1"/>
      <c r="AM63" s="20" t="str">
        <f t="shared" si="27"/>
        <v>ON</v>
      </c>
      <c r="AN63" s="20" t="str">
        <f t="shared" si="27"/>
        <v>ON</v>
      </c>
      <c r="AO63" s="20" t="str">
        <f t="shared" si="28"/>
        <v>ON</v>
      </c>
    </row>
    <row r="64" spans="1:41">
      <c r="A64" t="str">
        <f t="shared" ca="1" si="2"/>
        <v>Oyo</v>
      </c>
      <c r="B64" t="str">
        <f t="shared" ca="1" si="3"/>
        <v>A</v>
      </c>
      <c r="C64" t="str">
        <f t="shared" ca="1" si="4"/>
        <v>C1</v>
      </c>
      <c r="D64" t="s">
        <v>7</v>
      </c>
      <c r="E64">
        <f t="shared" ca="1" si="5"/>
        <v>25</v>
      </c>
      <c r="F64">
        <f t="shared" ca="1" si="6"/>
        <v>2</v>
      </c>
      <c r="G64" t="str">
        <v>D</v>
      </c>
      <c r="H64" t="str">
        <v>D</v>
      </c>
      <c r="I64" t="str">
        <f ca="1">IF($A64="","",IF(COUNTA($R$2:$W$2)=6,"WK "&amp;_xlfn.ISOWEEKNUM($R$2)))</f>
        <v>WK 19</v>
      </c>
      <c r="J64" t="str">
        <f ca="1">IF($A64="","",IF(COUNTA($AF$2:$AK$2)=6,"WK "&amp;_xlfn.ISOWEEKNUM($AF$2)))</f>
        <v>WK 21</v>
      </c>
      <c r="K64" s="20" t="str">
        <f t="shared" ca="1" si="7"/>
        <v>ON</v>
      </c>
      <c r="L64" s="20" t="str">
        <f t="shared" ca="1" si="7"/>
        <v>ON</v>
      </c>
      <c r="M64" s="1" t="str">
        <f t="shared" ca="1" si="8"/>
        <v>ON</v>
      </c>
      <c r="N64" s="1" t="str">
        <f t="shared" ca="1" si="9"/>
        <v>ON</v>
      </c>
      <c r="O64" s="1" t="str">
        <f t="shared" ca="1" si="10"/>
        <v>ON</v>
      </c>
      <c r="P64" s="1" t="str">
        <f t="shared" ca="1" si="11"/>
        <v>ON</v>
      </c>
      <c r="Q64" s="1"/>
      <c r="R64" s="20" t="str">
        <f t="shared" ca="1" si="12"/>
        <v>ON</v>
      </c>
      <c r="S64" s="20" t="str">
        <f t="shared" ca="1" si="12"/>
        <v>ON</v>
      </c>
      <c r="T64" s="1" t="str">
        <f t="shared" ca="1" si="13"/>
        <v>ON</v>
      </c>
      <c r="U64" s="1" t="str">
        <f t="shared" ca="1" si="14"/>
        <v>ON</v>
      </c>
      <c r="V64" s="1" t="str">
        <f t="shared" ca="1" si="15"/>
        <v>ON</v>
      </c>
      <c r="W64" s="1" t="str">
        <f t="shared" ca="1" si="16"/>
        <v>OFF</v>
      </c>
      <c r="X64" s="1"/>
      <c r="Y64" s="20" t="str">
        <f t="shared" ca="1" si="17"/>
        <v>ON</v>
      </c>
      <c r="Z64" s="20" t="str">
        <f t="shared" ca="1" si="17"/>
        <v>ON</v>
      </c>
      <c r="AA64" s="1" t="str">
        <f t="shared" ca="1" si="18"/>
        <v>ON</v>
      </c>
      <c r="AB64" s="1" t="str">
        <f t="shared" ca="1" si="19"/>
        <v>ON</v>
      </c>
      <c r="AC64" s="1" t="str">
        <f t="shared" ca="1" si="20"/>
        <v>ON</v>
      </c>
      <c r="AD64" s="1" t="str">
        <f t="shared" ca="1" si="21"/>
        <v>ON</v>
      </c>
      <c r="AE64" s="1"/>
      <c r="AF64" s="20" t="str">
        <f t="shared" ca="1" si="22"/>
        <v>ON</v>
      </c>
      <c r="AG64" s="20" t="str">
        <f t="shared" ca="1" si="22"/>
        <v>ON</v>
      </c>
      <c r="AH64" s="1" t="str">
        <f t="shared" ca="1" si="23"/>
        <v>ON</v>
      </c>
      <c r="AI64" s="1" t="str">
        <f t="shared" ca="1" si="24"/>
        <v>ON</v>
      </c>
      <c r="AJ64" s="1" t="str">
        <f t="shared" ca="1" si="25"/>
        <v>ON</v>
      </c>
      <c r="AK64" s="1" t="str">
        <f t="shared" ca="1" si="26"/>
        <v>OFF</v>
      </c>
      <c r="AL64" s="1"/>
      <c r="AM64" s="20" t="str">
        <f t="shared" si="27"/>
        <v>ON</v>
      </c>
      <c r="AN64" s="20" t="str">
        <f t="shared" si="27"/>
        <v>ON</v>
      </c>
      <c r="AO64" s="20" t="str">
        <f t="shared" si="28"/>
        <v>ON</v>
      </c>
    </row>
    <row r="65" spans="1:41">
      <c r="A65" t="str">
        <f t="shared" ca="1" si="2"/>
        <v>Lagos</v>
      </c>
      <c r="B65" t="str">
        <f t="shared" ca="1" si="3"/>
        <v>B</v>
      </c>
      <c r="C65" t="str">
        <f t="shared" ca="1" si="4"/>
        <v>D1</v>
      </c>
      <c r="D65" t="s">
        <v>7</v>
      </c>
      <c r="E65">
        <f t="shared" ca="1" si="5"/>
        <v>25</v>
      </c>
      <c r="F65">
        <f t="shared" ca="1" si="6"/>
        <v>2</v>
      </c>
      <c r="G65" t="str" cm="1">
        <f t="array" ref="G65:G68">IF($G$5:$G$8={"A";"B";"C";"D"},{"D";"C";"B";"A"},{"A";"B";"C";"D"})</f>
        <v>D</v>
      </c>
      <c r="H65" t="str" cm="1">
        <f t="array" ref="H65:H68">IF($H$5:$H$8={"A";"B";"C";"D"},{"D";"C";"B";"A"},{"A";"B";"C";"D"})</f>
        <v>D</v>
      </c>
      <c r="I65" t="str">
        <f ca="1">IF($A65="","",IF(COUNTA($K$2:$P$2)=6,"WK "&amp;_xlfn.ISOWEEKNUM($K$2)))</f>
        <v>WK 18</v>
      </c>
      <c r="J65" t="str">
        <f ca="1">IF($A65="","",IF(COUNTA($Y$2:$AD$2)=6,"WK "&amp;_xlfn.ISOWEEKNUM($Y$2)))</f>
        <v>WK 20</v>
      </c>
      <c r="K65" s="20" t="str">
        <f t="shared" ca="1" si="7"/>
        <v>ON</v>
      </c>
      <c r="L65" s="20" t="str">
        <f t="shared" ca="1" si="7"/>
        <v>ON</v>
      </c>
      <c r="M65" s="1" t="str">
        <f t="shared" ca="1" si="8"/>
        <v>ON</v>
      </c>
      <c r="N65" s="1" t="str">
        <f t="shared" ca="1" si="9"/>
        <v>ON</v>
      </c>
      <c r="O65" s="1" t="str">
        <f t="shared" ca="1" si="10"/>
        <v>ON</v>
      </c>
      <c r="P65" s="1" t="str">
        <f t="shared" ca="1" si="11"/>
        <v>OFF</v>
      </c>
      <c r="Q65" s="1"/>
      <c r="R65" s="20" t="str">
        <f t="shared" ca="1" si="12"/>
        <v>ON</v>
      </c>
      <c r="S65" s="20" t="str">
        <f t="shared" ca="1" si="12"/>
        <v>ON</v>
      </c>
      <c r="T65" s="1" t="str">
        <f t="shared" ca="1" si="13"/>
        <v>ON</v>
      </c>
      <c r="U65" s="1" t="str">
        <f t="shared" ca="1" si="14"/>
        <v>ON</v>
      </c>
      <c r="V65" s="1" t="str">
        <f t="shared" ca="1" si="15"/>
        <v>ON</v>
      </c>
      <c r="W65" s="1" t="str">
        <f t="shared" ca="1" si="16"/>
        <v>ON</v>
      </c>
      <c r="X65" s="1"/>
      <c r="Y65" s="20" t="str">
        <f t="shared" ca="1" si="17"/>
        <v>ON</v>
      </c>
      <c r="Z65" s="20" t="str">
        <f t="shared" ca="1" si="17"/>
        <v>ON</v>
      </c>
      <c r="AA65" s="1" t="str">
        <f t="shared" ca="1" si="18"/>
        <v>ON</v>
      </c>
      <c r="AB65" s="1" t="str">
        <f t="shared" ca="1" si="19"/>
        <v>ON</v>
      </c>
      <c r="AC65" s="1" t="str">
        <f t="shared" ca="1" si="20"/>
        <v>ON</v>
      </c>
      <c r="AD65" s="1" t="str">
        <f t="shared" ca="1" si="21"/>
        <v>OFF</v>
      </c>
      <c r="AE65" s="1"/>
      <c r="AF65" s="20" t="str">
        <f t="shared" ca="1" si="22"/>
        <v>ON</v>
      </c>
      <c r="AG65" s="20" t="str">
        <f t="shared" ca="1" si="22"/>
        <v>ON</v>
      </c>
      <c r="AH65" s="1" t="str">
        <f t="shared" ca="1" si="23"/>
        <v>ON</v>
      </c>
      <c r="AI65" s="1" t="str">
        <f t="shared" ca="1" si="24"/>
        <v>ON</v>
      </c>
      <c r="AJ65" s="1" t="str">
        <f t="shared" ca="1" si="25"/>
        <v>ON</v>
      </c>
      <c r="AK65" s="1" t="str">
        <f t="shared" ca="1" si="26"/>
        <v>ON</v>
      </c>
      <c r="AL65" s="1"/>
      <c r="AM65" s="20" t="str">
        <f t="shared" si="27"/>
        <v>ON</v>
      </c>
      <c r="AN65" s="20" t="str">
        <f t="shared" si="27"/>
        <v>ON</v>
      </c>
      <c r="AO65" s="20" t="str">
        <f t="shared" si="28"/>
        <v>ON</v>
      </c>
    </row>
    <row r="66" spans="1:41">
      <c r="A66" t="str">
        <f t="shared" ca="1" si="2"/>
        <v>Ekiti</v>
      </c>
      <c r="B66" t="str">
        <f t="shared" ca="1" si="3"/>
        <v>D</v>
      </c>
      <c r="C66" t="str">
        <f t="shared" ca="1" si="4"/>
        <v>A1</v>
      </c>
      <c r="D66" t="s">
        <v>7</v>
      </c>
      <c r="E66">
        <f t="shared" ca="1" si="5"/>
        <v>25</v>
      </c>
      <c r="F66">
        <f t="shared" ca="1" si="6"/>
        <v>2</v>
      </c>
      <c r="G66" t="str">
        <v>C</v>
      </c>
      <c r="H66" t="str">
        <v>C</v>
      </c>
      <c r="I66" t="str">
        <f ca="1">IF($A66="","",IF(COUNTA($R$2:$W$2)=6,"WK "&amp;_xlfn.ISOWEEKNUM($R$2)))</f>
        <v>WK 19</v>
      </c>
      <c r="J66" t="str">
        <f ca="1">IF($A66="","",IF(COUNTA($AF$2:$AK$2)=6,"WK "&amp;_xlfn.ISOWEEKNUM($AF$2)))</f>
        <v>WK 21</v>
      </c>
      <c r="K66" s="20" t="str">
        <f t="shared" ca="1" si="7"/>
        <v>ON</v>
      </c>
      <c r="L66" s="20" t="str">
        <f t="shared" ca="1" si="7"/>
        <v>ON</v>
      </c>
      <c r="M66" s="1" t="str">
        <f t="shared" ca="1" si="8"/>
        <v>ON</v>
      </c>
      <c r="N66" s="1" t="str">
        <f t="shared" ca="1" si="9"/>
        <v>ON</v>
      </c>
      <c r="O66" s="1" t="str">
        <f t="shared" ca="1" si="10"/>
        <v>ON</v>
      </c>
      <c r="P66" s="1" t="str">
        <f t="shared" ca="1" si="11"/>
        <v>ON</v>
      </c>
      <c r="Q66" s="1"/>
      <c r="R66" s="20" t="str">
        <f t="shared" ca="1" si="12"/>
        <v>ON</v>
      </c>
      <c r="S66" s="20" t="str">
        <f t="shared" ca="1" si="12"/>
        <v>ON</v>
      </c>
      <c r="T66" s="1" t="str">
        <f t="shared" ca="1" si="13"/>
        <v>ON</v>
      </c>
      <c r="U66" s="1" t="str">
        <f t="shared" ca="1" si="14"/>
        <v>ON</v>
      </c>
      <c r="V66" s="1" t="str">
        <f t="shared" ca="1" si="15"/>
        <v>OFF</v>
      </c>
      <c r="W66" s="1" t="str">
        <f t="shared" ca="1" si="16"/>
        <v>ON</v>
      </c>
      <c r="X66" s="1"/>
      <c r="Y66" s="20" t="str">
        <f t="shared" ca="1" si="17"/>
        <v>ON</v>
      </c>
      <c r="Z66" s="20" t="str">
        <f t="shared" ca="1" si="17"/>
        <v>ON</v>
      </c>
      <c r="AA66" s="1" t="str">
        <f t="shared" ca="1" si="18"/>
        <v>ON</v>
      </c>
      <c r="AB66" s="1" t="str">
        <f t="shared" ca="1" si="19"/>
        <v>ON</v>
      </c>
      <c r="AC66" s="1" t="str">
        <f t="shared" ca="1" si="20"/>
        <v>ON</v>
      </c>
      <c r="AD66" s="1" t="str">
        <f t="shared" ca="1" si="21"/>
        <v>ON</v>
      </c>
      <c r="AE66" s="1"/>
      <c r="AF66" s="20" t="str">
        <f t="shared" ca="1" si="22"/>
        <v>ON</v>
      </c>
      <c r="AG66" s="20" t="str">
        <f t="shared" ca="1" si="22"/>
        <v>ON</v>
      </c>
      <c r="AH66" s="1" t="str">
        <f t="shared" ca="1" si="23"/>
        <v>ON</v>
      </c>
      <c r="AI66" s="1" t="str">
        <f t="shared" ca="1" si="24"/>
        <v>ON</v>
      </c>
      <c r="AJ66" s="1" t="str">
        <f t="shared" ca="1" si="25"/>
        <v>OFF</v>
      </c>
      <c r="AK66" s="1" t="str">
        <f t="shared" ca="1" si="26"/>
        <v>ON</v>
      </c>
      <c r="AL66" s="1"/>
      <c r="AM66" s="20" t="str">
        <f t="shared" si="27"/>
        <v>ON</v>
      </c>
      <c r="AN66" s="20" t="str">
        <f t="shared" si="27"/>
        <v>ON</v>
      </c>
      <c r="AO66" s="20" t="str">
        <f t="shared" si="28"/>
        <v>ON</v>
      </c>
    </row>
    <row r="67" spans="1:41">
      <c r="A67" t="str">
        <f t="shared" ca="1" si="2"/>
        <v>Ogun</v>
      </c>
      <c r="B67" t="str">
        <f t="shared" ca="1" si="3"/>
        <v>D</v>
      </c>
      <c r="C67" t="str">
        <f t="shared" ca="1" si="4"/>
        <v>B1</v>
      </c>
      <c r="D67" t="s">
        <v>7</v>
      </c>
      <c r="E67">
        <f t="shared" ca="1" si="5"/>
        <v>25</v>
      </c>
      <c r="F67">
        <f t="shared" ca="1" si="6"/>
        <v>2</v>
      </c>
      <c r="G67" t="str">
        <v>B</v>
      </c>
      <c r="H67" t="str">
        <v>B</v>
      </c>
      <c r="I67" t="str">
        <f ca="1">IF($A67="","",IF(COUNTA($K$2:$P$2)=6,"WK "&amp;_xlfn.ISOWEEKNUM($K$2)))</f>
        <v>WK 18</v>
      </c>
      <c r="J67" t="str">
        <f ca="1">IF($A67="","",IF(COUNTA($Y$2:$AD$2)=6,"WK "&amp;_xlfn.ISOWEEKNUM($Y$2)))</f>
        <v>WK 20</v>
      </c>
      <c r="K67" s="20" t="str">
        <f t="shared" ca="1" si="7"/>
        <v>ON</v>
      </c>
      <c r="L67" s="20" t="str">
        <f t="shared" ca="1" si="7"/>
        <v>ON</v>
      </c>
      <c r="M67" s="1" t="str">
        <f t="shared" ca="1" si="8"/>
        <v>ON</v>
      </c>
      <c r="N67" s="1" t="str">
        <f t="shared" ca="1" si="9"/>
        <v>OFF</v>
      </c>
      <c r="O67" s="1" t="str">
        <f t="shared" ca="1" si="10"/>
        <v>ON</v>
      </c>
      <c r="P67" s="1" t="str">
        <f t="shared" ca="1" si="11"/>
        <v>ON</v>
      </c>
      <c r="Q67" s="1"/>
      <c r="R67" s="20" t="str">
        <f t="shared" ca="1" si="12"/>
        <v>ON</v>
      </c>
      <c r="S67" s="20" t="str">
        <f t="shared" ca="1" si="12"/>
        <v>ON</v>
      </c>
      <c r="T67" s="1" t="str">
        <f t="shared" ca="1" si="13"/>
        <v>ON</v>
      </c>
      <c r="U67" s="1" t="str">
        <f t="shared" ca="1" si="14"/>
        <v>ON</v>
      </c>
      <c r="V67" s="1" t="str">
        <f t="shared" ca="1" si="15"/>
        <v>ON</v>
      </c>
      <c r="W67" s="1" t="str">
        <f t="shared" ca="1" si="16"/>
        <v>ON</v>
      </c>
      <c r="X67" s="1"/>
      <c r="Y67" s="20" t="str">
        <f t="shared" ca="1" si="17"/>
        <v>ON</v>
      </c>
      <c r="Z67" s="20" t="str">
        <f t="shared" ca="1" si="17"/>
        <v>ON</v>
      </c>
      <c r="AA67" s="1" t="str">
        <f t="shared" ca="1" si="18"/>
        <v>ON</v>
      </c>
      <c r="AB67" s="1" t="str">
        <f t="shared" ca="1" si="19"/>
        <v>OFF</v>
      </c>
      <c r="AC67" s="1" t="str">
        <f t="shared" ca="1" si="20"/>
        <v>ON</v>
      </c>
      <c r="AD67" s="1" t="str">
        <f t="shared" ca="1" si="21"/>
        <v>ON</v>
      </c>
      <c r="AE67" s="1"/>
      <c r="AF67" s="20" t="str">
        <f t="shared" ca="1" si="22"/>
        <v>ON</v>
      </c>
      <c r="AG67" s="20" t="str">
        <f t="shared" ca="1" si="22"/>
        <v>ON</v>
      </c>
      <c r="AH67" s="1" t="str">
        <f t="shared" ca="1" si="23"/>
        <v>ON</v>
      </c>
      <c r="AI67" s="1" t="str">
        <f t="shared" ca="1" si="24"/>
        <v>ON</v>
      </c>
      <c r="AJ67" s="1" t="str">
        <f t="shared" ca="1" si="25"/>
        <v>ON</v>
      </c>
      <c r="AK67" s="1" t="str">
        <f t="shared" ca="1" si="26"/>
        <v>ON</v>
      </c>
      <c r="AL67" s="1"/>
      <c r="AM67" s="20" t="str">
        <f t="shared" si="27"/>
        <v>ON</v>
      </c>
      <c r="AN67" s="20" t="str">
        <f t="shared" si="27"/>
        <v>ON</v>
      </c>
      <c r="AO67" s="20" t="str">
        <f t="shared" si="28"/>
        <v>ON</v>
      </c>
    </row>
    <row r="68" spans="1:41">
      <c r="A68" t="str">
        <f t="shared" ca="1" si="2"/>
        <v>Ekiti</v>
      </c>
      <c r="B68" t="str">
        <f t="shared" ca="1" si="3"/>
        <v>E</v>
      </c>
      <c r="C68" t="str">
        <f t="shared" ca="1" si="4"/>
        <v>E1</v>
      </c>
      <c r="D68" t="s">
        <v>7</v>
      </c>
      <c r="E68">
        <f t="shared" ca="1" si="5"/>
        <v>25</v>
      </c>
      <c r="F68">
        <f t="shared" ca="1" si="6"/>
        <v>2</v>
      </c>
      <c r="G68" t="str">
        <v>A</v>
      </c>
      <c r="H68" t="str">
        <v>A</v>
      </c>
      <c r="I68" t="str">
        <f ca="1">IF($A68="","",IF(COUNTA($R$2:$W$2)=6,"WK "&amp;_xlfn.ISOWEEKNUM($R$2)))</f>
        <v>WK 19</v>
      </c>
      <c r="J68" t="str">
        <f ca="1">IF($A68="","",IF(COUNTA($AF$2:$AK$2)=6,"WK "&amp;_xlfn.ISOWEEKNUM($AF$2)))</f>
        <v>WK 21</v>
      </c>
      <c r="K68" s="20" t="str">
        <f t="shared" ca="1" si="7"/>
        <v>ON</v>
      </c>
      <c r="L68" s="20" t="str">
        <f t="shared" ca="1" si="7"/>
        <v>ON</v>
      </c>
      <c r="M68" s="1" t="str">
        <f t="shared" ca="1" si="8"/>
        <v>ON</v>
      </c>
      <c r="N68" s="1" t="str">
        <f t="shared" ca="1" si="9"/>
        <v>ON</v>
      </c>
      <c r="O68" s="1" t="str">
        <f t="shared" ca="1" si="10"/>
        <v>ON</v>
      </c>
      <c r="P68" s="1" t="str">
        <f t="shared" ca="1" si="11"/>
        <v>ON</v>
      </c>
      <c r="Q68" s="1"/>
      <c r="R68" s="20" t="str">
        <f t="shared" ca="1" si="12"/>
        <v>ON</v>
      </c>
      <c r="S68" s="20" t="str">
        <f t="shared" ca="1" si="12"/>
        <v>ON</v>
      </c>
      <c r="T68" s="1" t="str">
        <f t="shared" ca="1" si="13"/>
        <v>OFF</v>
      </c>
      <c r="U68" s="1" t="str">
        <f t="shared" ca="1" si="14"/>
        <v>ON</v>
      </c>
      <c r="V68" s="1" t="str">
        <f t="shared" ca="1" si="15"/>
        <v>ON</v>
      </c>
      <c r="W68" s="1" t="str">
        <f t="shared" ca="1" si="16"/>
        <v>ON</v>
      </c>
      <c r="X68" s="1"/>
      <c r="Y68" s="20" t="str">
        <f t="shared" ca="1" si="17"/>
        <v>ON</v>
      </c>
      <c r="Z68" s="20" t="str">
        <f t="shared" ca="1" si="17"/>
        <v>ON</v>
      </c>
      <c r="AA68" s="1" t="str">
        <f t="shared" ca="1" si="18"/>
        <v>ON</v>
      </c>
      <c r="AB68" s="1" t="str">
        <f t="shared" ca="1" si="19"/>
        <v>ON</v>
      </c>
      <c r="AC68" s="1" t="str">
        <f t="shared" ca="1" si="20"/>
        <v>ON</v>
      </c>
      <c r="AD68" s="1" t="str">
        <f t="shared" ca="1" si="21"/>
        <v>ON</v>
      </c>
      <c r="AE68" s="1"/>
      <c r="AF68" s="20" t="str">
        <f t="shared" ca="1" si="22"/>
        <v>ON</v>
      </c>
      <c r="AG68" s="20" t="str">
        <f t="shared" ca="1" si="22"/>
        <v>ON</v>
      </c>
      <c r="AH68" s="1" t="str">
        <f t="shared" ca="1" si="23"/>
        <v>OFF</v>
      </c>
      <c r="AI68" s="1" t="str">
        <f t="shared" ca="1" si="24"/>
        <v>ON</v>
      </c>
      <c r="AJ68" s="1" t="str">
        <f t="shared" ca="1" si="25"/>
        <v>ON</v>
      </c>
      <c r="AK68" s="1" t="str">
        <f t="shared" ca="1" si="26"/>
        <v>ON</v>
      </c>
      <c r="AL68" s="1"/>
      <c r="AM68" s="20" t="str">
        <f t="shared" si="27"/>
        <v>ON</v>
      </c>
      <c r="AN68" s="20" t="str">
        <f t="shared" si="27"/>
        <v>ON</v>
      </c>
      <c r="AO68" s="20" t="str">
        <f t="shared" si="28"/>
        <v>ON</v>
      </c>
    </row>
    <row r="69" spans="1:41">
      <c r="A69" t="str">
        <f t="shared" ca="1" si="2"/>
        <v>Ekiti</v>
      </c>
      <c r="B69" t="str">
        <f t="shared" ca="1" si="3"/>
        <v>C</v>
      </c>
      <c r="C69" t="str">
        <f t="shared" ca="1" si="4"/>
        <v>B1</v>
      </c>
      <c r="D69" t="s">
        <v>4</v>
      </c>
      <c r="E69">
        <f t="shared" ca="1" si="5"/>
        <v>25</v>
      </c>
      <c r="F69">
        <f t="shared" ca="1" si="6"/>
        <v>2</v>
      </c>
      <c r="G69" t="str" cm="1">
        <f t="array" ref="G69:G72">Groups!$B$2:$B$5</f>
        <v>A</v>
      </c>
      <c r="H69" t="str" cm="1">
        <f t="array" ref="H69:H72">Groups!$B$2:$B$5</f>
        <v>A</v>
      </c>
      <c r="I69" t="str">
        <f ca="1">IF($A69="","",IF(COUNTA($K$2:$P$2)=6,"WK "&amp;_xlfn.ISOWEEKNUM($K$2)))</f>
        <v>WK 18</v>
      </c>
      <c r="J69" t="str">
        <f ca="1">IF($A69="","",IF(COUNTA($Y$2:$AD$2)=6,"WK "&amp;_xlfn.ISOWEEKNUM($Y$2)))</f>
        <v>WK 20</v>
      </c>
      <c r="K69" s="20" t="str">
        <f t="shared" ca="1" si="7"/>
        <v>ON</v>
      </c>
      <c r="L69" s="20" t="str">
        <f t="shared" ca="1" si="7"/>
        <v>ON</v>
      </c>
      <c r="M69" s="1" t="str">
        <f t="shared" ca="1" si="8"/>
        <v>OFF</v>
      </c>
      <c r="N69" s="1" t="str">
        <f t="shared" ca="1" si="9"/>
        <v>ON</v>
      </c>
      <c r="O69" s="1" t="str">
        <f t="shared" ca="1" si="10"/>
        <v>ON</v>
      </c>
      <c r="P69" s="1" t="str">
        <f t="shared" ca="1" si="11"/>
        <v>ON</v>
      </c>
      <c r="Q69" s="1"/>
      <c r="R69" s="20" t="str">
        <f t="shared" ca="1" si="12"/>
        <v>ON</v>
      </c>
      <c r="S69" s="20" t="str">
        <f t="shared" ca="1" si="12"/>
        <v>ON</v>
      </c>
      <c r="T69" s="1" t="str">
        <f t="shared" ca="1" si="13"/>
        <v>ON</v>
      </c>
      <c r="U69" s="1" t="str">
        <f t="shared" ca="1" si="14"/>
        <v>ON</v>
      </c>
      <c r="V69" s="1" t="str">
        <f t="shared" ca="1" si="15"/>
        <v>ON</v>
      </c>
      <c r="W69" s="1" t="str">
        <f t="shared" ca="1" si="16"/>
        <v>ON</v>
      </c>
      <c r="X69" s="1"/>
      <c r="Y69" s="20" t="str">
        <f t="shared" ca="1" si="17"/>
        <v>ON</v>
      </c>
      <c r="Z69" s="20" t="str">
        <f t="shared" ca="1" si="17"/>
        <v>ON</v>
      </c>
      <c r="AA69" s="1" t="str">
        <f t="shared" ca="1" si="18"/>
        <v>OFF</v>
      </c>
      <c r="AB69" s="1" t="str">
        <f t="shared" ca="1" si="19"/>
        <v>ON</v>
      </c>
      <c r="AC69" s="1" t="str">
        <f t="shared" ca="1" si="20"/>
        <v>ON</v>
      </c>
      <c r="AD69" s="1" t="str">
        <f t="shared" ca="1" si="21"/>
        <v>ON</v>
      </c>
      <c r="AE69" s="1"/>
      <c r="AF69" s="20" t="str">
        <f t="shared" ca="1" si="22"/>
        <v>ON</v>
      </c>
      <c r="AG69" s="20" t="str">
        <f t="shared" ca="1" si="22"/>
        <v>ON</v>
      </c>
      <c r="AH69" s="1" t="str">
        <f t="shared" ca="1" si="23"/>
        <v>ON</v>
      </c>
      <c r="AI69" s="1" t="str">
        <f t="shared" ca="1" si="24"/>
        <v>ON</v>
      </c>
      <c r="AJ69" s="1" t="str">
        <f t="shared" ca="1" si="25"/>
        <v>ON</v>
      </c>
      <c r="AK69" s="1" t="str">
        <f t="shared" ca="1" si="26"/>
        <v>ON</v>
      </c>
      <c r="AL69" s="1"/>
      <c r="AM69" s="20" t="str">
        <f t="shared" si="27"/>
        <v>ON</v>
      </c>
      <c r="AN69" s="20" t="str">
        <f t="shared" si="27"/>
        <v>ON</v>
      </c>
      <c r="AO69" s="20" t="str">
        <f t="shared" si="28"/>
        <v>ON</v>
      </c>
    </row>
    <row r="70" spans="1:41">
      <c r="A70" t="str">
        <f t="shared" ref="A70:A133" ca="1" si="29">CHOOSE(RANDBETWEEN(1,5),"Lagos","Ogun","Ondo","Oyo","Ekiti")</f>
        <v>Oyo</v>
      </c>
      <c r="B70" t="str">
        <f t="shared" ref="B70:B133" ca="1" si="30">CHOOSE(RANDBETWEEN(1,5),"A","B","C","D","E")</f>
        <v>E</v>
      </c>
      <c r="C70" t="str">
        <f t="shared" ref="C70:C133" ca="1" si="31">CHOOSE(RANDBETWEEN(1,5),"A1","B1","C1","D1","E1")</f>
        <v>A1</v>
      </c>
      <c r="D70" t="s">
        <v>4</v>
      </c>
      <c r="E70">
        <f t="shared" ref="E70:E133" ca="1" si="32">COUNTIF(K70:AO70, "ON")</f>
        <v>25</v>
      </c>
      <c r="F70">
        <f t="shared" ref="F70:F133" ca="1" si="33">COUNTIF(K70:AO70, "OFF")</f>
        <v>2</v>
      </c>
      <c r="G70" t="str">
        <v>B</v>
      </c>
      <c r="H70" t="str">
        <v>B</v>
      </c>
      <c r="I70" t="str">
        <f ca="1">IF($A70="","",IF(COUNTA($R$2:$W$2)=6,"WK "&amp;_xlfn.ISOWEEKNUM($R$2)))</f>
        <v>WK 19</v>
      </c>
      <c r="J70" t="str">
        <f ca="1">IF($A70="","",IF(COUNTA($AF$2:$AK$2)=6,"WK "&amp;_xlfn.ISOWEEKNUM($AF$2)))</f>
        <v>WK 21</v>
      </c>
      <c r="K70" s="20" t="str">
        <f t="shared" ref="K70:L133" ca="1" si="34">IF($A70="","",IF(COUNTA($K$2:$AO$2)-4,IF(OR(K$4="Mon",K$4="Tue"),$E$1,$D$1)))</f>
        <v>ON</v>
      </c>
      <c r="L70" s="20" t="str">
        <f t="shared" ca="1" si="34"/>
        <v>ON</v>
      </c>
      <c r="M70" s="1" t="str">
        <f t="shared" ref="M70:M133" ca="1" si="35">IF($A70="","",IF(COUNTA($K$2:$AO$2)-4,IF(OR(M$4&lt;&gt;"Mon",M$4&lt;&gt;"Tue"),IF(AND($G70="A",$H70="A",$I70="WK "&amp;_xlfn.ISOWEEKNUM($K$2)),$D$1,$E$1))))</f>
        <v>ON</v>
      </c>
      <c r="N70" s="1" t="str">
        <f t="shared" ref="N70:N133" ca="1" si="36">IF($A70="","",IF(COUNTA($K$2:$AO$2)-4,IF(OR(N$4&lt;&gt;"Mon",N$4&lt;&gt;"Tue"),IF(AND($G70="B",$H70="B",$I70="WK "&amp;_xlfn.ISOWEEKNUM($K$2)),$D$1,$E$1))))</f>
        <v>ON</v>
      </c>
      <c r="O70" s="1" t="str">
        <f t="shared" ref="O70:O133" ca="1" si="37">IF($A70="","",IF(COUNTA($K$2:$AO$2)-4,IF(OR(O$4&lt;&gt;"Mon",O$4&lt;&gt;"Tue"),IF(AND($G70="C",$H70="C",$I70="WK "&amp;_xlfn.ISOWEEKNUM($K$2)),$D$1,$E$1))))</f>
        <v>ON</v>
      </c>
      <c r="P70" s="1" t="str">
        <f t="shared" ref="P70:P133" ca="1" si="38">IF($A70="","",IF(COUNTA($K$2:$AO$2)-4,IF(OR(P$4&lt;&gt;"Mon",P$4&lt;&gt;"Tue"),IF(AND($G70="D",$H70="D",$I70="WK "&amp;_xlfn.ISOWEEKNUM($K$2)),$D$1,$E$1))))</f>
        <v>ON</v>
      </c>
      <c r="Q70" s="1"/>
      <c r="R70" s="20" t="str">
        <f t="shared" ref="R70:S133" ca="1" si="39">IF($A70="","",IF(COUNTA($K$2:$AO$2)-4,IF(OR(R$4="Mon",R$4="Tue"),$E$1,$D$1)))</f>
        <v>ON</v>
      </c>
      <c r="S70" s="20" t="str">
        <f t="shared" ca="1" si="39"/>
        <v>ON</v>
      </c>
      <c r="T70" s="1" t="str">
        <f t="shared" ref="T70:T133" ca="1" si="40">IF($A70="","",IF(COUNTA($K$2:$AO$2)-4,IF(OR(T$4&lt;&gt;"Mon",T$4&lt;&gt;"Tue"),IF(AND($G70="A",$H70="A",$I70="WK "&amp;_xlfn.ISOWEEKNUM($R$2)),$D$1,$E$1))))</f>
        <v>ON</v>
      </c>
      <c r="U70" s="1" t="str">
        <f t="shared" ref="U70:U133" ca="1" si="41">IF($A70="","",IF(COUNTA($K$2:$AO$2)-4,IF(OR(U$4&lt;&gt;"Mon",U$4&lt;&gt;"Tue"),IF(AND($G70="B",$H70="B",$I70="WK "&amp;_xlfn.ISOWEEKNUM($R$2)),$D$1,$E$1))))</f>
        <v>OFF</v>
      </c>
      <c r="V70" s="1" t="str">
        <f t="shared" ref="V70:V133" ca="1" si="42">IF($A70="","",IF(COUNTA($K$2:$AO$2)-4,IF(OR(V$4&lt;&gt;"Mon",V$4&lt;&gt;"Tue"),IF(AND($G70="C",$H70="C",$I70="WK "&amp;_xlfn.ISOWEEKNUM($R$2)),$D$1,$E$1))))</f>
        <v>ON</v>
      </c>
      <c r="W70" s="1" t="str">
        <f t="shared" ref="W70:W133" ca="1" si="43">IF($A70="","",IF(COUNTA($K$2:$AO$2)-4,IF(OR(W$4&lt;&gt;"Mon",W$4&lt;&gt;"Tue"),IF(AND($G70="D",$H70="D",$I70="WK "&amp;_xlfn.ISOWEEKNUM($R$2)),$D$1,$E$1))))</f>
        <v>ON</v>
      </c>
      <c r="X70" s="1"/>
      <c r="Y70" s="20" t="str">
        <f t="shared" ref="Y70:Z133" ca="1" si="44">IF($A70="","",IF(COUNTA($K$2:$AO$2)-4,IF(OR(Y$4="Mon",Y$4="Tue"),$E$1,$D$1)))</f>
        <v>ON</v>
      </c>
      <c r="Z70" s="20" t="str">
        <f t="shared" ca="1" si="44"/>
        <v>ON</v>
      </c>
      <c r="AA70" s="1" t="str">
        <f t="shared" ref="AA70:AA133" ca="1" si="45">IF($A70="","",IF(COUNTA($K$2:$AO$2)-4,IF(OR(AA$4&lt;&gt;"Mon",AA$4&lt;&gt;"Tue"),IF(AND($G70="A",$H70="A",$J70="WK "&amp;_xlfn.ISOWEEKNUM($Y$2)),$D$1,$E$1))))</f>
        <v>ON</v>
      </c>
      <c r="AB70" s="1" t="str">
        <f t="shared" ref="AB70:AB133" ca="1" si="46">IF($A70="","",IF(COUNTA($K$2:$AO$2)-4,IF(OR(AB$4&lt;&gt;"Mon",AB$4&lt;&gt;"Tue"),IF(AND($G70="B",$H70="B",$J70="WK "&amp;_xlfn.ISOWEEKNUM($Y$2)),$D$1,$E$1))))</f>
        <v>ON</v>
      </c>
      <c r="AC70" s="1" t="str">
        <f t="shared" ref="AC70:AC133" ca="1" si="47">IF($A70="","",IF(COUNTA($K$2:$AO$2)-4,IF(OR(AC$4&lt;&gt;"Mon",AC$4&lt;&gt;"Tue"),IF(AND($G70="C",$H70="C",$J70="WK "&amp;_xlfn.ISOWEEKNUM($Y$2)),$D$1,$E$1))))</f>
        <v>ON</v>
      </c>
      <c r="AD70" s="1" t="str">
        <f t="shared" ref="AD70:AD133" ca="1" si="48">IF($A70="","",IF(COUNTA($K$2:$AO$2)-4,IF(OR(AD$4&lt;&gt;"Mon",AD$4&lt;&gt;"Tue"),IF(AND($G70="D",$H70="D",$J70="WK "&amp;_xlfn.ISOWEEKNUM($Y$2)),$D$1,$E$1))))</f>
        <v>ON</v>
      </c>
      <c r="AE70" s="1"/>
      <c r="AF70" s="20" t="str">
        <f t="shared" ref="AF70:AG133" ca="1" si="49">IF($A70="","",IF(COUNTA($K$2:$AO$2)-4,IF(OR(AF$4="Mon",AF$4="Tue"),$E$1,$D$1)))</f>
        <v>ON</v>
      </c>
      <c r="AG70" s="20" t="str">
        <f t="shared" ca="1" si="49"/>
        <v>ON</v>
      </c>
      <c r="AH70" s="1" t="str">
        <f t="shared" ref="AH70:AH133" ca="1" si="50">IF($A70="","",IF(COUNTA($K$2:$AO$2)-4,IF(OR(AH$4&lt;&gt;"Mon",AH$4&lt;&gt;"Tue"),IF(AND($G70="A",$H70="A",$J70="WK "&amp;_xlfn.ISOWEEKNUM($AF$2)),$D$1,$E$1))))</f>
        <v>ON</v>
      </c>
      <c r="AI70" s="1" t="str">
        <f t="shared" ref="AI70:AI133" ca="1" si="51">IF($A70="","",IF(COUNTA($K$2:$AO$2)-4,IF(OR(AI$4&lt;&gt;"Mon",AI$4&lt;&gt;"Tue"),IF(AND($G70="B",$H70="B",$J70="WK "&amp;_xlfn.ISOWEEKNUM($AF$2)),$D$1,$E$1))))</f>
        <v>OFF</v>
      </c>
      <c r="AJ70" s="1" t="str">
        <f t="shared" ref="AJ70:AJ133" ca="1" si="52">IF($A70="","",IF(COUNTA($K$2:$AO$2)-4,IF(OR(AJ$4&lt;&gt;"Mon",AJ$4&lt;&gt;"Tue"),IF(AND($G70="C",$H70="C",$J70="WK "&amp;_xlfn.ISOWEEKNUM($AF$2)),$D$1,$E$1))))</f>
        <v>ON</v>
      </c>
      <c r="AK70" s="1" t="str">
        <f t="shared" ref="AK70:AK133" ca="1" si="53">IF($A70="","",IF(COUNTA($K$2:$AO$2)-4,IF(OR(AK$4&lt;&gt;"Mon",AK$4&lt;&gt;"Tue"),IF(AND($G70="D",$H70="D",$J70="WK "&amp;_xlfn.ISOWEEKNUM($AF$2)),$D$1,$E$1))))</f>
        <v>ON</v>
      </c>
      <c r="AL70" s="1"/>
      <c r="AM70" s="20" t="str">
        <f t="shared" ref="AM70:AN133" si="54">IF(COUNTA($K$2:$AO$2)-4,IF(OR(AM$4="Mon",AM$4="Tue"),$E$1,$D$1))</f>
        <v>ON</v>
      </c>
      <c r="AN70" s="20" t="str">
        <f t="shared" si="54"/>
        <v>ON</v>
      </c>
      <c r="AO70" s="20" t="str">
        <f t="shared" ref="AO70:AO133" si="55">IF(COUNTA($K$2:$AO$2)-4,IF(OR(AO$4="Mon",AO$4="Tue",AO$4="Wed"),$E$1,$D$1))</f>
        <v>ON</v>
      </c>
    </row>
    <row r="71" spans="1:41">
      <c r="A71" t="str">
        <f t="shared" ca="1" si="29"/>
        <v>Oyo</v>
      </c>
      <c r="B71" t="str">
        <f t="shared" ca="1" si="30"/>
        <v>D</v>
      </c>
      <c r="C71" t="str">
        <f t="shared" ca="1" si="31"/>
        <v>B1</v>
      </c>
      <c r="D71" t="s">
        <v>4</v>
      </c>
      <c r="E71">
        <f t="shared" ca="1" si="32"/>
        <v>25</v>
      </c>
      <c r="F71">
        <f t="shared" ca="1" si="33"/>
        <v>2</v>
      </c>
      <c r="G71" t="str">
        <v>C</v>
      </c>
      <c r="H71" t="str">
        <v>C</v>
      </c>
      <c r="I71" t="str">
        <f ca="1">IF($A71="","",IF(COUNTA($K$2:$P$2)=6,"WK "&amp;_xlfn.ISOWEEKNUM($K$2)))</f>
        <v>WK 18</v>
      </c>
      <c r="J71" t="str">
        <f ca="1">IF($A71="","",IF(COUNTA($Y$2:$AD$2)=6,"WK "&amp;_xlfn.ISOWEEKNUM($Y$2)))</f>
        <v>WK 20</v>
      </c>
      <c r="K71" s="20" t="str">
        <f t="shared" ca="1" si="34"/>
        <v>ON</v>
      </c>
      <c r="L71" s="20" t="str">
        <f t="shared" ca="1" si="34"/>
        <v>ON</v>
      </c>
      <c r="M71" s="1" t="str">
        <f t="shared" ca="1" si="35"/>
        <v>ON</v>
      </c>
      <c r="N71" s="1" t="str">
        <f t="shared" ca="1" si="36"/>
        <v>ON</v>
      </c>
      <c r="O71" s="1" t="str">
        <f t="shared" ca="1" si="37"/>
        <v>OFF</v>
      </c>
      <c r="P71" s="1" t="str">
        <f t="shared" ca="1" si="38"/>
        <v>ON</v>
      </c>
      <c r="Q71" s="1"/>
      <c r="R71" s="20" t="str">
        <f t="shared" ca="1" si="39"/>
        <v>ON</v>
      </c>
      <c r="S71" s="20" t="str">
        <f t="shared" ca="1" si="39"/>
        <v>ON</v>
      </c>
      <c r="T71" s="1" t="str">
        <f t="shared" ca="1" si="40"/>
        <v>ON</v>
      </c>
      <c r="U71" s="1" t="str">
        <f t="shared" ca="1" si="41"/>
        <v>ON</v>
      </c>
      <c r="V71" s="1" t="str">
        <f t="shared" ca="1" si="42"/>
        <v>ON</v>
      </c>
      <c r="W71" s="1" t="str">
        <f t="shared" ca="1" si="43"/>
        <v>ON</v>
      </c>
      <c r="X71" s="1"/>
      <c r="Y71" s="20" t="str">
        <f t="shared" ca="1" si="44"/>
        <v>ON</v>
      </c>
      <c r="Z71" s="20" t="str">
        <f t="shared" ca="1" si="44"/>
        <v>ON</v>
      </c>
      <c r="AA71" s="1" t="str">
        <f t="shared" ca="1" si="45"/>
        <v>ON</v>
      </c>
      <c r="AB71" s="1" t="str">
        <f t="shared" ca="1" si="46"/>
        <v>ON</v>
      </c>
      <c r="AC71" s="1" t="str">
        <f t="shared" ca="1" si="47"/>
        <v>OFF</v>
      </c>
      <c r="AD71" s="1" t="str">
        <f t="shared" ca="1" si="48"/>
        <v>ON</v>
      </c>
      <c r="AE71" s="1"/>
      <c r="AF71" s="20" t="str">
        <f t="shared" ca="1" si="49"/>
        <v>ON</v>
      </c>
      <c r="AG71" s="20" t="str">
        <f t="shared" ca="1" si="49"/>
        <v>ON</v>
      </c>
      <c r="AH71" s="1" t="str">
        <f t="shared" ca="1" si="50"/>
        <v>ON</v>
      </c>
      <c r="AI71" s="1" t="str">
        <f t="shared" ca="1" si="51"/>
        <v>ON</v>
      </c>
      <c r="AJ71" s="1" t="str">
        <f t="shared" ca="1" si="52"/>
        <v>ON</v>
      </c>
      <c r="AK71" s="1" t="str">
        <f t="shared" ca="1" si="53"/>
        <v>ON</v>
      </c>
      <c r="AL71" s="1"/>
      <c r="AM71" s="20" t="str">
        <f t="shared" si="54"/>
        <v>ON</v>
      </c>
      <c r="AN71" s="20" t="str">
        <f t="shared" si="54"/>
        <v>ON</v>
      </c>
      <c r="AO71" s="20" t="str">
        <f t="shared" si="55"/>
        <v>ON</v>
      </c>
    </row>
    <row r="72" spans="1:41">
      <c r="A72" t="str">
        <f t="shared" ca="1" si="29"/>
        <v>Ondo</v>
      </c>
      <c r="B72" t="str">
        <f t="shared" ca="1" si="30"/>
        <v>A</v>
      </c>
      <c r="C72" t="str">
        <f t="shared" ca="1" si="31"/>
        <v>B1</v>
      </c>
      <c r="D72" t="s">
        <v>5</v>
      </c>
      <c r="E72">
        <f t="shared" ca="1" si="32"/>
        <v>25</v>
      </c>
      <c r="F72">
        <f t="shared" ca="1" si="33"/>
        <v>2</v>
      </c>
      <c r="G72" t="str">
        <v>D</v>
      </c>
      <c r="H72" t="str">
        <v>D</v>
      </c>
      <c r="I72" t="str">
        <f ca="1">IF($A72="","",IF(COUNTA($R$2:$W$2)=6,"WK "&amp;_xlfn.ISOWEEKNUM($R$2)))</f>
        <v>WK 19</v>
      </c>
      <c r="J72" t="str">
        <f ca="1">IF($A72="","",IF(COUNTA($AF$2:$AK$2)=6,"WK "&amp;_xlfn.ISOWEEKNUM($AF$2)))</f>
        <v>WK 21</v>
      </c>
      <c r="K72" s="20" t="str">
        <f t="shared" ca="1" si="34"/>
        <v>ON</v>
      </c>
      <c r="L72" s="20" t="str">
        <f t="shared" ca="1" si="34"/>
        <v>ON</v>
      </c>
      <c r="M72" s="1" t="str">
        <f t="shared" ca="1" si="35"/>
        <v>ON</v>
      </c>
      <c r="N72" s="1" t="str">
        <f t="shared" ca="1" si="36"/>
        <v>ON</v>
      </c>
      <c r="O72" s="1" t="str">
        <f t="shared" ca="1" si="37"/>
        <v>ON</v>
      </c>
      <c r="P72" s="1" t="str">
        <f t="shared" ca="1" si="38"/>
        <v>ON</v>
      </c>
      <c r="Q72" s="1"/>
      <c r="R72" s="20" t="str">
        <f t="shared" ca="1" si="39"/>
        <v>ON</v>
      </c>
      <c r="S72" s="20" t="str">
        <f t="shared" ca="1" si="39"/>
        <v>ON</v>
      </c>
      <c r="T72" s="1" t="str">
        <f t="shared" ca="1" si="40"/>
        <v>ON</v>
      </c>
      <c r="U72" s="1" t="str">
        <f t="shared" ca="1" si="41"/>
        <v>ON</v>
      </c>
      <c r="V72" s="1" t="str">
        <f t="shared" ca="1" si="42"/>
        <v>ON</v>
      </c>
      <c r="W72" s="1" t="str">
        <f t="shared" ca="1" si="43"/>
        <v>OFF</v>
      </c>
      <c r="X72" s="1"/>
      <c r="Y72" s="20" t="str">
        <f t="shared" ca="1" si="44"/>
        <v>ON</v>
      </c>
      <c r="Z72" s="20" t="str">
        <f t="shared" ca="1" si="44"/>
        <v>ON</v>
      </c>
      <c r="AA72" s="1" t="str">
        <f t="shared" ca="1" si="45"/>
        <v>ON</v>
      </c>
      <c r="AB72" s="1" t="str">
        <f t="shared" ca="1" si="46"/>
        <v>ON</v>
      </c>
      <c r="AC72" s="1" t="str">
        <f t="shared" ca="1" si="47"/>
        <v>ON</v>
      </c>
      <c r="AD72" s="1" t="str">
        <f t="shared" ca="1" si="48"/>
        <v>ON</v>
      </c>
      <c r="AE72" s="1"/>
      <c r="AF72" s="20" t="str">
        <f t="shared" ca="1" si="49"/>
        <v>ON</v>
      </c>
      <c r="AG72" s="20" t="str">
        <f t="shared" ca="1" si="49"/>
        <v>ON</v>
      </c>
      <c r="AH72" s="1" t="str">
        <f t="shared" ca="1" si="50"/>
        <v>ON</v>
      </c>
      <c r="AI72" s="1" t="str">
        <f t="shared" ca="1" si="51"/>
        <v>ON</v>
      </c>
      <c r="AJ72" s="1" t="str">
        <f t="shared" ca="1" si="52"/>
        <v>ON</v>
      </c>
      <c r="AK72" s="1" t="str">
        <f t="shared" ca="1" si="53"/>
        <v>OFF</v>
      </c>
      <c r="AL72" s="1"/>
      <c r="AM72" s="20" t="str">
        <f t="shared" si="54"/>
        <v>ON</v>
      </c>
      <c r="AN72" s="20" t="str">
        <f t="shared" si="54"/>
        <v>ON</v>
      </c>
      <c r="AO72" s="20" t="str">
        <f t="shared" si="55"/>
        <v>ON</v>
      </c>
    </row>
    <row r="73" spans="1:41">
      <c r="A73" t="str">
        <f t="shared" ca="1" si="29"/>
        <v>Ogun</v>
      </c>
      <c r="B73" t="str">
        <f t="shared" ca="1" si="30"/>
        <v>C</v>
      </c>
      <c r="C73" t="str">
        <f t="shared" ca="1" si="31"/>
        <v>C1</v>
      </c>
      <c r="D73" t="s">
        <v>5</v>
      </c>
      <c r="E73">
        <f t="shared" ca="1" si="32"/>
        <v>25</v>
      </c>
      <c r="F73">
        <f t="shared" ca="1" si="33"/>
        <v>2</v>
      </c>
      <c r="G73" t="str" cm="1">
        <f t="array" ref="G73:G76">IF($G$5:$G$8={"A";"B";"C";"D"},{"D";"C";"B";"A"},{"A";"B";"C";"D"})</f>
        <v>D</v>
      </c>
      <c r="H73" t="str" cm="1">
        <f t="array" ref="H73:H76">IF($H$5:$H$8={"A";"B";"C";"D"},{"D";"C";"B";"A"},{"A";"B";"C";"D"})</f>
        <v>D</v>
      </c>
      <c r="I73" t="str">
        <f ca="1">IF($A73="","",IF(COUNTA($K$2:$P$2)=6,"WK "&amp;_xlfn.ISOWEEKNUM($K$2)))</f>
        <v>WK 18</v>
      </c>
      <c r="J73" t="str">
        <f ca="1">IF($A73="","",IF(COUNTA($Y$2:$AD$2)=6,"WK "&amp;_xlfn.ISOWEEKNUM($Y$2)))</f>
        <v>WK 20</v>
      </c>
      <c r="K73" s="20" t="str">
        <f t="shared" ca="1" si="34"/>
        <v>ON</v>
      </c>
      <c r="L73" s="20" t="str">
        <f t="shared" ca="1" si="34"/>
        <v>ON</v>
      </c>
      <c r="M73" s="1" t="str">
        <f t="shared" ca="1" si="35"/>
        <v>ON</v>
      </c>
      <c r="N73" s="1" t="str">
        <f t="shared" ca="1" si="36"/>
        <v>ON</v>
      </c>
      <c r="O73" s="1" t="str">
        <f t="shared" ca="1" si="37"/>
        <v>ON</v>
      </c>
      <c r="P73" s="1" t="str">
        <f t="shared" ca="1" si="38"/>
        <v>OFF</v>
      </c>
      <c r="Q73" s="1"/>
      <c r="R73" s="20" t="str">
        <f t="shared" ca="1" si="39"/>
        <v>ON</v>
      </c>
      <c r="S73" s="20" t="str">
        <f t="shared" ca="1" si="39"/>
        <v>ON</v>
      </c>
      <c r="T73" s="1" t="str">
        <f t="shared" ca="1" si="40"/>
        <v>ON</v>
      </c>
      <c r="U73" s="1" t="str">
        <f t="shared" ca="1" si="41"/>
        <v>ON</v>
      </c>
      <c r="V73" s="1" t="str">
        <f t="shared" ca="1" si="42"/>
        <v>ON</v>
      </c>
      <c r="W73" s="1" t="str">
        <f t="shared" ca="1" si="43"/>
        <v>ON</v>
      </c>
      <c r="X73" s="1"/>
      <c r="Y73" s="20" t="str">
        <f t="shared" ca="1" si="44"/>
        <v>ON</v>
      </c>
      <c r="Z73" s="20" t="str">
        <f t="shared" ca="1" si="44"/>
        <v>ON</v>
      </c>
      <c r="AA73" s="1" t="str">
        <f t="shared" ca="1" si="45"/>
        <v>ON</v>
      </c>
      <c r="AB73" s="1" t="str">
        <f t="shared" ca="1" si="46"/>
        <v>ON</v>
      </c>
      <c r="AC73" s="1" t="str">
        <f t="shared" ca="1" si="47"/>
        <v>ON</v>
      </c>
      <c r="AD73" s="1" t="str">
        <f t="shared" ca="1" si="48"/>
        <v>OFF</v>
      </c>
      <c r="AE73" s="1"/>
      <c r="AF73" s="20" t="str">
        <f t="shared" ca="1" si="49"/>
        <v>ON</v>
      </c>
      <c r="AG73" s="20" t="str">
        <f t="shared" ca="1" si="49"/>
        <v>ON</v>
      </c>
      <c r="AH73" s="1" t="str">
        <f t="shared" ca="1" si="50"/>
        <v>ON</v>
      </c>
      <c r="AI73" s="1" t="str">
        <f t="shared" ca="1" si="51"/>
        <v>ON</v>
      </c>
      <c r="AJ73" s="1" t="str">
        <f t="shared" ca="1" si="52"/>
        <v>ON</v>
      </c>
      <c r="AK73" s="1" t="str">
        <f t="shared" ca="1" si="53"/>
        <v>ON</v>
      </c>
      <c r="AL73" s="1"/>
      <c r="AM73" s="20" t="str">
        <f t="shared" si="54"/>
        <v>ON</v>
      </c>
      <c r="AN73" s="20" t="str">
        <f t="shared" si="54"/>
        <v>ON</v>
      </c>
      <c r="AO73" s="20" t="str">
        <f t="shared" si="55"/>
        <v>ON</v>
      </c>
    </row>
    <row r="74" spans="1:41">
      <c r="A74" t="str">
        <f t="shared" ca="1" si="29"/>
        <v>Lagos</v>
      </c>
      <c r="B74" t="str">
        <f t="shared" ca="1" si="30"/>
        <v>B</v>
      </c>
      <c r="C74" t="str">
        <f t="shared" ca="1" si="31"/>
        <v>D1</v>
      </c>
      <c r="D74" t="s">
        <v>5</v>
      </c>
      <c r="E74">
        <f t="shared" ca="1" si="32"/>
        <v>25</v>
      </c>
      <c r="F74">
        <f t="shared" ca="1" si="33"/>
        <v>2</v>
      </c>
      <c r="G74" t="str">
        <v>C</v>
      </c>
      <c r="H74" t="str">
        <v>C</v>
      </c>
      <c r="I74" t="str">
        <f ca="1">IF($A74="","",IF(COUNTA($R$2:$W$2)=6,"WK "&amp;_xlfn.ISOWEEKNUM($R$2)))</f>
        <v>WK 19</v>
      </c>
      <c r="J74" t="str">
        <f ca="1">IF($A74="","",IF(COUNTA($AF$2:$AK$2)=6,"WK "&amp;_xlfn.ISOWEEKNUM($AF$2)))</f>
        <v>WK 21</v>
      </c>
      <c r="K74" s="20" t="str">
        <f t="shared" ca="1" si="34"/>
        <v>ON</v>
      </c>
      <c r="L74" s="20" t="str">
        <f t="shared" ca="1" si="34"/>
        <v>ON</v>
      </c>
      <c r="M74" s="1" t="str">
        <f t="shared" ca="1" si="35"/>
        <v>ON</v>
      </c>
      <c r="N74" s="1" t="str">
        <f t="shared" ca="1" si="36"/>
        <v>ON</v>
      </c>
      <c r="O74" s="1" t="str">
        <f t="shared" ca="1" si="37"/>
        <v>ON</v>
      </c>
      <c r="P74" s="1" t="str">
        <f t="shared" ca="1" si="38"/>
        <v>ON</v>
      </c>
      <c r="Q74" s="1"/>
      <c r="R74" s="20" t="str">
        <f t="shared" ca="1" si="39"/>
        <v>ON</v>
      </c>
      <c r="S74" s="20" t="str">
        <f t="shared" ca="1" si="39"/>
        <v>ON</v>
      </c>
      <c r="T74" s="1" t="str">
        <f t="shared" ca="1" si="40"/>
        <v>ON</v>
      </c>
      <c r="U74" s="1" t="str">
        <f t="shared" ca="1" si="41"/>
        <v>ON</v>
      </c>
      <c r="V74" s="1" t="str">
        <f t="shared" ca="1" si="42"/>
        <v>OFF</v>
      </c>
      <c r="W74" s="1" t="str">
        <f t="shared" ca="1" si="43"/>
        <v>ON</v>
      </c>
      <c r="X74" s="1"/>
      <c r="Y74" s="20" t="str">
        <f t="shared" ca="1" si="44"/>
        <v>ON</v>
      </c>
      <c r="Z74" s="20" t="str">
        <f t="shared" ca="1" si="44"/>
        <v>ON</v>
      </c>
      <c r="AA74" s="1" t="str">
        <f t="shared" ca="1" si="45"/>
        <v>ON</v>
      </c>
      <c r="AB74" s="1" t="str">
        <f t="shared" ca="1" si="46"/>
        <v>ON</v>
      </c>
      <c r="AC74" s="1" t="str">
        <f t="shared" ca="1" si="47"/>
        <v>ON</v>
      </c>
      <c r="AD74" s="1" t="str">
        <f t="shared" ca="1" si="48"/>
        <v>ON</v>
      </c>
      <c r="AE74" s="1"/>
      <c r="AF74" s="20" t="str">
        <f t="shared" ca="1" si="49"/>
        <v>ON</v>
      </c>
      <c r="AG74" s="20" t="str">
        <f t="shared" ca="1" si="49"/>
        <v>ON</v>
      </c>
      <c r="AH74" s="1" t="str">
        <f t="shared" ca="1" si="50"/>
        <v>ON</v>
      </c>
      <c r="AI74" s="1" t="str">
        <f t="shared" ca="1" si="51"/>
        <v>ON</v>
      </c>
      <c r="AJ74" s="1" t="str">
        <f t="shared" ca="1" si="52"/>
        <v>OFF</v>
      </c>
      <c r="AK74" s="1" t="str">
        <f t="shared" ca="1" si="53"/>
        <v>ON</v>
      </c>
      <c r="AL74" s="1"/>
      <c r="AM74" s="20" t="str">
        <f t="shared" si="54"/>
        <v>ON</v>
      </c>
      <c r="AN74" s="20" t="str">
        <f t="shared" si="54"/>
        <v>ON</v>
      </c>
      <c r="AO74" s="20" t="str">
        <f t="shared" si="55"/>
        <v>ON</v>
      </c>
    </row>
    <row r="75" spans="1:41">
      <c r="A75" t="str">
        <f t="shared" ca="1" si="29"/>
        <v>Ogun</v>
      </c>
      <c r="B75" t="str">
        <f t="shared" ca="1" si="30"/>
        <v>D</v>
      </c>
      <c r="C75" t="str">
        <f t="shared" ca="1" si="31"/>
        <v>E1</v>
      </c>
      <c r="D75" t="s">
        <v>8</v>
      </c>
      <c r="E75">
        <f t="shared" ca="1" si="32"/>
        <v>25</v>
      </c>
      <c r="F75">
        <f t="shared" ca="1" si="33"/>
        <v>2</v>
      </c>
      <c r="G75" t="str">
        <v>B</v>
      </c>
      <c r="H75" t="str">
        <v>B</v>
      </c>
      <c r="I75" t="str">
        <f ca="1">IF($A75="","",IF(COUNTA($K$2:$P$2)=6,"WK "&amp;_xlfn.ISOWEEKNUM($K$2)))</f>
        <v>WK 18</v>
      </c>
      <c r="J75" t="str">
        <f ca="1">IF($A75="","",IF(COUNTA($Y$2:$AD$2)=6,"WK "&amp;_xlfn.ISOWEEKNUM($Y$2)))</f>
        <v>WK 20</v>
      </c>
      <c r="K75" s="20" t="str">
        <f t="shared" ca="1" si="34"/>
        <v>ON</v>
      </c>
      <c r="L75" s="20" t="str">
        <f t="shared" ca="1" si="34"/>
        <v>ON</v>
      </c>
      <c r="M75" s="1" t="str">
        <f t="shared" ca="1" si="35"/>
        <v>ON</v>
      </c>
      <c r="N75" s="1" t="str">
        <f t="shared" ca="1" si="36"/>
        <v>OFF</v>
      </c>
      <c r="O75" s="1" t="str">
        <f t="shared" ca="1" si="37"/>
        <v>ON</v>
      </c>
      <c r="P75" s="1" t="str">
        <f t="shared" ca="1" si="38"/>
        <v>ON</v>
      </c>
      <c r="Q75" s="1"/>
      <c r="R75" s="20" t="str">
        <f t="shared" ca="1" si="39"/>
        <v>ON</v>
      </c>
      <c r="S75" s="20" t="str">
        <f t="shared" ca="1" si="39"/>
        <v>ON</v>
      </c>
      <c r="T75" s="1" t="str">
        <f t="shared" ca="1" si="40"/>
        <v>ON</v>
      </c>
      <c r="U75" s="1" t="str">
        <f t="shared" ca="1" si="41"/>
        <v>ON</v>
      </c>
      <c r="V75" s="1" t="str">
        <f t="shared" ca="1" si="42"/>
        <v>ON</v>
      </c>
      <c r="W75" s="1" t="str">
        <f t="shared" ca="1" si="43"/>
        <v>ON</v>
      </c>
      <c r="X75" s="1"/>
      <c r="Y75" s="20" t="str">
        <f t="shared" ca="1" si="44"/>
        <v>ON</v>
      </c>
      <c r="Z75" s="20" t="str">
        <f t="shared" ca="1" si="44"/>
        <v>ON</v>
      </c>
      <c r="AA75" s="1" t="str">
        <f t="shared" ca="1" si="45"/>
        <v>ON</v>
      </c>
      <c r="AB75" s="1" t="str">
        <f t="shared" ca="1" si="46"/>
        <v>OFF</v>
      </c>
      <c r="AC75" s="1" t="str">
        <f t="shared" ca="1" si="47"/>
        <v>ON</v>
      </c>
      <c r="AD75" s="1" t="str">
        <f t="shared" ca="1" si="48"/>
        <v>ON</v>
      </c>
      <c r="AE75" s="1"/>
      <c r="AF75" s="20" t="str">
        <f t="shared" ca="1" si="49"/>
        <v>ON</v>
      </c>
      <c r="AG75" s="20" t="str">
        <f t="shared" ca="1" si="49"/>
        <v>ON</v>
      </c>
      <c r="AH75" s="1" t="str">
        <f t="shared" ca="1" si="50"/>
        <v>ON</v>
      </c>
      <c r="AI75" s="1" t="str">
        <f t="shared" ca="1" si="51"/>
        <v>ON</v>
      </c>
      <c r="AJ75" s="1" t="str">
        <f t="shared" ca="1" si="52"/>
        <v>ON</v>
      </c>
      <c r="AK75" s="1" t="str">
        <f t="shared" ca="1" si="53"/>
        <v>ON</v>
      </c>
      <c r="AL75" s="1"/>
      <c r="AM75" s="20" t="str">
        <f t="shared" si="54"/>
        <v>ON</v>
      </c>
      <c r="AN75" s="20" t="str">
        <f t="shared" si="54"/>
        <v>ON</v>
      </c>
      <c r="AO75" s="20" t="str">
        <f t="shared" si="55"/>
        <v>ON</v>
      </c>
    </row>
    <row r="76" spans="1:41">
      <c r="A76" t="str">
        <f t="shared" ca="1" si="29"/>
        <v>Ogun</v>
      </c>
      <c r="B76" t="str">
        <f t="shared" ca="1" si="30"/>
        <v>B</v>
      </c>
      <c r="C76" t="str">
        <f t="shared" ca="1" si="31"/>
        <v>D1</v>
      </c>
      <c r="D76" s="4" t="s">
        <v>7</v>
      </c>
      <c r="E76">
        <f t="shared" ca="1" si="32"/>
        <v>25</v>
      </c>
      <c r="F76">
        <f t="shared" ca="1" si="33"/>
        <v>2</v>
      </c>
      <c r="G76" t="str">
        <v>A</v>
      </c>
      <c r="H76" t="str">
        <v>A</v>
      </c>
      <c r="I76" t="str">
        <f ca="1">IF($A76="","",IF(COUNTA($R$2:$W$2)=6,"WK "&amp;_xlfn.ISOWEEKNUM($R$2)))</f>
        <v>WK 19</v>
      </c>
      <c r="J76" t="str">
        <f ca="1">IF($A76="","",IF(COUNTA($AF$2:$AK$2)=6,"WK "&amp;_xlfn.ISOWEEKNUM($AF$2)))</f>
        <v>WK 21</v>
      </c>
      <c r="K76" s="20" t="str">
        <f t="shared" ca="1" si="34"/>
        <v>ON</v>
      </c>
      <c r="L76" s="20" t="str">
        <f t="shared" ca="1" si="34"/>
        <v>ON</v>
      </c>
      <c r="M76" s="1" t="str">
        <f t="shared" ca="1" si="35"/>
        <v>ON</v>
      </c>
      <c r="N76" s="1" t="str">
        <f t="shared" ca="1" si="36"/>
        <v>ON</v>
      </c>
      <c r="O76" s="1" t="str">
        <f t="shared" ca="1" si="37"/>
        <v>ON</v>
      </c>
      <c r="P76" s="1" t="str">
        <f t="shared" ca="1" si="38"/>
        <v>ON</v>
      </c>
      <c r="Q76" s="1"/>
      <c r="R76" s="20" t="str">
        <f t="shared" ca="1" si="39"/>
        <v>ON</v>
      </c>
      <c r="S76" s="20" t="str">
        <f t="shared" ca="1" si="39"/>
        <v>ON</v>
      </c>
      <c r="T76" s="1" t="str">
        <f t="shared" ca="1" si="40"/>
        <v>OFF</v>
      </c>
      <c r="U76" s="1" t="str">
        <f t="shared" ca="1" si="41"/>
        <v>ON</v>
      </c>
      <c r="V76" s="1" t="str">
        <f t="shared" ca="1" si="42"/>
        <v>ON</v>
      </c>
      <c r="W76" s="1" t="str">
        <f t="shared" ca="1" si="43"/>
        <v>ON</v>
      </c>
      <c r="X76" s="1"/>
      <c r="Y76" s="20" t="str">
        <f t="shared" ca="1" si="44"/>
        <v>ON</v>
      </c>
      <c r="Z76" s="20" t="str">
        <f t="shared" ca="1" si="44"/>
        <v>ON</v>
      </c>
      <c r="AA76" s="1" t="str">
        <f t="shared" ca="1" si="45"/>
        <v>ON</v>
      </c>
      <c r="AB76" s="1" t="str">
        <f t="shared" ca="1" si="46"/>
        <v>ON</v>
      </c>
      <c r="AC76" s="1" t="str">
        <f t="shared" ca="1" si="47"/>
        <v>ON</v>
      </c>
      <c r="AD76" s="1" t="str">
        <f t="shared" ca="1" si="48"/>
        <v>ON</v>
      </c>
      <c r="AE76" s="1"/>
      <c r="AF76" s="20" t="str">
        <f t="shared" ca="1" si="49"/>
        <v>ON</v>
      </c>
      <c r="AG76" s="20" t="str">
        <f t="shared" ca="1" si="49"/>
        <v>ON</v>
      </c>
      <c r="AH76" s="1" t="str">
        <f t="shared" ca="1" si="50"/>
        <v>OFF</v>
      </c>
      <c r="AI76" s="1" t="str">
        <f t="shared" ca="1" si="51"/>
        <v>ON</v>
      </c>
      <c r="AJ76" s="1" t="str">
        <f t="shared" ca="1" si="52"/>
        <v>ON</v>
      </c>
      <c r="AK76" s="1" t="str">
        <f t="shared" ca="1" si="53"/>
        <v>ON</v>
      </c>
      <c r="AL76" s="1"/>
      <c r="AM76" s="20" t="str">
        <f t="shared" si="54"/>
        <v>ON</v>
      </c>
      <c r="AN76" s="20" t="str">
        <f t="shared" si="54"/>
        <v>ON</v>
      </c>
      <c r="AO76" s="20" t="str">
        <f t="shared" si="55"/>
        <v>ON</v>
      </c>
    </row>
    <row r="77" spans="1:41">
      <c r="A77" t="str">
        <f t="shared" ca="1" si="29"/>
        <v>Ekiti</v>
      </c>
      <c r="B77" t="str">
        <f t="shared" ca="1" si="30"/>
        <v>D</v>
      </c>
      <c r="C77" t="str">
        <f t="shared" ca="1" si="31"/>
        <v>B1</v>
      </c>
      <c r="D77" s="4" t="s">
        <v>7</v>
      </c>
      <c r="E77">
        <f t="shared" ca="1" si="32"/>
        <v>25</v>
      </c>
      <c r="F77">
        <f t="shared" ca="1" si="33"/>
        <v>2</v>
      </c>
      <c r="G77" t="str" cm="1">
        <f t="array" ref="G77:G80">Groups!$B$2:$B$5</f>
        <v>A</v>
      </c>
      <c r="H77" t="str" cm="1">
        <f t="array" ref="H77:H80">Groups!$B$2:$B$5</f>
        <v>A</v>
      </c>
      <c r="I77" t="str">
        <f ca="1">IF($A77="","",IF(COUNTA($K$2:$P$2)=6,"WK "&amp;_xlfn.ISOWEEKNUM($K$2)))</f>
        <v>WK 18</v>
      </c>
      <c r="J77" t="str">
        <f ca="1">IF($A77="","",IF(COUNTA($Y$2:$AD$2)=6,"WK "&amp;_xlfn.ISOWEEKNUM($Y$2)))</f>
        <v>WK 20</v>
      </c>
      <c r="K77" s="20" t="str">
        <f t="shared" ca="1" si="34"/>
        <v>ON</v>
      </c>
      <c r="L77" s="20" t="str">
        <f t="shared" ca="1" si="34"/>
        <v>ON</v>
      </c>
      <c r="M77" s="1" t="str">
        <f t="shared" ca="1" si="35"/>
        <v>OFF</v>
      </c>
      <c r="N77" s="1" t="str">
        <f t="shared" ca="1" si="36"/>
        <v>ON</v>
      </c>
      <c r="O77" s="1" t="str">
        <f t="shared" ca="1" si="37"/>
        <v>ON</v>
      </c>
      <c r="P77" s="1" t="str">
        <f t="shared" ca="1" si="38"/>
        <v>ON</v>
      </c>
      <c r="Q77" s="1"/>
      <c r="R77" s="20" t="str">
        <f t="shared" ca="1" si="39"/>
        <v>ON</v>
      </c>
      <c r="S77" s="20" t="str">
        <f t="shared" ca="1" si="39"/>
        <v>ON</v>
      </c>
      <c r="T77" s="1" t="str">
        <f t="shared" ca="1" si="40"/>
        <v>ON</v>
      </c>
      <c r="U77" s="1" t="str">
        <f t="shared" ca="1" si="41"/>
        <v>ON</v>
      </c>
      <c r="V77" s="1" t="str">
        <f t="shared" ca="1" si="42"/>
        <v>ON</v>
      </c>
      <c r="W77" s="1" t="str">
        <f t="shared" ca="1" si="43"/>
        <v>ON</v>
      </c>
      <c r="X77" s="1"/>
      <c r="Y77" s="20" t="str">
        <f t="shared" ca="1" si="44"/>
        <v>ON</v>
      </c>
      <c r="Z77" s="20" t="str">
        <f t="shared" ca="1" si="44"/>
        <v>ON</v>
      </c>
      <c r="AA77" s="1" t="str">
        <f t="shared" ca="1" si="45"/>
        <v>OFF</v>
      </c>
      <c r="AB77" s="1" t="str">
        <f t="shared" ca="1" si="46"/>
        <v>ON</v>
      </c>
      <c r="AC77" s="1" t="str">
        <f t="shared" ca="1" si="47"/>
        <v>ON</v>
      </c>
      <c r="AD77" s="1" t="str">
        <f t="shared" ca="1" si="48"/>
        <v>ON</v>
      </c>
      <c r="AE77" s="1"/>
      <c r="AF77" s="20" t="str">
        <f t="shared" ca="1" si="49"/>
        <v>ON</v>
      </c>
      <c r="AG77" s="20" t="str">
        <f t="shared" ca="1" si="49"/>
        <v>ON</v>
      </c>
      <c r="AH77" s="1" t="str">
        <f t="shared" ca="1" si="50"/>
        <v>ON</v>
      </c>
      <c r="AI77" s="1" t="str">
        <f t="shared" ca="1" si="51"/>
        <v>ON</v>
      </c>
      <c r="AJ77" s="1" t="str">
        <f t="shared" ca="1" si="52"/>
        <v>ON</v>
      </c>
      <c r="AK77" s="1" t="str">
        <f t="shared" ca="1" si="53"/>
        <v>ON</v>
      </c>
      <c r="AL77" s="1"/>
      <c r="AM77" s="20" t="str">
        <f t="shared" si="54"/>
        <v>ON</v>
      </c>
      <c r="AN77" s="20" t="str">
        <f t="shared" si="54"/>
        <v>ON</v>
      </c>
      <c r="AO77" s="20" t="str">
        <f t="shared" si="55"/>
        <v>ON</v>
      </c>
    </row>
    <row r="78" spans="1:41">
      <c r="A78" t="str">
        <f t="shared" ca="1" si="29"/>
        <v>Ogun</v>
      </c>
      <c r="B78" t="str">
        <f t="shared" ca="1" si="30"/>
        <v>A</v>
      </c>
      <c r="C78" t="str">
        <f t="shared" ca="1" si="31"/>
        <v>A1</v>
      </c>
      <c r="D78" s="4" t="s">
        <v>7</v>
      </c>
      <c r="E78">
        <f t="shared" ca="1" si="32"/>
        <v>25</v>
      </c>
      <c r="F78">
        <f t="shared" ca="1" si="33"/>
        <v>2</v>
      </c>
      <c r="G78" t="str">
        <v>B</v>
      </c>
      <c r="H78" t="str">
        <v>B</v>
      </c>
      <c r="I78" t="str">
        <f ca="1">IF($A78="","",IF(COUNTA($R$2:$W$2)=6,"WK "&amp;_xlfn.ISOWEEKNUM($R$2)))</f>
        <v>WK 19</v>
      </c>
      <c r="J78" t="str">
        <f ca="1">IF($A78="","",IF(COUNTA($AF$2:$AK$2)=6,"WK "&amp;_xlfn.ISOWEEKNUM($AF$2)))</f>
        <v>WK 21</v>
      </c>
      <c r="K78" s="20" t="str">
        <f t="shared" ca="1" si="34"/>
        <v>ON</v>
      </c>
      <c r="L78" s="20" t="str">
        <f t="shared" ca="1" si="34"/>
        <v>ON</v>
      </c>
      <c r="M78" s="1" t="str">
        <f t="shared" ca="1" si="35"/>
        <v>ON</v>
      </c>
      <c r="N78" s="1" t="str">
        <f t="shared" ca="1" si="36"/>
        <v>ON</v>
      </c>
      <c r="O78" s="1" t="str">
        <f t="shared" ca="1" si="37"/>
        <v>ON</v>
      </c>
      <c r="P78" s="1" t="str">
        <f t="shared" ca="1" si="38"/>
        <v>ON</v>
      </c>
      <c r="Q78" s="1"/>
      <c r="R78" s="20" t="str">
        <f t="shared" ca="1" si="39"/>
        <v>ON</v>
      </c>
      <c r="S78" s="20" t="str">
        <f t="shared" ca="1" si="39"/>
        <v>ON</v>
      </c>
      <c r="T78" s="1" t="str">
        <f t="shared" ca="1" si="40"/>
        <v>ON</v>
      </c>
      <c r="U78" s="1" t="str">
        <f t="shared" ca="1" si="41"/>
        <v>OFF</v>
      </c>
      <c r="V78" s="1" t="str">
        <f t="shared" ca="1" si="42"/>
        <v>ON</v>
      </c>
      <c r="W78" s="1" t="str">
        <f t="shared" ca="1" si="43"/>
        <v>ON</v>
      </c>
      <c r="X78" s="1"/>
      <c r="Y78" s="20" t="str">
        <f t="shared" ca="1" si="44"/>
        <v>ON</v>
      </c>
      <c r="Z78" s="20" t="str">
        <f t="shared" ca="1" si="44"/>
        <v>ON</v>
      </c>
      <c r="AA78" s="1" t="str">
        <f t="shared" ca="1" si="45"/>
        <v>ON</v>
      </c>
      <c r="AB78" s="1" t="str">
        <f t="shared" ca="1" si="46"/>
        <v>ON</v>
      </c>
      <c r="AC78" s="1" t="str">
        <f t="shared" ca="1" si="47"/>
        <v>ON</v>
      </c>
      <c r="AD78" s="1" t="str">
        <f t="shared" ca="1" si="48"/>
        <v>ON</v>
      </c>
      <c r="AE78" s="1"/>
      <c r="AF78" s="20" t="str">
        <f t="shared" ca="1" si="49"/>
        <v>ON</v>
      </c>
      <c r="AG78" s="20" t="str">
        <f t="shared" ca="1" si="49"/>
        <v>ON</v>
      </c>
      <c r="AH78" s="1" t="str">
        <f t="shared" ca="1" si="50"/>
        <v>ON</v>
      </c>
      <c r="AI78" s="1" t="str">
        <f t="shared" ca="1" si="51"/>
        <v>OFF</v>
      </c>
      <c r="AJ78" s="1" t="str">
        <f t="shared" ca="1" si="52"/>
        <v>ON</v>
      </c>
      <c r="AK78" s="1" t="str">
        <f t="shared" ca="1" si="53"/>
        <v>ON</v>
      </c>
      <c r="AL78" s="1"/>
      <c r="AM78" s="20" t="str">
        <f t="shared" si="54"/>
        <v>ON</v>
      </c>
      <c r="AN78" s="20" t="str">
        <f t="shared" si="54"/>
        <v>ON</v>
      </c>
      <c r="AO78" s="20" t="str">
        <f t="shared" si="55"/>
        <v>ON</v>
      </c>
    </row>
    <row r="79" spans="1:41">
      <c r="A79" t="str">
        <f t="shared" ca="1" si="29"/>
        <v>Ogun</v>
      </c>
      <c r="B79" t="str">
        <f t="shared" ca="1" si="30"/>
        <v>C</v>
      </c>
      <c r="C79" t="str">
        <f t="shared" ca="1" si="31"/>
        <v>B1</v>
      </c>
      <c r="D79" t="s">
        <v>5</v>
      </c>
      <c r="E79">
        <f t="shared" ca="1" si="32"/>
        <v>25</v>
      </c>
      <c r="F79">
        <f t="shared" ca="1" si="33"/>
        <v>2</v>
      </c>
      <c r="G79" t="str">
        <v>C</v>
      </c>
      <c r="H79" t="str">
        <v>C</v>
      </c>
      <c r="I79" t="str">
        <f ca="1">IF($A79="","",IF(COUNTA($K$2:$P$2)=6,"WK "&amp;_xlfn.ISOWEEKNUM($K$2)))</f>
        <v>WK 18</v>
      </c>
      <c r="J79" t="str">
        <f ca="1">IF($A79="","",IF(COUNTA($Y$2:$AD$2)=6,"WK "&amp;_xlfn.ISOWEEKNUM($Y$2)))</f>
        <v>WK 20</v>
      </c>
      <c r="K79" s="20" t="str">
        <f t="shared" ca="1" si="34"/>
        <v>ON</v>
      </c>
      <c r="L79" s="20" t="str">
        <f t="shared" ca="1" si="34"/>
        <v>ON</v>
      </c>
      <c r="M79" s="1" t="str">
        <f t="shared" ca="1" si="35"/>
        <v>ON</v>
      </c>
      <c r="N79" s="1" t="str">
        <f t="shared" ca="1" si="36"/>
        <v>ON</v>
      </c>
      <c r="O79" s="1" t="str">
        <f t="shared" ca="1" si="37"/>
        <v>OFF</v>
      </c>
      <c r="P79" s="1" t="str">
        <f t="shared" ca="1" si="38"/>
        <v>ON</v>
      </c>
      <c r="Q79" s="1"/>
      <c r="R79" s="20" t="str">
        <f t="shared" ca="1" si="39"/>
        <v>ON</v>
      </c>
      <c r="S79" s="20" t="str">
        <f t="shared" ca="1" si="39"/>
        <v>ON</v>
      </c>
      <c r="T79" s="1" t="str">
        <f t="shared" ca="1" si="40"/>
        <v>ON</v>
      </c>
      <c r="U79" s="1" t="str">
        <f t="shared" ca="1" si="41"/>
        <v>ON</v>
      </c>
      <c r="V79" s="1" t="str">
        <f t="shared" ca="1" si="42"/>
        <v>ON</v>
      </c>
      <c r="W79" s="1" t="str">
        <f t="shared" ca="1" si="43"/>
        <v>ON</v>
      </c>
      <c r="X79" s="1"/>
      <c r="Y79" s="20" t="str">
        <f t="shared" ca="1" si="44"/>
        <v>ON</v>
      </c>
      <c r="Z79" s="20" t="str">
        <f t="shared" ca="1" si="44"/>
        <v>ON</v>
      </c>
      <c r="AA79" s="1" t="str">
        <f t="shared" ca="1" si="45"/>
        <v>ON</v>
      </c>
      <c r="AB79" s="1" t="str">
        <f t="shared" ca="1" si="46"/>
        <v>ON</v>
      </c>
      <c r="AC79" s="1" t="str">
        <f t="shared" ca="1" si="47"/>
        <v>OFF</v>
      </c>
      <c r="AD79" s="1" t="str">
        <f t="shared" ca="1" si="48"/>
        <v>ON</v>
      </c>
      <c r="AE79" s="1"/>
      <c r="AF79" s="20" t="str">
        <f t="shared" ca="1" si="49"/>
        <v>ON</v>
      </c>
      <c r="AG79" s="20" t="str">
        <f t="shared" ca="1" si="49"/>
        <v>ON</v>
      </c>
      <c r="AH79" s="1" t="str">
        <f t="shared" ca="1" si="50"/>
        <v>ON</v>
      </c>
      <c r="AI79" s="1" t="str">
        <f t="shared" ca="1" si="51"/>
        <v>ON</v>
      </c>
      <c r="AJ79" s="1" t="str">
        <f t="shared" ca="1" si="52"/>
        <v>ON</v>
      </c>
      <c r="AK79" s="1" t="str">
        <f t="shared" ca="1" si="53"/>
        <v>ON</v>
      </c>
      <c r="AL79" s="1"/>
      <c r="AM79" s="20" t="str">
        <f t="shared" si="54"/>
        <v>ON</v>
      </c>
      <c r="AN79" s="20" t="str">
        <f t="shared" si="54"/>
        <v>ON</v>
      </c>
      <c r="AO79" s="20" t="str">
        <f t="shared" si="55"/>
        <v>ON</v>
      </c>
    </row>
    <row r="80" spans="1:41">
      <c r="A80" t="str">
        <f t="shared" ca="1" si="29"/>
        <v>Ekiti</v>
      </c>
      <c r="B80" t="str">
        <f t="shared" ca="1" si="30"/>
        <v>D</v>
      </c>
      <c r="C80" t="str">
        <f t="shared" ca="1" si="31"/>
        <v>E1</v>
      </c>
      <c r="D80" t="s">
        <v>5</v>
      </c>
      <c r="E80">
        <f t="shared" ca="1" si="32"/>
        <v>25</v>
      </c>
      <c r="F80">
        <f t="shared" ca="1" si="33"/>
        <v>2</v>
      </c>
      <c r="G80" t="str">
        <v>D</v>
      </c>
      <c r="H80" t="str">
        <v>D</v>
      </c>
      <c r="I80" t="str">
        <f ca="1">IF($A80="","",IF(COUNTA($R$2:$W$2)=6,"WK "&amp;_xlfn.ISOWEEKNUM($R$2)))</f>
        <v>WK 19</v>
      </c>
      <c r="J80" t="str">
        <f ca="1">IF($A80="","",IF(COUNTA($AF$2:$AK$2)=6,"WK "&amp;_xlfn.ISOWEEKNUM($AF$2)))</f>
        <v>WK 21</v>
      </c>
      <c r="K80" s="20" t="str">
        <f t="shared" ca="1" si="34"/>
        <v>ON</v>
      </c>
      <c r="L80" s="20" t="str">
        <f t="shared" ca="1" si="34"/>
        <v>ON</v>
      </c>
      <c r="M80" s="1" t="str">
        <f t="shared" ca="1" si="35"/>
        <v>ON</v>
      </c>
      <c r="N80" s="1" t="str">
        <f t="shared" ca="1" si="36"/>
        <v>ON</v>
      </c>
      <c r="O80" s="1" t="str">
        <f t="shared" ca="1" si="37"/>
        <v>ON</v>
      </c>
      <c r="P80" s="1" t="str">
        <f t="shared" ca="1" si="38"/>
        <v>ON</v>
      </c>
      <c r="Q80" s="1"/>
      <c r="R80" s="20" t="str">
        <f t="shared" ca="1" si="39"/>
        <v>ON</v>
      </c>
      <c r="S80" s="20" t="str">
        <f t="shared" ca="1" si="39"/>
        <v>ON</v>
      </c>
      <c r="T80" s="1" t="str">
        <f t="shared" ca="1" si="40"/>
        <v>ON</v>
      </c>
      <c r="U80" s="1" t="str">
        <f t="shared" ca="1" si="41"/>
        <v>ON</v>
      </c>
      <c r="V80" s="1" t="str">
        <f t="shared" ca="1" si="42"/>
        <v>ON</v>
      </c>
      <c r="W80" s="1" t="str">
        <f t="shared" ca="1" si="43"/>
        <v>OFF</v>
      </c>
      <c r="X80" s="1"/>
      <c r="Y80" s="20" t="str">
        <f t="shared" ca="1" si="44"/>
        <v>ON</v>
      </c>
      <c r="Z80" s="20" t="str">
        <f t="shared" ca="1" si="44"/>
        <v>ON</v>
      </c>
      <c r="AA80" s="1" t="str">
        <f t="shared" ca="1" si="45"/>
        <v>ON</v>
      </c>
      <c r="AB80" s="1" t="str">
        <f t="shared" ca="1" si="46"/>
        <v>ON</v>
      </c>
      <c r="AC80" s="1" t="str">
        <f t="shared" ca="1" si="47"/>
        <v>ON</v>
      </c>
      <c r="AD80" s="1" t="str">
        <f t="shared" ca="1" si="48"/>
        <v>ON</v>
      </c>
      <c r="AE80" s="1"/>
      <c r="AF80" s="20" t="str">
        <f t="shared" ca="1" si="49"/>
        <v>ON</v>
      </c>
      <c r="AG80" s="20" t="str">
        <f t="shared" ca="1" si="49"/>
        <v>ON</v>
      </c>
      <c r="AH80" s="1" t="str">
        <f t="shared" ca="1" si="50"/>
        <v>ON</v>
      </c>
      <c r="AI80" s="1" t="str">
        <f t="shared" ca="1" si="51"/>
        <v>ON</v>
      </c>
      <c r="AJ80" s="1" t="str">
        <f t="shared" ca="1" si="52"/>
        <v>ON</v>
      </c>
      <c r="AK80" s="1" t="str">
        <f t="shared" ca="1" si="53"/>
        <v>OFF</v>
      </c>
      <c r="AL80" s="1"/>
      <c r="AM80" s="20" t="str">
        <f t="shared" si="54"/>
        <v>ON</v>
      </c>
      <c r="AN80" s="20" t="str">
        <f t="shared" si="54"/>
        <v>ON</v>
      </c>
      <c r="AO80" s="20" t="str">
        <f t="shared" si="55"/>
        <v>ON</v>
      </c>
    </row>
    <row r="81" spans="1:41">
      <c r="A81" t="str">
        <f t="shared" ca="1" si="29"/>
        <v>Ondo</v>
      </c>
      <c r="B81" t="str">
        <f t="shared" ca="1" si="30"/>
        <v>A</v>
      </c>
      <c r="C81" t="str">
        <f t="shared" ca="1" si="31"/>
        <v>E1</v>
      </c>
      <c r="D81" t="s">
        <v>5</v>
      </c>
      <c r="E81">
        <f t="shared" ca="1" si="32"/>
        <v>25</v>
      </c>
      <c r="F81">
        <f t="shared" ca="1" si="33"/>
        <v>2</v>
      </c>
      <c r="G81" t="str" cm="1">
        <f t="array" ref="G81:G84">IF($G$5:$G$8={"A";"B";"C";"D"},{"D";"C";"B";"A"},{"A";"B";"C";"D"})</f>
        <v>D</v>
      </c>
      <c r="H81" t="str" cm="1">
        <f t="array" ref="H81:H84">IF($H$5:$H$8={"A";"B";"C";"D"},{"D";"C";"B";"A"},{"A";"B";"C";"D"})</f>
        <v>D</v>
      </c>
      <c r="I81" t="str">
        <f ca="1">IF($A81="","",IF(COUNTA($K$2:$P$2)=6,"WK "&amp;_xlfn.ISOWEEKNUM($K$2)))</f>
        <v>WK 18</v>
      </c>
      <c r="J81" t="str">
        <f ca="1">IF($A81="","",IF(COUNTA($Y$2:$AD$2)=6,"WK "&amp;_xlfn.ISOWEEKNUM($Y$2)))</f>
        <v>WK 20</v>
      </c>
      <c r="K81" s="20" t="str">
        <f t="shared" ca="1" si="34"/>
        <v>ON</v>
      </c>
      <c r="L81" s="20" t="str">
        <f t="shared" ca="1" si="34"/>
        <v>ON</v>
      </c>
      <c r="M81" s="1" t="str">
        <f t="shared" ca="1" si="35"/>
        <v>ON</v>
      </c>
      <c r="N81" s="1" t="str">
        <f t="shared" ca="1" si="36"/>
        <v>ON</v>
      </c>
      <c r="O81" s="1" t="str">
        <f t="shared" ca="1" si="37"/>
        <v>ON</v>
      </c>
      <c r="P81" s="1" t="str">
        <f t="shared" ca="1" si="38"/>
        <v>OFF</v>
      </c>
      <c r="Q81" s="1"/>
      <c r="R81" s="20" t="str">
        <f t="shared" ca="1" si="39"/>
        <v>ON</v>
      </c>
      <c r="S81" s="20" t="str">
        <f t="shared" ca="1" si="39"/>
        <v>ON</v>
      </c>
      <c r="T81" s="1" t="str">
        <f t="shared" ca="1" si="40"/>
        <v>ON</v>
      </c>
      <c r="U81" s="1" t="str">
        <f t="shared" ca="1" si="41"/>
        <v>ON</v>
      </c>
      <c r="V81" s="1" t="str">
        <f t="shared" ca="1" si="42"/>
        <v>ON</v>
      </c>
      <c r="W81" s="1" t="str">
        <f t="shared" ca="1" si="43"/>
        <v>ON</v>
      </c>
      <c r="X81" s="1"/>
      <c r="Y81" s="20" t="str">
        <f t="shared" ca="1" si="44"/>
        <v>ON</v>
      </c>
      <c r="Z81" s="20" t="str">
        <f t="shared" ca="1" si="44"/>
        <v>ON</v>
      </c>
      <c r="AA81" s="1" t="str">
        <f t="shared" ca="1" si="45"/>
        <v>ON</v>
      </c>
      <c r="AB81" s="1" t="str">
        <f t="shared" ca="1" si="46"/>
        <v>ON</v>
      </c>
      <c r="AC81" s="1" t="str">
        <f t="shared" ca="1" si="47"/>
        <v>ON</v>
      </c>
      <c r="AD81" s="1" t="str">
        <f t="shared" ca="1" si="48"/>
        <v>OFF</v>
      </c>
      <c r="AE81" s="1"/>
      <c r="AF81" s="20" t="str">
        <f t="shared" ca="1" si="49"/>
        <v>ON</v>
      </c>
      <c r="AG81" s="20" t="str">
        <f t="shared" ca="1" si="49"/>
        <v>ON</v>
      </c>
      <c r="AH81" s="1" t="str">
        <f t="shared" ca="1" si="50"/>
        <v>ON</v>
      </c>
      <c r="AI81" s="1" t="str">
        <f t="shared" ca="1" si="51"/>
        <v>ON</v>
      </c>
      <c r="AJ81" s="1" t="str">
        <f t="shared" ca="1" si="52"/>
        <v>ON</v>
      </c>
      <c r="AK81" s="1" t="str">
        <f t="shared" ca="1" si="53"/>
        <v>ON</v>
      </c>
      <c r="AL81" s="1"/>
      <c r="AM81" s="20" t="str">
        <f t="shared" si="54"/>
        <v>ON</v>
      </c>
      <c r="AN81" s="20" t="str">
        <f t="shared" si="54"/>
        <v>ON</v>
      </c>
      <c r="AO81" s="20" t="str">
        <f t="shared" si="55"/>
        <v>ON</v>
      </c>
    </row>
    <row r="82" spans="1:41">
      <c r="A82" t="str">
        <f t="shared" ca="1" si="29"/>
        <v>Ondo</v>
      </c>
      <c r="B82" t="str">
        <f t="shared" ca="1" si="30"/>
        <v>C</v>
      </c>
      <c r="C82" t="str">
        <f t="shared" ca="1" si="31"/>
        <v>E1</v>
      </c>
      <c r="D82" t="s">
        <v>7</v>
      </c>
      <c r="E82">
        <f t="shared" ca="1" si="32"/>
        <v>25</v>
      </c>
      <c r="F82">
        <f t="shared" ca="1" si="33"/>
        <v>2</v>
      </c>
      <c r="G82" t="str">
        <v>C</v>
      </c>
      <c r="H82" t="str">
        <v>C</v>
      </c>
      <c r="I82" t="str">
        <f ca="1">IF($A82="","",IF(COUNTA($R$2:$W$2)=6,"WK "&amp;_xlfn.ISOWEEKNUM($R$2)))</f>
        <v>WK 19</v>
      </c>
      <c r="J82" t="str">
        <f ca="1">IF($A82="","",IF(COUNTA($AF$2:$AK$2)=6,"WK "&amp;_xlfn.ISOWEEKNUM($AF$2)))</f>
        <v>WK 21</v>
      </c>
      <c r="K82" s="20" t="str">
        <f t="shared" ca="1" si="34"/>
        <v>ON</v>
      </c>
      <c r="L82" s="20" t="str">
        <f t="shared" ca="1" si="34"/>
        <v>ON</v>
      </c>
      <c r="M82" s="1" t="str">
        <f t="shared" ca="1" si="35"/>
        <v>ON</v>
      </c>
      <c r="N82" s="1" t="str">
        <f t="shared" ca="1" si="36"/>
        <v>ON</v>
      </c>
      <c r="O82" s="1" t="str">
        <f t="shared" ca="1" si="37"/>
        <v>ON</v>
      </c>
      <c r="P82" s="1" t="str">
        <f t="shared" ca="1" si="38"/>
        <v>ON</v>
      </c>
      <c r="Q82" s="1"/>
      <c r="R82" s="20" t="str">
        <f t="shared" ca="1" si="39"/>
        <v>ON</v>
      </c>
      <c r="S82" s="20" t="str">
        <f t="shared" ca="1" si="39"/>
        <v>ON</v>
      </c>
      <c r="T82" s="1" t="str">
        <f t="shared" ca="1" si="40"/>
        <v>ON</v>
      </c>
      <c r="U82" s="1" t="str">
        <f t="shared" ca="1" si="41"/>
        <v>ON</v>
      </c>
      <c r="V82" s="1" t="str">
        <f t="shared" ca="1" si="42"/>
        <v>OFF</v>
      </c>
      <c r="W82" s="1" t="str">
        <f t="shared" ca="1" si="43"/>
        <v>ON</v>
      </c>
      <c r="X82" s="1"/>
      <c r="Y82" s="20" t="str">
        <f t="shared" ca="1" si="44"/>
        <v>ON</v>
      </c>
      <c r="Z82" s="20" t="str">
        <f t="shared" ca="1" si="44"/>
        <v>ON</v>
      </c>
      <c r="AA82" s="1" t="str">
        <f t="shared" ca="1" si="45"/>
        <v>ON</v>
      </c>
      <c r="AB82" s="1" t="str">
        <f t="shared" ca="1" si="46"/>
        <v>ON</v>
      </c>
      <c r="AC82" s="1" t="str">
        <f t="shared" ca="1" si="47"/>
        <v>ON</v>
      </c>
      <c r="AD82" s="1" t="str">
        <f t="shared" ca="1" si="48"/>
        <v>ON</v>
      </c>
      <c r="AE82" s="1"/>
      <c r="AF82" s="20" t="str">
        <f t="shared" ca="1" si="49"/>
        <v>ON</v>
      </c>
      <c r="AG82" s="20" t="str">
        <f t="shared" ca="1" si="49"/>
        <v>ON</v>
      </c>
      <c r="AH82" s="1" t="str">
        <f t="shared" ca="1" si="50"/>
        <v>ON</v>
      </c>
      <c r="AI82" s="1" t="str">
        <f t="shared" ca="1" si="51"/>
        <v>ON</v>
      </c>
      <c r="AJ82" s="1" t="str">
        <f t="shared" ca="1" si="52"/>
        <v>OFF</v>
      </c>
      <c r="AK82" s="1" t="str">
        <f t="shared" ca="1" si="53"/>
        <v>ON</v>
      </c>
      <c r="AL82" s="1"/>
      <c r="AM82" s="20" t="str">
        <f t="shared" si="54"/>
        <v>ON</v>
      </c>
      <c r="AN82" s="20" t="str">
        <f t="shared" si="54"/>
        <v>ON</v>
      </c>
      <c r="AO82" s="20" t="str">
        <f t="shared" si="55"/>
        <v>ON</v>
      </c>
    </row>
    <row r="83" spans="1:41">
      <c r="A83" t="str">
        <f t="shared" ca="1" si="29"/>
        <v>Ekiti</v>
      </c>
      <c r="B83" t="str">
        <f t="shared" ca="1" si="30"/>
        <v>E</v>
      </c>
      <c r="C83" t="str">
        <f t="shared" ca="1" si="31"/>
        <v>D1</v>
      </c>
      <c r="D83" t="s">
        <v>4</v>
      </c>
      <c r="E83">
        <f t="shared" ca="1" si="32"/>
        <v>25</v>
      </c>
      <c r="F83">
        <f t="shared" ca="1" si="33"/>
        <v>2</v>
      </c>
      <c r="G83" t="str">
        <v>B</v>
      </c>
      <c r="H83" t="str">
        <v>B</v>
      </c>
      <c r="I83" t="str">
        <f ca="1">IF($A83="","",IF(COUNTA($K$2:$P$2)=6,"WK "&amp;_xlfn.ISOWEEKNUM($K$2)))</f>
        <v>WK 18</v>
      </c>
      <c r="J83" t="str">
        <f ca="1">IF($A83="","",IF(COUNTA($Y$2:$AD$2)=6,"WK "&amp;_xlfn.ISOWEEKNUM($Y$2)))</f>
        <v>WK 20</v>
      </c>
      <c r="K83" s="20" t="str">
        <f t="shared" ca="1" si="34"/>
        <v>ON</v>
      </c>
      <c r="L83" s="20" t="str">
        <f t="shared" ca="1" si="34"/>
        <v>ON</v>
      </c>
      <c r="M83" s="1" t="str">
        <f t="shared" ca="1" si="35"/>
        <v>ON</v>
      </c>
      <c r="N83" s="1" t="str">
        <f t="shared" ca="1" si="36"/>
        <v>OFF</v>
      </c>
      <c r="O83" s="1" t="str">
        <f t="shared" ca="1" si="37"/>
        <v>ON</v>
      </c>
      <c r="P83" s="1" t="str">
        <f t="shared" ca="1" si="38"/>
        <v>ON</v>
      </c>
      <c r="Q83" s="1"/>
      <c r="R83" s="20" t="str">
        <f t="shared" ca="1" si="39"/>
        <v>ON</v>
      </c>
      <c r="S83" s="20" t="str">
        <f t="shared" ca="1" si="39"/>
        <v>ON</v>
      </c>
      <c r="T83" s="1" t="str">
        <f t="shared" ca="1" si="40"/>
        <v>ON</v>
      </c>
      <c r="U83" s="1" t="str">
        <f t="shared" ca="1" si="41"/>
        <v>ON</v>
      </c>
      <c r="V83" s="1" t="str">
        <f t="shared" ca="1" si="42"/>
        <v>ON</v>
      </c>
      <c r="W83" s="1" t="str">
        <f t="shared" ca="1" si="43"/>
        <v>ON</v>
      </c>
      <c r="X83" s="1"/>
      <c r="Y83" s="20" t="str">
        <f t="shared" ca="1" si="44"/>
        <v>ON</v>
      </c>
      <c r="Z83" s="20" t="str">
        <f t="shared" ca="1" si="44"/>
        <v>ON</v>
      </c>
      <c r="AA83" s="1" t="str">
        <f t="shared" ca="1" si="45"/>
        <v>ON</v>
      </c>
      <c r="AB83" s="1" t="str">
        <f t="shared" ca="1" si="46"/>
        <v>OFF</v>
      </c>
      <c r="AC83" s="1" t="str">
        <f t="shared" ca="1" si="47"/>
        <v>ON</v>
      </c>
      <c r="AD83" s="1" t="str">
        <f t="shared" ca="1" si="48"/>
        <v>ON</v>
      </c>
      <c r="AE83" s="1"/>
      <c r="AF83" s="20" t="str">
        <f t="shared" ca="1" si="49"/>
        <v>ON</v>
      </c>
      <c r="AG83" s="20" t="str">
        <f t="shared" ca="1" si="49"/>
        <v>ON</v>
      </c>
      <c r="AH83" s="1" t="str">
        <f t="shared" ca="1" si="50"/>
        <v>ON</v>
      </c>
      <c r="AI83" s="1" t="str">
        <f t="shared" ca="1" si="51"/>
        <v>ON</v>
      </c>
      <c r="AJ83" s="1" t="str">
        <f t="shared" ca="1" si="52"/>
        <v>ON</v>
      </c>
      <c r="AK83" s="1" t="str">
        <f t="shared" ca="1" si="53"/>
        <v>ON</v>
      </c>
      <c r="AL83" s="1"/>
      <c r="AM83" s="20" t="str">
        <f t="shared" si="54"/>
        <v>ON</v>
      </c>
      <c r="AN83" s="20" t="str">
        <f t="shared" si="54"/>
        <v>ON</v>
      </c>
      <c r="AO83" s="20" t="str">
        <f t="shared" si="55"/>
        <v>ON</v>
      </c>
    </row>
    <row r="84" spans="1:41">
      <c r="A84" t="str">
        <f t="shared" ca="1" si="29"/>
        <v>Ekiti</v>
      </c>
      <c r="B84" t="str">
        <f t="shared" ca="1" si="30"/>
        <v>D</v>
      </c>
      <c r="C84" t="str">
        <f t="shared" ca="1" si="31"/>
        <v>C1</v>
      </c>
      <c r="D84" t="s">
        <v>4</v>
      </c>
      <c r="E84">
        <f t="shared" ca="1" si="32"/>
        <v>25</v>
      </c>
      <c r="F84">
        <f t="shared" ca="1" si="33"/>
        <v>2</v>
      </c>
      <c r="G84" t="str">
        <v>A</v>
      </c>
      <c r="H84" t="str">
        <v>A</v>
      </c>
      <c r="I84" t="str">
        <f ca="1">IF($A84="","",IF(COUNTA($R$2:$W$2)=6,"WK "&amp;_xlfn.ISOWEEKNUM($R$2)))</f>
        <v>WK 19</v>
      </c>
      <c r="J84" t="str">
        <f ca="1">IF($A84="","",IF(COUNTA($AF$2:$AK$2)=6,"WK "&amp;_xlfn.ISOWEEKNUM($AF$2)))</f>
        <v>WK 21</v>
      </c>
      <c r="K84" s="20" t="str">
        <f t="shared" ca="1" si="34"/>
        <v>ON</v>
      </c>
      <c r="L84" s="20" t="str">
        <f t="shared" ca="1" si="34"/>
        <v>ON</v>
      </c>
      <c r="M84" s="1" t="str">
        <f t="shared" ca="1" si="35"/>
        <v>ON</v>
      </c>
      <c r="N84" s="1" t="str">
        <f t="shared" ca="1" si="36"/>
        <v>ON</v>
      </c>
      <c r="O84" s="1" t="str">
        <f t="shared" ca="1" si="37"/>
        <v>ON</v>
      </c>
      <c r="P84" s="1" t="str">
        <f t="shared" ca="1" si="38"/>
        <v>ON</v>
      </c>
      <c r="Q84" s="1"/>
      <c r="R84" s="20" t="str">
        <f t="shared" ca="1" si="39"/>
        <v>ON</v>
      </c>
      <c r="S84" s="20" t="str">
        <f t="shared" ca="1" si="39"/>
        <v>ON</v>
      </c>
      <c r="T84" s="1" t="str">
        <f t="shared" ca="1" si="40"/>
        <v>OFF</v>
      </c>
      <c r="U84" s="1" t="str">
        <f t="shared" ca="1" si="41"/>
        <v>ON</v>
      </c>
      <c r="V84" s="1" t="str">
        <f t="shared" ca="1" si="42"/>
        <v>ON</v>
      </c>
      <c r="W84" s="1" t="str">
        <f t="shared" ca="1" si="43"/>
        <v>ON</v>
      </c>
      <c r="X84" s="1"/>
      <c r="Y84" s="20" t="str">
        <f t="shared" ca="1" si="44"/>
        <v>ON</v>
      </c>
      <c r="Z84" s="20" t="str">
        <f t="shared" ca="1" si="44"/>
        <v>ON</v>
      </c>
      <c r="AA84" s="1" t="str">
        <f t="shared" ca="1" si="45"/>
        <v>ON</v>
      </c>
      <c r="AB84" s="1" t="str">
        <f t="shared" ca="1" si="46"/>
        <v>ON</v>
      </c>
      <c r="AC84" s="1" t="str">
        <f t="shared" ca="1" si="47"/>
        <v>ON</v>
      </c>
      <c r="AD84" s="1" t="str">
        <f t="shared" ca="1" si="48"/>
        <v>ON</v>
      </c>
      <c r="AE84" s="1"/>
      <c r="AF84" s="20" t="str">
        <f t="shared" ca="1" si="49"/>
        <v>ON</v>
      </c>
      <c r="AG84" s="20" t="str">
        <f t="shared" ca="1" si="49"/>
        <v>ON</v>
      </c>
      <c r="AH84" s="1" t="str">
        <f t="shared" ca="1" si="50"/>
        <v>OFF</v>
      </c>
      <c r="AI84" s="1" t="str">
        <f t="shared" ca="1" si="51"/>
        <v>ON</v>
      </c>
      <c r="AJ84" s="1" t="str">
        <f t="shared" ca="1" si="52"/>
        <v>ON</v>
      </c>
      <c r="AK84" s="1" t="str">
        <f t="shared" ca="1" si="53"/>
        <v>ON</v>
      </c>
      <c r="AL84" s="1"/>
      <c r="AM84" s="20" t="str">
        <f t="shared" si="54"/>
        <v>ON</v>
      </c>
      <c r="AN84" s="20" t="str">
        <f t="shared" si="54"/>
        <v>ON</v>
      </c>
      <c r="AO84" s="20" t="str">
        <f t="shared" si="55"/>
        <v>ON</v>
      </c>
    </row>
    <row r="85" spans="1:41">
      <c r="A85" t="str">
        <f t="shared" ca="1" si="29"/>
        <v>Oyo</v>
      </c>
      <c r="B85" t="str">
        <f t="shared" ca="1" si="30"/>
        <v>E</v>
      </c>
      <c r="C85" t="str">
        <f t="shared" ca="1" si="31"/>
        <v>D1</v>
      </c>
      <c r="D85" t="s">
        <v>5</v>
      </c>
      <c r="E85">
        <f t="shared" ca="1" si="32"/>
        <v>25</v>
      </c>
      <c r="F85">
        <f t="shared" ca="1" si="33"/>
        <v>2</v>
      </c>
      <c r="G85" t="str" cm="1">
        <f t="array" ref="G85:G88">Groups!$B$2:$B$5</f>
        <v>A</v>
      </c>
      <c r="H85" t="str" cm="1">
        <f t="array" ref="H85:H88">Groups!$B$2:$B$5</f>
        <v>A</v>
      </c>
      <c r="I85" t="str">
        <f ca="1">IF($A85="","",IF(COUNTA($K$2:$P$2)=6,"WK "&amp;_xlfn.ISOWEEKNUM($K$2)))</f>
        <v>WK 18</v>
      </c>
      <c r="J85" t="str">
        <f ca="1">IF($A85="","",IF(COUNTA($Y$2:$AD$2)=6,"WK "&amp;_xlfn.ISOWEEKNUM($Y$2)))</f>
        <v>WK 20</v>
      </c>
      <c r="K85" s="20" t="str">
        <f t="shared" ca="1" si="34"/>
        <v>ON</v>
      </c>
      <c r="L85" s="20" t="str">
        <f t="shared" ca="1" si="34"/>
        <v>ON</v>
      </c>
      <c r="M85" s="1" t="str">
        <f t="shared" ca="1" si="35"/>
        <v>OFF</v>
      </c>
      <c r="N85" s="1" t="str">
        <f t="shared" ca="1" si="36"/>
        <v>ON</v>
      </c>
      <c r="O85" s="1" t="str">
        <f t="shared" ca="1" si="37"/>
        <v>ON</v>
      </c>
      <c r="P85" s="1" t="str">
        <f t="shared" ca="1" si="38"/>
        <v>ON</v>
      </c>
      <c r="Q85" s="1"/>
      <c r="R85" s="20" t="str">
        <f t="shared" ca="1" si="39"/>
        <v>ON</v>
      </c>
      <c r="S85" s="20" t="str">
        <f t="shared" ca="1" si="39"/>
        <v>ON</v>
      </c>
      <c r="T85" s="1" t="str">
        <f t="shared" ca="1" si="40"/>
        <v>ON</v>
      </c>
      <c r="U85" s="1" t="str">
        <f t="shared" ca="1" si="41"/>
        <v>ON</v>
      </c>
      <c r="V85" s="1" t="str">
        <f t="shared" ca="1" si="42"/>
        <v>ON</v>
      </c>
      <c r="W85" s="1" t="str">
        <f t="shared" ca="1" si="43"/>
        <v>ON</v>
      </c>
      <c r="X85" s="1"/>
      <c r="Y85" s="20" t="str">
        <f t="shared" ca="1" si="44"/>
        <v>ON</v>
      </c>
      <c r="Z85" s="20" t="str">
        <f t="shared" ca="1" si="44"/>
        <v>ON</v>
      </c>
      <c r="AA85" s="1" t="str">
        <f t="shared" ca="1" si="45"/>
        <v>OFF</v>
      </c>
      <c r="AB85" s="1" t="str">
        <f t="shared" ca="1" si="46"/>
        <v>ON</v>
      </c>
      <c r="AC85" s="1" t="str">
        <f t="shared" ca="1" si="47"/>
        <v>ON</v>
      </c>
      <c r="AD85" s="1" t="str">
        <f t="shared" ca="1" si="48"/>
        <v>ON</v>
      </c>
      <c r="AE85" s="1"/>
      <c r="AF85" s="20" t="str">
        <f t="shared" ca="1" si="49"/>
        <v>ON</v>
      </c>
      <c r="AG85" s="20" t="str">
        <f t="shared" ca="1" si="49"/>
        <v>ON</v>
      </c>
      <c r="AH85" s="1" t="str">
        <f t="shared" ca="1" si="50"/>
        <v>ON</v>
      </c>
      <c r="AI85" s="1" t="str">
        <f t="shared" ca="1" si="51"/>
        <v>ON</v>
      </c>
      <c r="AJ85" s="1" t="str">
        <f t="shared" ca="1" si="52"/>
        <v>ON</v>
      </c>
      <c r="AK85" s="1" t="str">
        <f t="shared" ca="1" si="53"/>
        <v>ON</v>
      </c>
      <c r="AL85" s="1"/>
      <c r="AM85" s="20" t="str">
        <f t="shared" si="54"/>
        <v>ON</v>
      </c>
      <c r="AN85" s="20" t="str">
        <f t="shared" si="54"/>
        <v>ON</v>
      </c>
      <c r="AO85" s="20" t="str">
        <f t="shared" si="55"/>
        <v>ON</v>
      </c>
    </row>
    <row r="86" spans="1:41">
      <c r="A86" t="str">
        <f t="shared" ca="1" si="29"/>
        <v>Oyo</v>
      </c>
      <c r="B86" t="str">
        <f t="shared" ca="1" si="30"/>
        <v>E</v>
      </c>
      <c r="C86" t="str">
        <f t="shared" ca="1" si="31"/>
        <v>B1</v>
      </c>
      <c r="D86" t="s">
        <v>5</v>
      </c>
      <c r="E86">
        <f t="shared" ca="1" si="32"/>
        <v>25</v>
      </c>
      <c r="F86">
        <f t="shared" ca="1" si="33"/>
        <v>2</v>
      </c>
      <c r="G86" t="str">
        <v>B</v>
      </c>
      <c r="H86" t="str">
        <v>B</v>
      </c>
      <c r="I86" t="str">
        <f ca="1">IF($A86="","",IF(COUNTA($R$2:$W$2)=6,"WK "&amp;_xlfn.ISOWEEKNUM($R$2)))</f>
        <v>WK 19</v>
      </c>
      <c r="J86" t="str">
        <f ca="1">IF($A86="","",IF(COUNTA($AF$2:$AK$2)=6,"WK "&amp;_xlfn.ISOWEEKNUM($AF$2)))</f>
        <v>WK 21</v>
      </c>
      <c r="K86" s="20" t="str">
        <f t="shared" ca="1" si="34"/>
        <v>ON</v>
      </c>
      <c r="L86" s="20" t="str">
        <f t="shared" ca="1" si="34"/>
        <v>ON</v>
      </c>
      <c r="M86" s="1" t="str">
        <f t="shared" ca="1" si="35"/>
        <v>ON</v>
      </c>
      <c r="N86" s="1" t="str">
        <f t="shared" ca="1" si="36"/>
        <v>ON</v>
      </c>
      <c r="O86" s="1" t="str">
        <f t="shared" ca="1" si="37"/>
        <v>ON</v>
      </c>
      <c r="P86" s="1" t="str">
        <f t="shared" ca="1" si="38"/>
        <v>ON</v>
      </c>
      <c r="Q86" s="1"/>
      <c r="R86" s="20" t="str">
        <f t="shared" ca="1" si="39"/>
        <v>ON</v>
      </c>
      <c r="S86" s="20" t="str">
        <f t="shared" ca="1" si="39"/>
        <v>ON</v>
      </c>
      <c r="T86" s="1" t="str">
        <f t="shared" ca="1" si="40"/>
        <v>ON</v>
      </c>
      <c r="U86" s="1" t="str">
        <f t="shared" ca="1" si="41"/>
        <v>OFF</v>
      </c>
      <c r="V86" s="1" t="str">
        <f t="shared" ca="1" si="42"/>
        <v>ON</v>
      </c>
      <c r="W86" s="1" t="str">
        <f t="shared" ca="1" si="43"/>
        <v>ON</v>
      </c>
      <c r="X86" s="1"/>
      <c r="Y86" s="20" t="str">
        <f t="shared" ca="1" si="44"/>
        <v>ON</v>
      </c>
      <c r="Z86" s="20" t="str">
        <f t="shared" ca="1" si="44"/>
        <v>ON</v>
      </c>
      <c r="AA86" s="1" t="str">
        <f t="shared" ca="1" si="45"/>
        <v>ON</v>
      </c>
      <c r="AB86" s="1" t="str">
        <f t="shared" ca="1" si="46"/>
        <v>ON</v>
      </c>
      <c r="AC86" s="1" t="str">
        <f t="shared" ca="1" si="47"/>
        <v>ON</v>
      </c>
      <c r="AD86" s="1" t="str">
        <f t="shared" ca="1" si="48"/>
        <v>ON</v>
      </c>
      <c r="AE86" s="1"/>
      <c r="AF86" s="20" t="str">
        <f t="shared" ca="1" si="49"/>
        <v>ON</v>
      </c>
      <c r="AG86" s="20" t="str">
        <f t="shared" ca="1" si="49"/>
        <v>ON</v>
      </c>
      <c r="AH86" s="1" t="str">
        <f t="shared" ca="1" si="50"/>
        <v>ON</v>
      </c>
      <c r="AI86" s="1" t="str">
        <f t="shared" ca="1" si="51"/>
        <v>OFF</v>
      </c>
      <c r="AJ86" s="1" t="str">
        <f t="shared" ca="1" si="52"/>
        <v>ON</v>
      </c>
      <c r="AK86" s="1" t="str">
        <f t="shared" ca="1" si="53"/>
        <v>ON</v>
      </c>
      <c r="AL86" s="1"/>
      <c r="AM86" s="20" t="str">
        <f t="shared" si="54"/>
        <v>ON</v>
      </c>
      <c r="AN86" s="20" t="str">
        <f t="shared" si="54"/>
        <v>ON</v>
      </c>
      <c r="AO86" s="20" t="str">
        <f t="shared" si="55"/>
        <v>ON</v>
      </c>
    </row>
    <row r="87" spans="1:41">
      <c r="A87" t="str">
        <f t="shared" ca="1" si="29"/>
        <v>Ondo</v>
      </c>
      <c r="B87" t="str">
        <f t="shared" ca="1" si="30"/>
        <v>D</v>
      </c>
      <c r="C87" t="str">
        <f t="shared" ca="1" si="31"/>
        <v>B1</v>
      </c>
      <c r="D87" t="s">
        <v>5</v>
      </c>
      <c r="E87">
        <f t="shared" ca="1" si="32"/>
        <v>25</v>
      </c>
      <c r="F87">
        <f t="shared" ca="1" si="33"/>
        <v>2</v>
      </c>
      <c r="G87" t="str">
        <v>C</v>
      </c>
      <c r="H87" t="str">
        <v>C</v>
      </c>
      <c r="I87" t="str">
        <f ca="1">IF($A87="","",IF(COUNTA($K$2:$P$2)=6,"WK "&amp;_xlfn.ISOWEEKNUM($K$2)))</f>
        <v>WK 18</v>
      </c>
      <c r="J87" t="str">
        <f ca="1">IF($A87="","",IF(COUNTA($Y$2:$AD$2)=6,"WK "&amp;_xlfn.ISOWEEKNUM($Y$2)))</f>
        <v>WK 20</v>
      </c>
      <c r="K87" s="20" t="str">
        <f t="shared" ca="1" si="34"/>
        <v>ON</v>
      </c>
      <c r="L87" s="20" t="str">
        <f t="shared" ca="1" si="34"/>
        <v>ON</v>
      </c>
      <c r="M87" s="1" t="str">
        <f t="shared" ca="1" si="35"/>
        <v>ON</v>
      </c>
      <c r="N87" s="1" t="str">
        <f t="shared" ca="1" si="36"/>
        <v>ON</v>
      </c>
      <c r="O87" s="1" t="str">
        <f t="shared" ca="1" si="37"/>
        <v>OFF</v>
      </c>
      <c r="P87" s="1" t="str">
        <f t="shared" ca="1" si="38"/>
        <v>ON</v>
      </c>
      <c r="Q87" s="1"/>
      <c r="R87" s="20" t="str">
        <f t="shared" ca="1" si="39"/>
        <v>ON</v>
      </c>
      <c r="S87" s="20" t="str">
        <f t="shared" ca="1" si="39"/>
        <v>ON</v>
      </c>
      <c r="T87" s="1" t="str">
        <f t="shared" ca="1" si="40"/>
        <v>ON</v>
      </c>
      <c r="U87" s="1" t="str">
        <f t="shared" ca="1" si="41"/>
        <v>ON</v>
      </c>
      <c r="V87" s="1" t="str">
        <f t="shared" ca="1" si="42"/>
        <v>ON</v>
      </c>
      <c r="W87" s="1" t="str">
        <f t="shared" ca="1" si="43"/>
        <v>ON</v>
      </c>
      <c r="X87" s="1"/>
      <c r="Y87" s="20" t="str">
        <f t="shared" ca="1" si="44"/>
        <v>ON</v>
      </c>
      <c r="Z87" s="20" t="str">
        <f t="shared" ca="1" si="44"/>
        <v>ON</v>
      </c>
      <c r="AA87" s="1" t="str">
        <f t="shared" ca="1" si="45"/>
        <v>ON</v>
      </c>
      <c r="AB87" s="1" t="str">
        <f t="shared" ca="1" si="46"/>
        <v>ON</v>
      </c>
      <c r="AC87" s="1" t="str">
        <f t="shared" ca="1" si="47"/>
        <v>OFF</v>
      </c>
      <c r="AD87" s="1" t="str">
        <f t="shared" ca="1" si="48"/>
        <v>ON</v>
      </c>
      <c r="AE87" s="1"/>
      <c r="AF87" s="20" t="str">
        <f t="shared" ca="1" si="49"/>
        <v>ON</v>
      </c>
      <c r="AG87" s="20" t="str">
        <f t="shared" ca="1" si="49"/>
        <v>ON</v>
      </c>
      <c r="AH87" s="1" t="str">
        <f t="shared" ca="1" si="50"/>
        <v>ON</v>
      </c>
      <c r="AI87" s="1" t="str">
        <f t="shared" ca="1" si="51"/>
        <v>ON</v>
      </c>
      <c r="AJ87" s="1" t="str">
        <f t="shared" ca="1" si="52"/>
        <v>ON</v>
      </c>
      <c r="AK87" s="1" t="str">
        <f t="shared" ca="1" si="53"/>
        <v>ON</v>
      </c>
      <c r="AL87" s="1"/>
      <c r="AM87" s="20" t="str">
        <f t="shared" si="54"/>
        <v>ON</v>
      </c>
      <c r="AN87" s="20" t="str">
        <f t="shared" si="54"/>
        <v>ON</v>
      </c>
      <c r="AO87" s="20" t="str">
        <f t="shared" si="55"/>
        <v>ON</v>
      </c>
    </row>
    <row r="88" spans="1:41">
      <c r="A88" t="str">
        <f t="shared" ca="1" si="29"/>
        <v>Ekiti</v>
      </c>
      <c r="B88" t="str">
        <f t="shared" ca="1" si="30"/>
        <v>A</v>
      </c>
      <c r="C88" t="str">
        <f t="shared" ca="1" si="31"/>
        <v>C1</v>
      </c>
      <c r="D88" t="s">
        <v>5</v>
      </c>
      <c r="E88">
        <f t="shared" ca="1" si="32"/>
        <v>25</v>
      </c>
      <c r="F88">
        <f t="shared" ca="1" si="33"/>
        <v>2</v>
      </c>
      <c r="G88" t="str">
        <v>D</v>
      </c>
      <c r="H88" t="str">
        <v>D</v>
      </c>
      <c r="I88" t="str">
        <f ca="1">IF($A88="","",IF(COUNTA($R$2:$W$2)=6,"WK "&amp;_xlfn.ISOWEEKNUM($R$2)))</f>
        <v>WK 19</v>
      </c>
      <c r="J88" t="str">
        <f ca="1">IF($A88="","",IF(COUNTA($AF$2:$AK$2)=6,"WK "&amp;_xlfn.ISOWEEKNUM($AF$2)))</f>
        <v>WK 21</v>
      </c>
      <c r="K88" s="20" t="str">
        <f t="shared" ca="1" si="34"/>
        <v>ON</v>
      </c>
      <c r="L88" s="20" t="str">
        <f t="shared" ca="1" si="34"/>
        <v>ON</v>
      </c>
      <c r="M88" s="1" t="str">
        <f t="shared" ca="1" si="35"/>
        <v>ON</v>
      </c>
      <c r="N88" s="1" t="str">
        <f t="shared" ca="1" si="36"/>
        <v>ON</v>
      </c>
      <c r="O88" s="1" t="str">
        <f t="shared" ca="1" si="37"/>
        <v>ON</v>
      </c>
      <c r="P88" s="1" t="str">
        <f t="shared" ca="1" si="38"/>
        <v>ON</v>
      </c>
      <c r="Q88" s="1"/>
      <c r="R88" s="20" t="str">
        <f t="shared" ca="1" si="39"/>
        <v>ON</v>
      </c>
      <c r="S88" s="20" t="str">
        <f t="shared" ca="1" si="39"/>
        <v>ON</v>
      </c>
      <c r="T88" s="1" t="str">
        <f t="shared" ca="1" si="40"/>
        <v>ON</v>
      </c>
      <c r="U88" s="1" t="str">
        <f t="shared" ca="1" si="41"/>
        <v>ON</v>
      </c>
      <c r="V88" s="1" t="str">
        <f t="shared" ca="1" si="42"/>
        <v>ON</v>
      </c>
      <c r="W88" s="1" t="str">
        <f t="shared" ca="1" si="43"/>
        <v>OFF</v>
      </c>
      <c r="X88" s="1"/>
      <c r="Y88" s="20" t="str">
        <f t="shared" ca="1" si="44"/>
        <v>ON</v>
      </c>
      <c r="Z88" s="20" t="str">
        <f t="shared" ca="1" si="44"/>
        <v>ON</v>
      </c>
      <c r="AA88" s="1" t="str">
        <f t="shared" ca="1" si="45"/>
        <v>ON</v>
      </c>
      <c r="AB88" s="1" t="str">
        <f t="shared" ca="1" si="46"/>
        <v>ON</v>
      </c>
      <c r="AC88" s="1" t="str">
        <f t="shared" ca="1" si="47"/>
        <v>ON</v>
      </c>
      <c r="AD88" s="1" t="str">
        <f t="shared" ca="1" si="48"/>
        <v>ON</v>
      </c>
      <c r="AE88" s="1"/>
      <c r="AF88" s="20" t="str">
        <f t="shared" ca="1" si="49"/>
        <v>ON</v>
      </c>
      <c r="AG88" s="20" t="str">
        <f t="shared" ca="1" si="49"/>
        <v>ON</v>
      </c>
      <c r="AH88" s="1" t="str">
        <f t="shared" ca="1" si="50"/>
        <v>ON</v>
      </c>
      <c r="AI88" s="1" t="str">
        <f t="shared" ca="1" si="51"/>
        <v>ON</v>
      </c>
      <c r="AJ88" s="1" t="str">
        <f t="shared" ca="1" si="52"/>
        <v>ON</v>
      </c>
      <c r="AK88" s="1" t="str">
        <f t="shared" ca="1" si="53"/>
        <v>OFF</v>
      </c>
      <c r="AL88" s="1"/>
      <c r="AM88" s="20" t="str">
        <f t="shared" si="54"/>
        <v>ON</v>
      </c>
      <c r="AN88" s="20" t="str">
        <f t="shared" si="54"/>
        <v>ON</v>
      </c>
      <c r="AO88" s="20" t="str">
        <f t="shared" si="55"/>
        <v>ON</v>
      </c>
    </row>
    <row r="89" spans="1:41">
      <c r="A89" t="str">
        <f t="shared" ca="1" si="29"/>
        <v>Oyo</v>
      </c>
      <c r="B89" t="str">
        <f t="shared" ca="1" si="30"/>
        <v>B</v>
      </c>
      <c r="C89" t="str">
        <f t="shared" ca="1" si="31"/>
        <v>E1</v>
      </c>
      <c r="D89" t="s">
        <v>8</v>
      </c>
      <c r="E89">
        <f t="shared" ca="1" si="32"/>
        <v>25</v>
      </c>
      <c r="F89">
        <f t="shared" ca="1" si="33"/>
        <v>2</v>
      </c>
      <c r="G89" t="str" cm="1">
        <f t="array" ref="G89:G92">IF($G$5:$G$8={"A";"B";"C";"D"},{"D";"C";"B";"A"},{"A";"B";"C";"D"})</f>
        <v>D</v>
      </c>
      <c r="H89" t="str" cm="1">
        <f t="array" ref="H89:H92">IF($H$5:$H$8={"A";"B";"C";"D"},{"D";"C";"B";"A"},{"A";"B";"C";"D"})</f>
        <v>D</v>
      </c>
      <c r="I89" t="str">
        <f ca="1">IF($A89="","",IF(COUNTA($K$2:$P$2)=6,"WK "&amp;_xlfn.ISOWEEKNUM($K$2)))</f>
        <v>WK 18</v>
      </c>
      <c r="J89" t="str">
        <f ca="1">IF($A89="","",IF(COUNTA($Y$2:$AD$2)=6,"WK "&amp;_xlfn.ISOWEEKNUM($Y$2)))</f>
        <v>WK 20</v>
      </c>
      <c r="K89" s="20" t="str">
        <f t="shared" ca="1" si="34"/>
        <v>ON</v>
      </c>
      <c r="L89" s="20" t="str">
        <f t="shared" ca="1" si="34"/>
        <v>ON</v>
      </c>
      <c r="M89" s="1" t="str">
        <f t="shared" ca="1" si="35"/>
        <v>ON</v>
      </c>
      <c r="N89" s="1" t="str">
        <f t="shared" ca="1" si="36"/>
        <v>ON</v>
      </c>
      <c r="O89" s="1" t="str">
        <f t="shared" ca="1" si="37"/>
        <v>ON</v>
      </c>
      <c r="P89" s="1" t="str">
        <f t="shared" ca="1" si="38"/>
        <v>OFF</v>
      </c>
      <c r="Q89" s="1"/>
      <c r="R89" s="20" t="str">
        <f t="shared" ca="1" si="39"/>
        <v>ON</v>
      </c>
      <c r="S89" s="20" t="str">
        <f t="shared" ca="1" si="39"/>
        <v>ON</v>
      </c>
      <c r="T89" s="1" t="str">
        <f t="shared" ca="1" si="40"/>
        <v>ON</v>
      </c>
      <c r="U89" s="1" t="str">
        <f t="shared" ca="1" si="41"/>
        <v>ON</v>
      </c>
      <c r="V89" s="1" t="str">
        <f t="shared" ca="1" si="42"/>
        <v>ON</v>
      </c>
      <c r="W89" s="1" t="str">
        <f t="shared" ca="1" si="43"/>
        <v>ON</v>
      </c>
      <c r="X89" s="1"/>
      <c r="Y89" s="20" t="str">
        <f t="shared" ca="1" si="44"/>
        <v>ON</v>
      </c>
      <c r="Z89" s="20" t="str">
        <f t="shared" ca="1" si="44"/>
        <v>ON</v>
      </c>
      <c r="AA89" s="1" t="str">
        <f t="shared" ca="1" si="45"/>
        <v>ON</v>
      </c>
      <c r="AB89" s="1" t="str">
        <f t="shared" ca="1" si="46"/>
        <v>ON</v>
      </c>
      <c r="AC89" s="1" t="str">
        <f t="shared" ca="1" si="47"/>
        <v>ON</v>
      </c>
      <c r="AD89" s="1" t="str">
        <f t="shared" ca="1" si="48"/>
        <v>OFF</v>
      </c>
      <c r="AE89" s="1"/>
      <c r="AF89" s="20" t="str">
        <f t="shared" ca="1" si="49"/>
        <v>ON</v>
      </c>
      <c r="AG89" s="20" t="str">
        <f t="shared" ca="1" si="49"/>
        <v>ON</v>
      </c>
      <c r="AH89" s="1" t="str">
        <f t="shared" ca="1" si="50"/>
        <v>ON</v>
      </c>
      <c r="AI89" s="1" t="str">
        <f t="shared" ca="1" si="51"/>
        <v>ON</v>
      </c>
      <c r="AJ89" s="1" t="str">
        <f t="shared" ca="1" si="52"/>
        <v>ON</v>
      </c>
      <c r="AK89" s="1" t="str">
        <f t="shared" ca="1" si="53"/>
        <v>ON</v>
      </c>
      <c r="AL89" s="1"/>
      <c r="AM89" s="20" t="str">
        <f t="shared" si="54"/>
        <v>ON</v>
      </c>
      <c r="AN89" s="20" t="str">
        <f t="shared" si="54"/>
        <v>ON</v>
      </c>
      <c r="AO89" s="20" t="str">
        <f t="shared" si="55"/>
        <v>ON</v>
      </c>
    </row>
    <row r="90" spans="1:41">
      <c r="A90" t="str">
        <f t="shared" ca="1" si="29"/>
        <v>Oyo</v>
      </c>
      <c r="B90" t="str">
        <f t="shared" ca="1" si="30"/>
        <v>C</v>
      </c>
      <c r="C90" t="str">
        <f t="shared" ca="1" si="31"/>
        <v>A1</v>
      </c>
      <c r="D90" t="s">
        <v>7</v>
      </c>
      <c r="E90">
        <f t="shared" ca="1" si="32"/>
        <v>25</v>
      </c>
      <c r="F90">
        <f t="shared" ca="1" si="33"/>
        <v>2</v>
      </c>
      <c r="G90" t="str">
        <v>C</v>
      </c>
      <c r="H90" t="str">
        <v>C</v>
      </c>
      <c r="I90" t="str">
        <f ca="1">IF($A90="","",IF(COUNTA($R$2:$W$2)=6,"WK "&amp;_xlfn.ISOWEEKNUM($R$2)))</f>
        <v>WK 19</v>
      </c>
      <c r="J90" t="str">
        <f ca="1">IF($A90="","",IF(COUNTA($AF$2:$AK$2)=6,"WK "&amp;_xlfn.ISOWEEKNUM($AF$2)))</f>
        <v>WK 21</v>
      </c>
      <c r="K90" s="20" t="str">
        <f t="shared" ca="1" si="34"/>
        <v>ON</v>
      </c>
      <c r="L90" s="20" t="str">
        <f t="shared" ca="1" si="34"/>
        <v>ON</v>
      </c>
      <c r="M90" s="1" t="str">
        <f t="shared" ca="1" si="35"/>
        <v>ON</v>
      </c>
      <c r="N90" s="1" t="str">
        <f t="shared" ca="1" si="36"/>
        <v>ON</v>
      </c>
      <c r="O90" s="1" t="str">
        <f t="shared" ca="1" si="37"/>
        <v>ON</v>
      </c>
      <c r="P90" s="1" t="str">
        <f t="shared" ca="1" si="38"/>
        <v>ON</v>
      </c>
      <c r="Q90" s="1"/>
      <c r="R90" s="20" t="str">
        <f t="shared" ca="1" si="39"/>
        <v>ON</v>
      </c>
      <c r="S90" s="20" t="str">
        <f t="shared" ca="1" si="39"/>
        <v>ON</v>
      </c>
      <c r="T90" s="1" t="str">
        <f t="shared" ca="1" si="40"/>
        <v>ON</v>
      </c>
      <c r="U90" s="1" t="str">
        <f t="shared" ca="1" si="41"/>
        <v>ON</v>
      </c>
      <c r="V90" s="1" t="str">
        <f t="shared" ca="1" si="42"/>
        <v>OFF</v>
      </c>
      <c r="W90" s="1" t="str">
        <f t="shared" ca="1" si="43"/>
        <v>ON</v>
      </c>
      <c r="X90" s="1"/>
      <c r="Y90" s="20" t="str">
        <f t="shared" ca="1" si="44"/>
        <v>ON</v>
      </c>
      <c r="Z90" s="20" t="str">
        <f t="shared" ca="1" si="44"/>
        <v>ON</v>
      </c>
      <c r="AA90" s="1" t="str">
        <f t="shared" ca="1" si="45"/>
        <v>ON</v>
      </c>
      <c r="AB90" s="1" t="str">
        <f t="shared" ca="1" si="46"/>
        <v>ON</v>
      </c>
      <c r="AC90" s="1" t="str">
        <f t="shared" ca="1" si="47"/>
        <v>ON</v>
      </c>
      <c r="AD90" s="1" t="str">
        <f t="shared" ca="1" si="48"/>
        <v>ON</v>
      </c>
      <c r="AE90" s="1"/>
      <c r="AF90" s="20" t="str">
        <f t="shared" ca="1" si="49"/>
        <v>ON</v>
      </c>
      <c r="AG90" s="20" t="str">
        <f t="shared" ca="1" si="49"/>
        <v>ON</v>
      </c>
      <c r="AH90" s="1" t="str">
        <f t="shared" ca="1" si="50"/>
        <v>ON</v>
      </c>
      <c r="AI90" s="1" t="str">
        <f t="shared" ca="1" si="51"/>
        <v>ON</v>
      </c>
      <c r="AJ90" s="1" t="str">
        <f t="shared" ca="1" si="52"/>
        <v>OFF</v>
      </c>
      <c r="AK90" s="1" t="str">
        <f t="shared" ca="1" si="53"/>
        <v>ON</v>
      </c>
      <c r="AL90" s="1"/>
      <c r="AM90" s="20" t="str">
        <f t="shared" si="54"/>
        <v>ON</v>
      </c>
      <c r="AN90" s="20" t="str">
        <f t="shared" si="54"/>
        <v>ON</v>
      </c>
      <c r="AO90" s="20" t="str">
        <f t="shared" si="55"/>
        <v>ON</v>
      </c>
    </row>
    <row r="91" spans="1:41">
      <c r="A91" t="str">
        <f t="shared" ca="1" si="29"/>
        <v>Ondo</v>
      </c>
      <c r="B91" t="str">
        <f t="shared" ca="1" si="30"/>
        <v>C</v>
      </c>
      <c r="C91" t="str">
        <f t="shared" ca="1" si="31"/>
        <v>B1</v>
      </c>
      <c r="D91" t="s">
        <v>7</v>
      </c>
      <c r="E91">
        <f t="shared" ca="1" si="32"/>
        <v>25</v>
      </c>
      <c r="F91">
        <f t="shared" ca="1" si="33"/>
        <v>2</v>
      </c>
      <c r="G91" t="str">
        <v>B</v>
      </c>
      <c r="H91" t="str">
        <v>B</v>
      </c>
      <c r="I91" t="str">
        <f ca="1">IF($A91="","",IF(COUNTA($K$2:$P$2)=6,"WK "&amp;_xlfn.ISOWEEKNUM($K$2)))</f>
        <v>WK 18</v>
      </c>
      <c r="J91" t="str">
        <f ca="1">IF($A91="","",IF(COUNTA($Y$2:$AD$2)=6,"WK "&amp;_xlfn.ISOWEEKNUM($Y$2)))</f>
        <v>WK 20</v>
      </c>
      <c r="K91" s="20" t="str">
        <f t="shared" ca="1" si="34"/>
        <v>ON</v>
      </c>
      <c r="L91" s="20" t="str">
        <f t="shared" ca="1" si="34"/>
        <v>ON</v>
      </c>
      <c r="M91" s="1" t="str">
        <f t="shared" ca="1" si="35"/>
        <v>ON</v>
      </c>
      <c r="N91" s="1" t="str">
        <f t="shared" ca="1" si="36"/>
        <v>OFF</v>
      </c>
      <c r="O91" s="1" t="str">
        <f t="shared" ca="1" si="37"/>
        <v>ON</v>
      </c>
      <c r="P91" s="1" t="str">
        <f t="shared" ca="1" si="38"/>
        <v>ON</v>
      </c>
      <c r="Q91" s="1"/>
      <c r="R91" s="20" t="str">
        <f t="shared" ca="1" si="39"/>
        <v>ON</v>
      </c>
      <c r="S91" s="20" t="str">
        <f t="shared" ca="1" si="39"/>
        <v>ON</v>
      </c>
      <c r="T91" s="1" t="str">
        <f t="shared" ca="1" si="40"/>
        <v>ON</v>
      </c>
      <c r="U91" s="1" t="str">
        <f t="shared" ca="1" si="41"/>
        <v>ON</v>
      </c>
      <c r="V91" s="1" t="str">
        <f t="shared" ca="1" si="42"/>
        <v>ON</v>
      </c>
      <c r="W91" s="1" t="str">
        <f t="shared" ca="1" si="43"/>
        <v>ON</v>
      </c>
      <c r="X91" s="1"/>
      <c r="Y91" s="20" t="str">
        <f t="shared" ca="1" si="44"/>
        <v>ON</v>
      </c>
      <c r="Z91" s="20" t="str">
        <f t="shared" ca="1" si="44"/>
        <v>ON</v>
      </c>
      <c r="AA91" s="1" t="str">
        <f t="shared" ca="1" si="45"/>
        <v>ON</v>
      </c>
      <c r="AB91" s="1" t="str">
        <f t="shared" ca="1" si="46"/>
        <v>OFF</v>
      </c>
      <c r="AC91" s="1" t="str">
        <f t="shared" ca="1" si="47"/>
        <v>ON</v>
      </c>
      <c r="AD91" s="1" t="str">
        <f t="shared" ca="1" si="48"/>
        <v>ON</v>
      </c>
      <c r="AE91" s="1"/>
      <c r="AF91" s="20" t="str">
        <f t="shared" ca="1" si="49"/>
        <v>ON</v>
      </c>
      <c r="AG91" s="20" t="str">
        <f t="shared" ca="1" si="49"/>
        <v>ON</v>
      </c>
      <c r="AH91" s="1" t="str">
        <f t="shared" ca="1" si="50"/>
        <v>ON</v>
      </c>
      <c r="AI91" s="1" t="str">
        <f t="shared" ca="1" si="51"/>
        <v>ON</v>
      </c>
      <c r="AJ91" s="1" t="str">
        <f t="shared" ca="1" si="52"/>
        <v>ON</v>
      </c>
      <c r="AK91" s="1" t="str">
        <f t="shared" ca="1" si="53"/>
        <v>ON</v>
      </c>
      <c r="AL91" s="1"/>
      <c r="AM91" s="20" t="str">
        <f t="shared" si="54"/>
        <v>ON</v>
      </c>
      <c r="AN91" s="20" t="str">
        <f t="shared" si="54"/>
        <v>ON</v>
      </c>
      <c r="AO91" s="20" t="str">
        <f t="shared" si="55"/>
        <v>ON</v>
      </c>
    </row>
    <row r="92" spans="1:41">
      <c r="A92" t="str">
        <f t="shared" ca="1" si="29"/>
        <v>Lagos</v>
      </c>
      <c r="B92" t="str">
        <f t="shared" ca="1" si="30"/>
        <v>E</v>
      </c>
      <c r="C92" t="str">
        <f t="shared" ca="1" si="31"/>
        <v>D1</v>
      </c>
      <c r="D92" t="s">
        <v>7</v>
      </c>
      <c r="E92">
        <f t="shared" ca="1" si="32"/>
        <v>25</v>
      </c>
      <c r="F92">
        <f t="shared" ca="1" si="33"/>
        <v>2</v>
      </c>
      <c r="G92" t="str">
        <v>A</v>
      </c>
      <c r="H92" t="str">
        <v>A</v>
      </c>
      <c r="I92" t="str">
        <f ca="1">IF($A92="","",IF(COUNTA($R$2:$W$2)=6,"WK "&amp;_xlfn.ISOWEEKNUM($R$2)))</f>
        <v>WK 19</v>
      </c>
      <c r="J92" t="str">
        <f ca="1">IF($A92="","",IF(COUNTA($AF$2:$AK$2)=6,"WK "&amp;_xlfn.ISOWEEKNUM($AF$2)))</f>
        <v>WK 21</v>
      </c>
      <c r="K92" s="20" t="str">
        <f t="shared" ca="1" si="34"/>
        <v>ON</v>
      </c>
      <c r="L92" s="20" t="str">
        <f t="shared" ca="1" si="34"/>
        <v>ON</v>
      </c>
      <c r="M92" s="1" t="str">
        <f t="shared" ca="1" si="35"/>
        <v>ON</v>
      </c>
      <c r="N92" s="1" t="str">
        <f t="shared" ca="1" si="36"/>
        <v>ON</v>
      </c>
      <c r="O92" s="1" t="str">
        <f t="shared" ca="1" si="37"/>
        <v>ON</v>
      </c>
      <c r="P92" s="1" t="str">
        <f t="shared" ca="1" si="38"/>
        <v>ON</v>
      </c>
      <c r="Q92" s="1"/>
      <c r="R92" s="20" t="str">
        <f t="shared" ca="1" si="39"/>
        <v>ON</v>
      </c>
      <c r="S92" s="20" t="str">
        <f t="shared" ca="1" si="39"/>
        <v>ON</v>
      </c>
      <c r="T92" s="1" t="str">
        <f t="shared" ca="1" si="40"/>
        <v>OFF</v>
      </c>
      <c r="U92" s="1" t="str">
        <f t="shared" ca="1" si="41"/>
        <v>ON</v>
      </c>
      <c r="V92" s="1" t="str">
        <f t="shared" ca="1" si="42"/>
        <v>ON</v>
      </c>
      <c r="W92" s="1" t="str">
        <f t="shared" ca="1" si="43"/>
        <v>ON</v>
      </c>
      <c r="X92" s="1"/>
      <c r="Y92" s="20" t="str">
        <f t="shared" ca="1" si="44"/>
        <v>ON</v>
      </c>
      <c r="Z92" s="20" t="str">
        <f t="shared" ca="1" si="44"/>
        <v>ON</v>
      </c>
      <c r="AA92" s="1" t="str">
        <f t="shared" ca="1" si="45"/>
        <v>ON</v>
      </c>
      <c r="AB92" s="1" t="str">
        <f t="shared" ca="1" si="46"/>
        <v>ON</v>
      </c>
      <c r="AC92" s="1" t="str">
        <f t="shared" ca="1" si="47"/>
        <v>ON</v>
      </c>
      <c r="AD92" s="1" t="str">
        <f t="shared" ca="1" si="48"/>
        <v>ON</v>
      </c>
      <c r="AE92" s="1"/>
      <c r="AF92" s="20" t="str">
        <f t="shared" ca="1" si="49"/>
        <v>ON</v>
      </c>
      <c r="AG92" s="20" t="str">
        <f t="shared" ca="1" si="49"/>
        <v>ON</v>
      </c>
      <c r="AH92" s="1" t="str">
        <f t="shared" ca="1" si="50"/>
        <v>OFF</v>
      </c>
      <c r="AI92" s="1" t="str">
        <f t="shared" ca="1" si="51"/>
        <v>ON</v>
      </c>
      <c r="AJ92" s="1" t="str">
        <f t="shared" ca="1" si="52"/>
        <v>ON</v>
      </c>
      <c r="AK92" s="1" t="str">
        <f t="shared" ca="1" si="53"/>
        <v>ON</v>
      </c>
      <c r="AL92" s="1"/>
      <c r="AM92" s="20" t="str">
        <f t="shared" si="54"/>
        <v>ON</v>
      </c>
      <c r="AN92" s="20" t="str">
        <f t="shared" si="54"/>
        <v>ON</v>
      </c>
      <c r="AO92" s="20" t="str">
        <f t="shared" si="55"/>
        <v>ON</v>
      </c>
    </row>
    <row r="93" spans="1:41">
      <c r="A93" t="str">
        <f t="shared" ca="1" si="29"/>
        <v>Ondo</v>
      </c>
      <c r="B93" t="str">
        <f t="shared" ca="1" si="30"/>
        <v>A</v>
      </c>
      <c r="C93" t="str">
        <f t="shared" ca="1" si="31"/>
        <v>D1</v>
      </c>
      <c r="D93" t="s">
        <v>7</v>
      </c>
      <c r="E93">
        <f t="shared" ca="1" si="32"/>
        <v>25</v>
      </c>
      <c r="F93">
        <f t="shared" ca="1" si="33"/>
        <v>2</v>
      </c>
      <c r="G93" t="str" cm="1">
        <f t="array" ref="G93:G96">Groups!$B$2:$B$5</f>
        <v>A</v>
      </c>
      <c r="H93" t="str" cm="1">
        <f t="array" ref="H93:H96">Groups!$B$2:$B$5</f>
        <v>A</v>
      </c>
      <c r="I93" t="str">
        <f ca="1">IF($A93="","",IF(COUNTA($K$2:$P$2)=6,"WK "&amp;_xlfn.ISOWEEKNUM($K$2)))</f>
        <v>WK 18</v>
      </c>
      <c r="J93" t="str">
        <f ca="1">IF($A93="","",IF(COUNTA($Y$2:$AD$2)=6,"WK "&amp;_xlfn.ISOWEEKNUM($Y$2)))</f>
        <v>WK 20</v>
      </c>
      <c r="K93" s="20" t="str">
        <f t="shared" ca="1" si="34"/>
        <v>ON</v>
      </c>
      <c r="L93" s="20" t="str">
        <f t="shared" ca="1" si="34"/>
        <v>ON</v>
      </c>
      <c r="M93" s="1" t="str">
        <f t="shared" ca="1" si="35"/>
        <v>OFF</v>
      </c>
      <c r="N93" s="1" t="str">
        <f t="shared" ca="1" si="36"/>
        <v>ON</v>
      </c>
      <c r="O93" s="1" t="str">
        <f t="shared" ca="1" si="37"/>
        <v>ON</v>
      </c>
      <c r="P93" s="1" t="str">
        <f t="shared" ca="1" si="38"/>
        <v>ON</v>
      </c>
      <c r="Q93" s="1"/>
      <c r="R93" s="20" t="str">
        <f t="shared" ca="1" si="39"/>
        <v>ON</v>
      </c>
      <c r="S93" s="20" t="str">
        <f t="shared" ca="1" si="39"/>
        <v>ON</v>
      </c>
      <c r="T93" s="1" t="str">
        <f t="shared" ca="1" si="40"/>
        <v>ON</v>
      </c>
      <c r="U93" s="1" t="str">
        <f t="shared" ca="1" si="41"/>
        <v>ON</v>
      </c>
      <c r="V93" s="1" t="str">
        <f t="shared" ca="1" si="42"/>
        <v>ON</v>
      </c>
      <c r="W93" s="1" t="str">
        <f t="shared" ca="1" si="43"/>
        <v>ON</v>
      </c>
      <c r="X93" s="1"/>
      <c r="Y93" s="20" t="str">
        <f t="shared" ca="1" si="44"/>
        <v>ON</v>
      </c>
      <c r="Z93" s="20" t="str">
        <f t="shared" ca="1" si="44"/>
        <v>ON</v>
      </c>
      <c r="AA93" s="1" t="str">
        <f t="shared" ca="1" si="45"/>
        <v>OFF</v>
      </c>
      <c r="AB93" s="1" t="str">
        <f t="shared" ca="1" si="46"/>
        <v>ON</v>
      </c>
      <c r="AC93" s="1" t="str">
        <f t="shared" ca="1" si="47"/>
        <v>ON</v>
      </c>
      <c r="AD93" s="1" t="str">
        <f t="shared" ca="1" si="48"/>
        <v>ON</v>
      </c>
      <c r="AE93" s="1"/>
      <c r="AF93" s="20" t="str">
        <f t="shared" ca="1" si="49"/>
        <v>ON</v>
      </c>
      <c r="AG93" s="20" t="str">
        <f t="shared" ca="1" si="49"/>
        <v>ON</v>
      </c>
      <c r="AH93" s="1" t="str">
        <f t="shared" ca="1" si="50"/>
        <v>ON</v>
      </c>
      <c r="AI93" s="1" t="str">
        <f t="shared" ca="1" si="51"/>
        <v>ON</v>
      </c>
      <c r="AJ93" s="1" t="str">
        <f t="shared" ca="1" si="52"/>
        <v>ON</v>
      </c>
      <c r="AK93" s="1" t="str">
        <f t="shared" ca="1" si="53"/>
        <v>ON</v>
      </c>
      <c r="AL93" s="1"/>
      <c r="AM93" s="20" t="str">
        <f t="shared" si="54"/>
        <v>ON</v>
      </c>
      <c r="AN93" s="20" t="str">
        <f t="shared" si="54"/>
        <v>ON</v>
      </c>
      <c r="AO93" s="20" t="str">
        <f t="shared" si="55"/>
        <v>ON</v>
      </c>
    </row>
    <row r="94" spans="1:41">
      <c r="A94" t="str">
        <f t="shared" ca="1" si="29"/>
        <v>Ekiti</v>
      </c>
      <c r="B94" t="str">
        <f t="shared" ca="1" si="30"/>
        <v>B</v>
      </c>
      <c r="C94" t="str">
        <f t="shared" ca="1" si="31"/>
        <v>A1</v>
      </c>
      <c r="D94" t="s">
        <v>7</v>
      </c>
      <c r="E94">
        <f t="shared" ca="1" si="32"/>
        <v>25</v>
      </c>
      <c r="F94">
        <f t="shared" ca="1" si="33"/>
        <v>2</v>
      </c>
      <c r="G94" t="str">
        <v>B</v>
      </c>
      <c r="H94" t="str">
        <v>B</v>
      </c>
      <c r="I94" t="str">
        <f ca="1">IF($A94="","",IF(COUNTA($R$2:$W$2)=6,"WK "&amp;_xlfn.ISOWEEKNUM($R$2)))</f>
        <v>WK 19</v>
      </c>
      <c r="J94" t="str">
        <f ca="1">IF($A94="","",IF(COUNTA($AF$2:$AK$2)=6,"WK "&amp;_xlfn.ISOWEEKNUM($AF$2)))</f>
        <v>WK 21</v>
      </c>
      <c r="K94" s="20" t="str">
        <f t="shared" ca="1" si="34"/>
        <v>ON</v>
      </c>
      <c r="L94" s="20" t="str">
        <f t="shared" ca="1" si="34"/>
        <v>ON</v>
      </c>
      <c r="M94" s="1" t="str">
        <f t="shared" ca="1" si="35"/>
        <v>ON</v>
      </c>
      <c r="N94" s="1" t="str">
        <f t="shared" ca="1" si="36"/>
        <v>ON</v>
      </c>
      <c r="O94" s="1" t="str">
        <f t="shared" ca="1" si="37"/>
        <v>ON</v>
      </c>
      <c r="P94" s="1" t="str">
        <f t="shared" ca="1" si="38"/>
        <v>ON</v>
      </c>
      <c r="Q94" s="1"/>
      <c r="R94" s="20" t="str">
        <f t="shared" ca="1" si="39"/>
        <v>ON</v>
      </c>
      <c r="S94" s="20" t="str">
        <f t="shared" ca="1" si="39"/>
        <v>ON</v>
      </c>
      <c r="T94" s="1" t="str">
        <f t="shared" ca="1" si="40"/>
        <v>ON</v>
      </c>
      <c r="U94" s="1" t="str">
        <f t="shared" ca="1" si="41"/>
        <v>OFF</v>
      </c>
      <c r="V94" s="1" t="str">
        <f t="shared" ca="1" si="42"/>
        <v>ON</v>
      </c>
      <c r="W94" s="1" t="str">
        <f t="shared" ca="1" si="43"/>
        <v>ON</v>
      </c>
      <c r="X94" s="1"/>
      <c r="Y94" s="20" t="str">
        <f t="shared" ca="1" si="44"/>
        <v>ON</v>
      </c>
      <c r="Z94" s="20" t="str">
        <f t="shared" ca="1" si="44"/>
        <v>ON</v>
      </c>
      <c r="AA94" s="1" t="str">
        <f t="shared" ca="1" si="45"/>
        <v>ON</v>
      </c>
      <c r="AB94" s="1" t="str">
        <f t="shared" ca="1" si="46"/>
        <v>ON</v>
      </c>
      <c r="AC94" s="1" t="str">
        <f t="shared" ca="1" si="47"/>
        <v>ON</v>
      </c>
      <c r="AD94" s="1" t="str">
        <f t="shared" ca="1" si="48"/>
        <v>ON</v>
      </c>
      <c r="AE94" s="1"/>
      <c r="AF94" s="20" t="str">
        <f t="shared" ca="1" si="49"/>
        <v>ON</v>
      </c>
      <c r="AG94" s="20" t="str">
        <f t="shared" ca="1" si="49"/>
        <v>ON</v>
      </c>
      <c r="AH94" s="1" t="str">
        <f t="shared" ca="1" si="50"/>
        <v>ON</v>
      </c>
      <c r="AI94" s="1" t="str">
        <f t="shared" ca="1" si="51"/>
        <v>OFF</v>
      </c>
      <c r="AJ94" s="1" t="str">
        <f t="shared" ca="1" si="52"/>
        <v>ON</v>
      </c>
      <c r="AK94" s="1" t="str">
        <f t="shared" ca="1" si="53"/>
        <v>ON</v>
      </c>
      <c r="AL94" s="1"/>
      <c r="AM94" s="20" t="str">
        <f t="shared" si="54"/>
        <v>ON</v>
      </c>
      <c r="AN94" s="20" t="str">
        <f t="shared" si="54"/>
        <v>ON</v>
      </c>
      <c r="AO94" s="20" t="str">
        <f t="shared" si="55"/>
        <v>ON</v>
      </c>
    </row>
    <row r="95" spans="1:41">
      <c r="A95" t="str">
        <f t="shared" ca="1" si="29"/>
        <v>Ondo</v>
      </c>
      <c r="B95" t="str">
        <f t="shared" ca="1" si="30"/>
        <v>E</v>
      </c>
      <c r="C95" t="str">
        <f t="shared" ca="1" si="31"/>
        <v>C1</v>
      </c>
      <c r="D95" t="s">
        <v>7</v>
      </c>
      <c r="E95">
        <f t="shared" ca="1" si="32"/>
        <v>25</v>
      </c>
      <c r="F95">
        <f t="shared" ca="1" si="33"/>
        <v>2</v>
      </c>
      <c r="G95" t="str">
        <v>C</v>
      </c>
      <c r="H95" t="str">
        <v>C</v>
      </c>
      <c r="I95" t="str">
        <f ca="1">IF($A95="","",IF(COUNTA($K$2:$P$2)=6,"WK "&amp;_xlfn.ISOWEEKNUM($K$2)))</f>
        <v>WK 18</v>
      </c>
      <c r="J95" t="str">
        <f ca="1">IF($A95="","",IF(COUNTA($Y$2:$AD$2)=6,"WK "&amp;_xlfn.ISOWEEKNUM($Y$2)))</f>
        <v>WK 20</v>
      </c>
      <c r="K95" s="20" t="str">
        <f t="shared" ca="1" si="34"/>
        <v>ON</v>
      </c>
      <c r="L95" s="20" t="str">
        <f t="shared" ca="1" si="34"/>
        <v>ON</v>
      </c>
      <c r="M95" s="1" t="str">
        <f t="shared" ca="1" si="35"/>
        <v>ON</v>
      </c>
      <c r="N95" s="1" t="str">
        <f t="shared" ca="1" si="36"/>
        <v>ON</v>
      </c>
      <c r="O95" s="1" t="str">
        <f t="shared" ca="1" si="37"/>
        <v>OFF</v>
      </c>
      <c r="P95" s="1" t="str">
        <f t="shared" ca="1" si="38"/>
        <v>ON</v>
      </c>
      <c r="Q95" s="1"/>
      <c r="R95" s="20" t="str">
        <f t="shared" ca="1" si="39"/>
        <v>ON</v>
      </c>
      <c r="S95" s="20" t="str">
        <f t="shared" ca="1" si="39"/>
        <v>ON</v>
      </c>
      <c r="T95" s="1" t="str">
        <f t="shared" ca="1" si="40"/>
        <v>ON</v>
      </c>
      <c r="U95" s="1" t="str">
        <f t="shared" ca="1" si="41"/>
        <v>ON</v>
      </c>
      <c r="V95" s="1" t="str">
        <f t="shared" ca="1" si="42"/>
        <v>ON</v>
      </c>
      <c r="W95" s="1" t="str">
        <f t="shared" ca="1" si="43"/>
        <v>ON</v>
      </c>
      <c r="X95" s="1"/>
      <c r="Y95" s="20" t="str">
        <f t="shared" ca="1" si="44"/>
        <v>ON</v>
      </c>
      <c r="Z95" s="20" t="str">
        <f t="shared" ca="1" si="44"/>
        <v>ON</v>
      </c>
      <c r="AA95" s="1" t="str">
        <f t="shared" ca="1" si="45"/>
        <v>ON</v>
      </c>
      <c r="AB95" s="1" t="str">
        <f t="shared" ca="1" si="46"/>
        <v>ON</v>
      </c>
      <c r="AC95" s="1" t="str">
        <f t="shared" ca="1" si="47"/>
        <v>OFF</v>
      </c>
      <c r="AD95" s="1" t="str">
        <f t="shared" ca="1" si="48"/>
        <v>ON</v>
      </c>
      <c r="AE95" s="1"/>
      <c r="AF95" s="20" t="str">
        <f t="shared" ca="1" si="49"/>
        <v>ON</v>
      </c>
      <c r="AG95" s="20" t="str">
        <f t="shared" ca="1" si="49"/>
        <v>ON</v>
      </c>
      <c r="AH95" s="1" t="str">
        <f t="shared" ca="1" si="50"/>
        <v>ON</v>
      </c>
      <c r="AI95" s="1" t="str">
        <f t="shared" ca="1" si="51"/>
        <v>ON</v>
      </c>
      <c r="AJ95" s="1" t="str">
        <f t="shared" ca="1" si="52"/>
        <v>ON</v>
      </c>
      <c r="AK95" s="1" t="str">
        <f t="shared" ca="1" si="53"/>
        <v>ON</v>
      </c>
      <c r="AL95" s="1"/>
      <c r="AM95" s="20" t="str">
        <f t="shared" si="54"/>
        <v>ON</v>
      </c>
      <c r="AN95" s="20" t="str">
        <f t="shared" si="54"/>
        <v>ON</v>
      </c>
      <c r="AO95" s="20" t="str">
        <f t="shared" si="55"/>
        <v>ON</v>
      </c>
    </row>
    <row r="96" spans="1:41">
      <c r="A96" t="str">
        <f t="shared" ca="1" si="29"/>
        <v>Ondo</v>
      </c>
      <c r="B96" t="str">
        <f t="shared" ca="1" si="30"/>
        <v>E</v>
      </c>
      <c r="C96" t="str">
        <f t="shared" ca="1" si="31"/>
        <v>A1</v>
      </c>
      <c r="D96" t="s">
        <v>4</v>
      </c>
      <c r="E96">
        <f t="shared" ca="1" si="32"/>
        <v>25</v>
      </c>
      <c r="F96">
        <f t="shared" ca="1" si="33"/>
        <v>2</v>
      </c>
      <c r="G96" t="str">
        <v>D</v>
      </c>
      <c r="H96" t="str">
        <v>D</v>
      </c>
      <c r="I96" t="str">
        <f ca="1">IF($A96="","",IF(COUNTA($R$2:$W$2)=6,"WK "&amp;_xlfn.ISOWEEKNUM($R$2)))</f>
        <v>WK 19</v>
      </c>
      <c r="J96" t="str">
        <f ca="1">IF($A96="","",IF(COUNTA($AF$2:$AK$2)=6,"WK "&amp;_xlfn.ISOWEEKNUM($AF$2)))</f>
        <v>WK 21</v>
      </c>
      <c r="K96" s="20" t="str">
        <f t="shared" ca="1" si="34"/>
        <v>ON</v>
      </c>
      <c r="L96" s="20" t="str">
        <f t="shared" ca="1" si="34"/>
        <v>ON</v>
      </c>
      <c r="M96" s="1" t="str">
        <f t="shared" ca="1" si="35"/>
        <v>ON</v>
      </c>
      <c r="N96" s="1" t="str">
        <f t="shared" ca="1" si="36"/>
        <v>ON</v>
      </c>
      <c r="O96" s="1" t="str">
        <f t="shared" ca="1" si="37"/>
        <v>ON</v>
      </c>
      <c r="P96" s="1" t="str">
        <f t="shared" ca="1" si="38"/>
        <v>ON</v>
      </c>
      <c r="Q96" s="1"/>
      <c r="R96" s="20" t="str">
        <f t="shared" ca="1" si="39"/>
        <v>ON</v>
      </c>
      <c r="S96" s="20" t="str">
        <f t="shared" ca="1" si="39"/>
        <v>ON</v>
      </c>
      <c r="T96" s="1" t="str">
        <f t="shared" ca="1" si="40"/>
        <v>ON</v>
      </c>
      <c r="U96" s="1" t="str">
        <f t="shared" ca="1" si="41"/>
        <v>ON</v>
      </c>
      <c r="V96" s="1" t="str">
        <f t="shared" ca="1" si="42"/>
        <v>ON</v>
      </c>
      <c r="W96" s="1" t="str">
        <f t="shared" ca="1" si="43"/>
        <v>OFF</v>
      </c>
      <c r="X96" s="1"/>
      <c r="Y96" s="20" t="str">
        <f t="shared" ca="1" si="44"/>
        <v>ON</v>
      </c>
      <c r="Z96" s="20" t="str">
        <f t="shared" ca="1" si="44"/>
        <v>ON</v>
      </c>
      <c r="AA96" s="1" t="str">
        <f t="shared" ca="1" si="45"/>
        <v>ON</v>
      </c>
      <c r="AB96" s="1" t="str">
        <f t="shared" ca="1" si="46"/>
        <v>ON</v>
      </c>
      <c r="AC96" s="1" t="str">
        <f t="shared" ca="1" si="47"/>
        <v>ON</v>
      </c>
      <c r="AD96" s="1" t="str">
        <f t="shared" ca="1" si="48"/>
        <v>ON</v>
      </c>
      <c r="AE96" s="1"/>
      <c r="AF96" s="20" t="str">
        <f t="shared" ca="1" si="49"/>
        <v>ON</v>
      </c>
      <c r="AG96" s="20" t="str">
        <f t="shared" ca="1" si="49"/>
        <v>ON</v>
      </c>
      <c r="AH96" s="1" t="str">
        <f t="shared" ca="1" si="50"/>
        <v>ON</v>
      </c>
      <c r="AI96" s="1" t="str">
        <f t="shared" ca="1" si="51"/>
        <v>ON</v>
      </c>
      <c r="AJ96" s="1" t="str">
        <f t="shared" ca="1" si="52"/>
        <v>ON</v>
      </c>
      <c r="AK96" s="1" t="str">
        <f t="shared" ca="1" si="53"/>
        <v>OFF</v>
      </c>
      <c r="AL96" s="1"/>
      <c r="AM96" s="20" t="str">
        <f t="shared" si="54"/>
        <v>ON</v>
      </c>
      <c r="AN96" s="20" t="str">
        <f t="shared" si="54"/>
        <v>ON</v>
      </c>
      <c r="AO96" s="20" t="str">
        <f t="shared" si="55"/>
        <v>ON</v>
      </c>
    </row>
    <row r="97" spans="1:41">
      <c r="A97" t="str">
        <f t="shared" ca="1" si="29"/>
        <v>Lagos</v>
      </c>
      <c r="B97" t="str">
        <f t="shared" ca="1" si="30"/>
        <v>E</v>
      </c>
      <c r="C97" t="str">
        <f t="shared" ca="1" si="31"/>
        <v>B1</v>
      </c>
      <c r="D97" t="s">
        <v>7</v>
      </c>
      <c r="E97">
        <f t="shared" ca="1" si="32"/>
        <v>25</v>
      </c>
      <c r="F97">
        <f t="shared" ca="1" si="33"/>
        <v>2</v>
      </c>
      <c r="G97" t="str" cm="1">
        <f t="array" ref="G97:G100">IF($G$5:$G$8={"A";"B";"C";"D"},{"D";"C";"B";"A"},{"A";"B";"C";"D"})</f>
        <v>D</v>
      </c>
      <c r="H97" t="str" cm="1">
        <f t="array" ref="H97:H100">IF($H$5:$H$8={"A";"B";"C";"D"},{"D";"C";"B";"A"},{"A";"B";"C";"D"})</f>
        <v>D</v>
      </c>
      <c r="I97" t="str">
        <f ca="1">IF($A97="","",IF(COUNTA($K$2:$P$2)=6,"WK "&amp;_xlfn.ISOWEEKNUM($K$2)))</f>
        <v>WK 18</v>
      </c>
      <c r="J97" t="str">
        <f ca="1">IF($A97="","",IF(COUNTA($Y$2:$AD$2)=6,"WK "&amp;_xlfn.ISOWEEKNUM($Y$2)))</f>
        <v>WK 20</v>
      </c>
      <c r="K97" s="20" t="str">
        <f t="shared" ca="1" si="34"/>
        <v>ON</v>
      </c>
      <c r="L97" s="20" t="str">
        <f t="shared" ca="1" si="34"/>
        <v>ON</v>
      </c>
      <c r="M97" s="1" t="str">
        <f t="shared" ca="1" si="35"/>
        <v>ON</v>
      </c>
      <c r="N97" s="1" t="str">
        <f t="shared" ca="1" si="36"/>
        <v>ON</v>
      </c>
      <c r="O97" s="1" t="str">
        <f t="shared" ca="1" si="37"/>
        <v>ON</v>
      </c>
      <c r="P97" s="1" t="str">
        <f t="shared" ca="1" si="38"/>
        <v>OFF</v>
      </c>
      <c r="Q97" s="1"/>
      <c r="R97" s="20" t="str">
        <f t="shared" ca="1" si="39"/>
        <v>ON</v>
      </c>
      <c r="S97" s="20" t="str">
        <f t="shared" ca="1" si="39"/>
        <v>ON</v>
      </c>
      <c r="T97" s="1" t="str">
        <f t="shared" ca="1" si="40"/>
        <v>ON</v>
      </c>
      <c r="U97" s="1" t="str">
        <f t="shared" ca="1" si="41"/>
        <v>ON</v>
      </c>
      <c r="V97" s="1" t="str">
        <f t="shared" ca="1" si="42"/>
        <v>ON</v>
      </c>
      <c r="W97" s="1" t="str">
        <f t="shared" ca="1" si="43"/>
        <v>ON</v>
      </c>
      <c r="X97" s="1"/>
      <c r="Y97" s="20" t="str">
        <f t="shared" ca="1" si="44"/>
        <v>ON</v>
      </c>
      <c r="Z97" s="20" t="str">
        <f t="shared" ca="1" si="44"/>
        <v>ON</v>
      </c>
      <c r="AA97" s="1" t="str">
        <f t="shared" ca="1" si="45"/>
        <v>ON</v>
      </c>
      <c r="AB97" s="1" t="str">
        <f t="shared" ca="1" si="46"/>
        <v>ON</v>
      </c>
      <c r="AC97" s="1" t="str">
        <f t="shared" ca="1" si="47"/>
        <v>ON</v>
      </c>
      <c r="AD97" s="1" t="str">
        <f t="shared" ca="1" si="48"/>
        <v>OFF</v>
      </c>
      <c r="AE97" s="1"/>
      <c r="AF97" s="20" t="str">
        <f t="shared" ca="1" si="49"/>
        <v>ON</v>
      </c>
      <c r="AG97" s="20" t="str">
        <f t="shared" ca="1" si="49"/>
        <v>ON</v>
      </c>
      <c r="AH97" s="1" t="str">
        <f t="shared" ca="1" si="50"/>
        <v>ON</v>
      </c>
      <c r="AI97" s="1" t="str">
        <f t="shared" ca="1" si="51"/>
        <v>ON</v>
      </c>
      <c r="AJ97" s="1" t="str">
        <f t="shared" ca="1" si="52"/>
        <v>ON</v>
      </c>
      <c r="AK97" s="1" t="str">
        <f t="shared" ca="1" si="53"/>
        <v>ON</v>
      </c>
      <c r="AL97" s="1"/>
      <c r="AM97" s="20" t="str">
        <f t="shared" si="54"/>
        <v>ON</v>
      </c>
      <c r="AN97" s="20" t="str">
        <f t="shared" si="54"/>
        <v>ON</v>
      </c>
      <c r="AO97" s="20" t="str">
        <f t="shared" si="55"/>
        <v>ON</v>
      </c>
    </row>
    <row r="98" spans="1:41">
      <c r="A98" t="str">
        <f t="shared" ca="1" si="29"/>
        <v>Ondo</v>
      </c>
      <c r="B98" t="str">
        <f t="shared" ca="1" si="30"/>
        <v>E</v>
      </c>
      <c r="C98" t="str">
        <f t="shared" ca="1" si="31"/>
        <v>E1</v>
      </c>
      <c r="D98" t="s">
        <v>7</v>
      </c>
      <c r="E98">
        <f t="shared" ca="1" si="32"/>
        <v>25</v>
      </c>
      <c r="F98">
        <f t="shared" ca="1" si="33"/>
        <v>2</v>
      </c>
      <c r="G98" t="str">
        <v>C</v>
      </c>
      <c r="H98" t="str">
        <v>C</v>
      </c>
      <c r="I98" t="str">
        <f ca="1">IF($A98="","",IF(COUNTA($R$2:$W$2)=6,"WK "&amp;_xlfn.ISOWEEKNUM($R$2)))</f>
        <v>WK 19</v>
      </c>
      <c r="J98" t="str">
        <f ca="1">IF($A98="","",IF(COUNTA($AF$2:$AK$2)=6,"WK "&amp;_xlfn.ISOWEEKNUM($AF$2)))</f>
        <v>WK 21</v>
      </c>
      <c r="K98" s="20" t="str">
        <f t="shared" ca="1" si="34"/>
        <v>ON</v>
      </c>
      <c r="L98" s="20" t="str">
        <f t="shared" ca="1" si="34"/>
        <v>ON</v>
      </c>
      <c r="M98" s="1" t="str">
        <f t="shared" ca="1" si="35"/>
        <v>ON</v>
      </c>
      <c r="N98" s="1" t="str">
        <f t="shared" ca="1" si="36"/>
        <v>ON</v>
      </c>
      <c r="O98" s="1" t="str">
        <f t="shared" ca="1" si="37"/>
        <v>ON</v>
      </c>
      <c r="P98" s="1" t="str">
        <f t="shared" ca="1" si="38"/>
        <v>ON</v>
      </c>
      <c r="Q98" s="1"/>
      <c r="R98" s="20" t="str">
        <f t="shared" ca="1" si="39"/>
        <v>ON</v>
      </c>
      <c r="S98" s="20" t="str">
        <f t="shared" ca="1" si="39"/>
        <v>ON</v>
      </c>
      <c r="T98" s="1" t="str">
        <f t="shared" ca="1" si="40"/>
        <v>ON</v>
      </c>
      <c r="U98" s="1" t="str">
        <f t="shared" ca="1" si="41"/>
        <v>ON</v>
      </c>
      <c r="V98" s="1" t="str">
        <f t="shared" ca="1" si="42"/>
        <v>OFF</v>
      </c>
      <c r="W98" s="1" t="str">
        <f t="shared" ca="1" si="43"/>
        <v>ON</v>
      </c>
      <c r="X98" s="1"/>
      <c r="Y98" s="20" t="str">
        <f t="shared" ca="1" si="44"/>
        <v>ON</v>
      </c>
      <c r="Z98" s="20" t="str">
        <f t="shared" ca="1" si="44"/>
        <v>ON</v>
      </c>
      <c r="AA98" s="1" t="str">
        <f t="shared" ca="1" si="45"/>
        <v>ON</v>
      </c>
      <c r="AB98" s="1" t="str">
        <f t="shared" ca="1" si="46"/>
        <v>ON</v>
      </c>
      <c r="AC98" s="1" t="str">
        <f t="shared" ca="1" si="47"/>
        <v>ON</v>
      </c>
      <c r="AD98" s="1" t="str">
        <f t="shared" ca="1" si="48"/>
        <v>ON</v>
      </c>
      <c r="AE98" s="1"/>
      <c r="AF98" s="20" t="str">
        <f t="shared" ca="1" si="49"/>
        <v>ON</v>
      </c>
      <c r="AG98" s="20" t="str">
        <f t="shared" ca="1" si="49"/>
        <v>ON</v>
      </c>
      <c r="AH98" s="1" t="str">
        <f t="shared" ca="1" si="50"/>
        <v>ON</v>
      </c>
      <c r="AI98" s="1" t="str">
        <f t="shared" ca="1" si="51"/>
        <v>ON</v>
      </c>
      <c r="AJ98" s="1" t="str">
        <f t="shared" ca="1" si="52"/>
        <v>OFF</v>
      </c>
      <c r="AK98" s="1" t="str">
        <f t="shared" ca="1" si="53"/>
        <v>ON</v>
      </c>
      <c r="AL98" s="1"/>
      <c r="AM98" s="20" t="str">
        <f t="shared" si="54"/>
        <v>ON</v>
      </c>
      <c r="AN98" s="20" t="str">
        <f t="shared" si="54"/>
        <v>ON</v>
      </c>
      <c r="AO98" s="20" t="str">
        <f t="shared" si="55"/>
        <v>ON</v>
      </c>
    </row>
    <row r="99" spans="1:41">
      <c r="A99" t="str">
        <f t="shared" ca="1" si="29"/>
        <v>Ogun</v>
      </c>
      <c r="B99" t="str">
        <f t="shared" ca="1" si="30"/>
        <v>C</v>
      </c>
      <c r="C99" t="str">
        <f t="shared" ca="1" si="31"/>
        <v>C1</v>
      </c>
      <c r="D99" t="s">
        <v>7</v>
      </c>
      <c r="E99">
        <f t="shared" ca="1" si="32"/>
        <v>25</v>
      </c>
      <c r="F99">
        <f t="shared" ca="1" si="33"/>
        <v>2</v>
      </c>
      <c r="G99" t="str">
        <v>B</v>
      </c>
      <c r="H99" t="str">
        <v>B</v>
      </c>
      <c r="I99" t="str">
        <f ca="1">IF($A99="","",IF(COUNTA($K$2:$P$2)=6,"WK "&amp;_xlfn.ISOWEEKNUM($K$2)))</f>
        <v>WK 18</v>
      </c>
      <c r="J99" t="str">
        <f ca="1">IF($A99="","",IF(COUNTA($Y$2:$AD$2)=6,"WK "&amp;_xlfn.ISOWEEKNUM($Y$2)))</f>
        <v>WK 20</v>
      </c>
      <c r="K99" s="20" t="str">
        <f t="shared" ca="1" si="34"/>
        <v>ON</v>
      </c>
      <c r="L99" s="20" t="str">
        <f t="shared" ca="1" si="34"/>
        <v>ON</v>
      </c>
      <c r="M99" s="1" t="str">
        <f t="shared" ca="1" si="35"/>
        <v>ON</v>
      </c>
      <c r="N99" s="1" t="str">
        <f t="shared" ca="1" si="36"/>
        <v>OFF</v>
      </c>
      <c r="O99" s="1" t="str">
        <f t="shared" ca="1" si="37"/>
        <v>ON</v>
      </c>
      <c r="P99" s="1" t="str">
        <f t="shared" ca="1" si="38"/>
        <v>ON</v>
      </c>
      <c r="Q99" s="1"/>
      <c r="R99" s="20" t="str">
        <f t="shared" ca="1" si="39"/>
        <v>ON</v>
      </c>
      <c r="S99" s="20" t="str">
        <f t="shared" ca="1" si="39"/>
        <v>ON</v>
      </c>
      <c r="T99" s="1" t="str">
        <f t="shared" ca="1" si="40"/>
        <v>ON</v>
      </c>
      <c r="U99" s="1" t="str">
        <f t="shared" ca="1" si="41"/>
        <v>ON</v>
      </c>
      <c r="V99" s="1" t="str">
        <f t="shared" ca="1" si="42"/>
        <v>ON</v>
      </c>
      <c r="W99" s="1" t="str">
        <f t="shared" ca="1" si="43"/>
        <v>ON</v>
      </c>
      <c r="X99" s="1"/>
      <c r="Y99" s="20" t="str">
        <f t="shared" ca="1" si="44"/>
        <v>ON</v>
      </c>
      <c r="Z99" s="20" t="str">
        <f t="shared" ca="1" si="44"/>
        <v>ON</v>
      </c>
      <c r="AA99" s="1" t="str">
        <f t="shared" ca="1" si="45"/>
        <v>ON</v>
      </c>
      <c r="AB99" s="1" t="str">
        <f t="shared" ca="1" si="46"/>
        <v>OFF</v>
      </c>
      <c r="AC99" s="1" t="str">
        <f t="shared" ca="1" si="47"/>
        <v>ON</v>
      </c>
      <c r="AD99" s="1" t="str">
        <f t="shared" ca="1" si="48"/>
        <v>ON</v>
      </c>
      <c r="AE99" s="1"/>
      <c r="AF99" s="20" t="str">
        <f t="shared" ca="1" si="49"/>
        <v>ON</v>
      </c>
      <c r="AG99" s="20" t="str">
        <f t="shared" ca="1" si="49"/>
        <v>ON</v>
      </c>
      <c r="AH99" s="1" t="str">
        <f t="shared" ca="1" si="50"/>
        <v>ON</v>
      </c>
      <c r="AI99" s="1" t="str">
        <f t="shared" ca="1" si="51"/>
        <v>ON</v>
      </c>
      <c r="AJ99" s="1" t="str">
        <f t="shared" ca="1" si="52"/>
        <v>ON</v>
      </c>
      <c r="AK99" s="1" t="str">
        <f t="shared" ca="1" si="53"/>
        <v>ON</v>
      </c>
      <c r="AL99" s="1"/>
      <c r="AM99" s="20" t="str">
        <f t="shared" si="54"/>
        <v>ON</v>
      </c>
      <c r="AN99" s="20" t="str">
        <f t="shared" si="54"/>
        <v>ON</v>
      </c>
      <c r="AO99" s="20" t="str">
        <f t="shared" si="55"/>
        <v>ON</v>
      </c>
    </row>
    <row r="100" spans="1:41">
      <c r="A100" t="str">
        <f t="shared" ca="1" si="29"/>
        <v>Lagos</v>
      </c>
      <c r="B100" t="str">
        <f t="shared" ca="1" si="30"/>
        <v>A</v>
      </c>
      <c r="C100" t="str">
        <f t="shared" ca="1" si="31"/>
        <v>D1</v>
      </c>
      <c r="D100" t="s">
        <v>4</v>
      </c>
      <c r="E100">
        <f t="shared" ca="1" si="32"/>
        <v>25</v>
      </c>
      <c r="F100">
        <f t="shared" ca="1" si="33"/>
        <v>2</v>
      </c>
      <c r="G100" t="str">
        <v>A</v>
      </c>
      <c r="H100" t="str">
        <v>A</v>
      </c>
      <c r="I100" t="str">
        <f ca="1">IF($A100="","",IF(COUNTA($R$2:$W$2)=6,"WK "&amp;_xlfn.ISOWEEKNUM($R$2)))</f>
        <v>WK 19</v>
      </c>
      <c r="J100" t="str">
        <f ca="1">IF($A100="","",IF(COUNTA($AF$2:$AK$2)=6,"WK "&amp;_xlfn.ISOWEEKNUM($AF$2)))</f>
        <v>WK 21</v>
      </c>
      <c r="K100" s="20" t="str">
        <f t="shared" ca="1" si="34"/>
        <v>ON</v>
      </c>
      <c r="L100" s="20" t="str">
        <f t="shared" ca="1" si="34"/>
        <v>ON</v>
      </c>
      <c r="M100" s="1" t="str">
        <f t="shared" ca="1" si="35"/>
        <v>ON</v>
      </c>
      <c r="N100" s="1" t="str">
        <f t="shared" ca="1" si="36"/>
        <v>ON</v>
      </c>
      <c r="O100" s="1" t="str">
        <f t="shared" ca="1" si="37"/>
        <v>ON</v>
      </c>
      <c r="P100" s="1" t="str">
        <f t="shared" ca="1" si="38"/>
        <v>ON</v>
      </c>
      <c r="Q100" s="1"/>
      <c r="R100" s="20" t="str">
        <f t="shared" ca="1" si="39"/>
        <v>ON</v>
      </c>
      <c r="S100" s="20" t="str">
        <f t="shared" ca="1" si="39"/>
        <v>ON</v>
      </c>
      <c r="T100" s="1" t="str">
        <f t="shared" ca="1" si="40"/>
        <v>OFF</v>
      </c>
      <c r="U100" s="1" t="str">
        <f t="shared" ca="1" si="41"/>
        <v>ON</v>
      </c>
      <c r="V100" s="1" t="str">
        <f t="shared" ca="1" si="42"/>
        <v>ON</v>
      </c>
      <c r="W100" s="1" t="str">
        <f t="shared" ca="1" si="43"/>
        <v>ON</v>
      </c>
      <c r="X100" s="1"/>
      <c r="Y100" s="20" t="str">
        <f t="shared" ca="1" si="44"/>
        <v>ON</v>
      </c>
      <c r="Z100" s="20" t="str">
        <f t="shared" ca="1" si="44"/>
        <v>ON</v>
      </c>
      <c r="AA100" s="1" t="str">
        <f t="shared" ca="1" si="45"/>
        <v>ON</v>
      </c>
      <c r="AB100" s="1" t="str">
        <f t="shared" ca="1" si="46"/>
        <v>ON</v>
      </c>
      <c r="AC100" s="1" t="str">
        <f t="shared" ca="1" si="47"/>
        <v>ON</v>
      </c>
      <c r="AD100" s="1" t="str">
        <f t="shared" ca="1" si="48"/>
        <v>ON</v>
      </c>
      <c r="AE100" s="1"/>
      <c r="AF100" s="20" t="str">
        <f t="shared" ca="1" si="49"/>
        <v>ON</v>
      </c>
      <c r="AG100" s="20" t="str">
        <f t="shared" ca="1" si="49"/>
        <v>ON</v>
      </c>
      <c r="AH100" s="1" t="str">
        <f t="shared" ca="1" si="50"/>
        <v>OFF</v>
      </c>
      <c r="AI100" s="1" t="str">
        <f t="shared" ca="1" si="51"/>
        <v>ON</v>
      </c>
      <c r="AJ100" s="1" t="str">
        <f t="shared" ca="1" si="52"/>
        <v>ON</v>
      </c>
      <c r="AK100" s="1" t="str">
        <f t="shared" ca="1" si="53"/>
        <v>ON</v>
      </c>
      <c r="AL100" s="1"/>
      <c r="AM100" s="20" t="str">
        <f t="shared" si="54"/>
        <v>ON</v>
      </c>
      <c r="AN100" s="20" t="str">
        <f t="shared" si="54"/>
        <v>ON</v>
      </c>
      <c r="AO100" s="20" t="str">
        <f t="shared" si="55"/>
        <v>ON</v>
      </c>
    </row>
    <row r="101" spans="1:41">
      <c r="A101" t="str">
        <f t="shared" ca="1" si="29"/>
        <v>Ekiti</v>
      </c>
      <c r="B101" t="str">
        <f t="shared" ca="1" si="30"/>
        <v>A</v>
      </c>
      <c r="C101" t="str">
        <f t="shared" ca="1" si="31"/>
        <v>B1</v>
      </c>
      <c r="D101" t="s">
        <v>4</v>
      </c>
      <c r="E101">
        <f t="shared" ca="1" si="32"/>
        <v>25</v>
      </c>
      <c r="F101">
        <f t="shared" ca="1" si="33"/>
        <v>2</v>
      </c>
      <c r="G101" t="str" cm="1">
        <f t="array" ref="G101:G104">Groups!$B$2:$B$5</f>
        <v>A</v>
      </c>
      <c r="H101" t="str" cm="1">
        <f t="array" ref="H101:H104">Groups!$B$2:$B$5</f>
        <v>A</v>
      </c>
      <c r="I101" t="str">
        <f ca="1">IF($A101="","",IF(COUNTA($K$2:$P$2)=6,"WK "&amp;_xlfn.ISOWEEKNUM($K$2)))</f>
        <v>WK 18</v>
      </c>
      <c r="J101" t="str">
        <f ca="1">IF($A101="","",IF(COUNTA($Y$2:$AD$2)=6,"WK "&amp;_xlfn.ISOWEEKNUM($Y$2)))</f>
        <v>WK 20</v>
      </c>
      <c r="K101" s="20" t="str">
        <f t="shared" ca="1" si="34"/>
        <v>ON</v>
      </c>
      <c r="L101" s="20" t="str">
        <f t="shared" ca="1" si="34"/>
        <v>ON</v>
      </c>
      <c r="M101" s="1" t="str">
        <f t="shared" ca="1" si="35"/>
        <v>OFF</v>
      </c>
      <c r="N101" s="1" t="str">
        <f t="shared" ca="1" si="36"/>
        <v>ON</v>
      </c>
      <c r="O101" s="1" t="str">
        <f t="shared" ca="1" si="37"/>
        <v>ON</v>
      </c>
      <c r="P101" s="1" t="str">
        <f t="shared" ca="1" si="38"/>
        <v>ON</v>
      </c>
      <c r="Q101" s="1"/>
      <c r="R101" s="20" t="str">
        <f t="shared" ca="1" si="39"/>
        <v>ON</v>
      </c>
      <c r="S101" s="20" t="str">
        <f t="shared" ca="1" si="39"/>
        <v>ON</v>
      </c>
      <c r="T101" s="1" t="str">
        <f t="shared" ca="1" si="40"/>
        <v>ON</v>
      </c>
      <c r="U101" s="1" t="str">
        <f t="shared" ca="1" si="41"/>
        <v>ON</v>
      </c>
      <c r="V101" s="1" t="str">
        <f t="shared" ca="1" si="42"/>
        <v>ON</v>
      </c>
      <c r="W101" s="1" t="str">
        <f t="shared" ca="1" si="43"/>
        <v>ON</v>
      </c>
      <c r="X101" s="1"/>
      <c r="Y101" s="20" t="str">
        <f t="shared" ca="1" si="44"/>
        <v>ON</v>
      </c>
      <c r="Z101" s="20" t="str">
        <f t="shared" ca="1" si="44"/>
        <v>ON</v>
      </c>
      <c r="AA101" s="1" t="str">
        <f t="shared" ca="1" si="45"/>
        <v>OFF</v>
      </c>
      <c r="AB101" s="1" t="str">
        <f t="shared" ca="1" si="46"/>
        <v>ON</v>
      </c>
      <c r="AC101" s="1" t="str">
        <f t="shared" ca="1" si="47"/>
        <v>ON</v>
      </c>
      <c r="AD101" s="1" t="str">
        <f t="shared" ca="1" si="48"/>
        <v>ON</v>
      </c>
      <c r="AE101" s="1"/>
      <c r="AF101" s="20" t="str">
        <f t="shared" ca="1" si="49"/>
        <v>ON</v>
      </c>
      <c r="AG101" s="20" t="str">
        <f t="shared" ca="1" si="49"/>
        <v>ON</v>
      </c>
      <c r="AH101" s="1" t="str">
        <f t="shared" ca="1" si="50"/>
        <v>ON</v>
      </c>
      <c r="AI101" s="1" t="str">
        <f t="shared" ca="1" si="51"/>
        <v>ON</v>
      </c>
      <c r="AJ101" s="1" t="str">
        <f t="shared" ca="1" si="52"/>
        <v>ON</v>
      </c>
      <c r="AK101" s="1" t="str">
        <f t="shared" ca="1" si="53"/>
        <v>ON</v>
      </c>
      <c r="AL101" s="1"/>
      <c r="AM101" s="20" t="str">
        <f t="shared" si="54"/>
        <v>ON</v>
      </c>
      <c r="AN101" s="20" t="str">
        <f t="shared" si="54"/>
        <v>ON</v>
      </c>
      <c r="AO101" s="20" t="str">
        <f t="shared" si="55"/>
        <v>ON</v>
      </c>
    </row>
    <row r="102" spans="1:41">
      <c r="A102" t="str">
        <f t="shared" ca="1" si="29"/>
        <v>Oyo</v>
      </c>
      <c r="B102" t="str">
        <f t="shared" ca="1" si="30"/>
        <v>B</v>
      </c>
      <c r="C102" t="str">
        <f t="shared" ca="1" si="31"/>
        <v>A1</v>
      </c>
      <c r="D102" t="s">
        <v>9</v>
      </c>
      <c r="E102">
        <f t="shared" ca="1" si="32"/>
        <v>25</v>
      </c>
      <c r="F102">
        <f t="shared" ca="1" si="33"/>
        <v>2</v>
      </c>
      <c r="G102" t="str">
        <v>B</v>
      </c>
      <c r="H102" t="str">
        <v>B</v>
      </c>
      <c r="I102" t="str">
        <f ca="1">IF($A102="","",IF(COUNTA($R$2:$W$2)=6,"WK "&amp;_xlfn.ISOWEEKNUM($R$2)))</f>
        <v>WK 19</v>
      </c>
      <c r="J102" t="str">
        <f ca="1">IF($A102="","",IF(COUNTA($AF$2:$AK$2)=6,"WK "&amp;_xlfn.ISOWEEKNUM($AF$2)))</f>
        <v>WK 21</v>
      </c>
      <c r="K102" s="20" t="str">
        <f t="shared" ca="1" si="34"/>
        <v>ON</v>
      </c>
      <c r="L102" s="20" t="str">
        <f t="shared" ca="1" si="34"/>
        <v>ON</v>
      </c>
      <c r="M102" s="1" t="str">
        <f t="shared" ca="1" si="35"/>
        <v>ON</v>
      </c>
      <c r="N102" s="1" t="str">
        <f t="shared" ca="1" si="36"/>
        <v>ON</v>
      </c>
      <c r="O102" s="1" t="str">
        <f t="shared" ca="1" si="37"/>
        <v>ON</v>
      </c>
      <c r="P102" s="1" t="str">
        <f t="shared" ca="1" si="38"/>
        <v>ON</v>
      </c>
      <c r="Q102" s="1"/>
      <c r="R102" s="20" t="str">
        <f t="shared" ca="1" si="39"/>
        <v>ON</v>
      </c>
      <c r="S102" s="20" t="str">
        <f t="shared" ca="1" si="39"/>
        <v>ON</v>
      </c>
      <c r="T102" s="1" t="str">
        <f t="shared" ca="1" si="40"/>
        <v>ON</v>
      </c>
      <c r="U102" s="1" t="str">
        <f t="shared" ca="1" si="41"/>
        <v>OFF</v>
      </c>
      <c r="V102" s="1" t="str">
        <f t="shared" ca="1" si="42"/>
        <v>ON</v>
      </c>
      <c r="W102" s="1" t="str">
        <f t="shared" ca="1" si="43"/>
        <v>ON</v>
      </c>
      <c r="X102" s="1"/>
      <c r="Y102" s="20" t="str">
        <f t="shared" ca="1" si="44"/>
        <v>ON</v>
      </c>
      <c r="Z102" s="20" t="str">
        <f t="shared" ca="1" si="44"/>
        <v>ON</v>
      </c>
      <c r="AA102" s="1" t="str">
        <f t="shared" ca="1" si="45"/>
        <v>ON</v>
      </c>
      <c r="AB102" s="1" t="str">
        <f t="shared" ca="1" si="46"/>
        <v>ON</v>
      </c>
      <c r="AC102" s="1" t="str">
        <f t="shared" ca="1" si="47"/>
        <v>ON</v>
      </c>
      <c r="AD102" s="1" t="str">
        <f t="shared" ca="1" si="48"/>
        <v>ON</v>
      </c>
      <c r="AE102" s="1"/>
      <c r="AF102" s="20" t="str">
        <f t="shared" ca="1" si="49"/>
        <v>ON</v>
      </c>
      <c r="AG102" s="20" t="str">
        <f t="shared" ca="1" si="49"/>
        <v>ON</v>
      </c>
      <c r="AH102" s="1" t="str">
        <f t="shared" ca="1" si="50"/>
        <v>ON</v>
      </c>
      <c r="AI102" s="1" t="str">
        <f t="shared" ca="1" si="51"/>
        <v>OFF</v>
      </c>
      <c r="AJ102" s="1" t="str">
        <f t="shared" ca="1" si="52"/>
        <v>ON</v>
      </c>
      <c r="AK102" s="1" t="str">
        <f t="shared" ca="1" si="53"/>
        <v>ON</v>
      </c>
      <c r="AL102" s="1"/>
      <c r="AM102" s="20" t="str">
        <f t="shared" si="54"/>
        <v>ON</v>
      </c>
      <c r="AN102" s="20" t="str">
        <f t="shared" si="54"/>
        <v>ON</v>
      </c>
      <c r="AO102" s="20" t="str">
        <f t="shared" si="55"/>
        <v>ON</v>
      </c>
    </row>
    <row r="103" spans="1:41">
      <c r="A103" t="str">
        <f t="shared" ca="1" si="29"/>
        <v>Ekiti</v>
      </c>
      <c r="B103" t="str">
        <f t="shared" ca="1" si="30"/>
        <v>B</v>
      </c>
      <c r="C103" t="str">
        <f t="shared" ca="1" si="31"/>
        <v>B1</v>
      </c>
      <c r="D103" t="s">
        <v>5</v>
      </c>
      <c r="E103">
        <f t="shared" ca="1" si="32"/>
        <v>25</v>
      </c>
      <c r="F103">
        <f t="shared" ca="1" si="33"/>
        <v>2</v>
      </c>
      <c r="G103" t="str">
        <v>C</v>
      </c>
      <c r="H103" t="str">
        <v>C</v>
      </c>
      <c r="I103" t="str">
        <f ca="1">IF($A103="","",IF(COUNTA($K$2:$P$2)=6,"WK "&amp;_xlfn.ISOWEEKNUM($K$2)))</f>
        <v>WK 18</v>
      </c>
      <c r="J103" t="str">
        <f ca="1">IF($A103="","",IF(COUNTA($Y$2:$AD$2)=6,"WK "&amp;_xlfn.ISOWEEKNUM($Y$2)))</f>
        <v>WK 20</v>
      </c>
      <c r="K103" s="20" t="str">
        <f t="shared" ca="1" si="34"/>
        <v>ON</v>
      </c>
      <c r="L103" s="20" t="str">
        <f t="shared" ca="1" si="34"/>
        <v>ON</v>
      </c>
      <c r="M103" s="1" t="str">
        <f t="shared" ca="1" si="35"/>
        <v>ON</v>
      </c>
      <c r="N103" s="1" t="str">
        <f t="shared" ca="1" si="36"/>
        <v>ON</v>
      </c>
      <c r="O103" s="1" t="str">
        <f t="shared" ca="1" si="37"/>
        <v>OFF</v>
      </c>
      <c r="P103" s="1" t="str">
        <f t="shared" ca="1" si="38"/>
        <v>ON</v>
      </c>
      <c r="Q103" s="1"/>
      <c r="R103" s="20" t="str">
        <f t="shared" ca="1" si="39"/>
        <v>ON</v>
      </c>
      <c r="S103" s="20" t="str">
        <f t="shared" ca="1" si="39"/>
        <v>ON</v>
      </c>
      <c r="T103" s="1" t="str">
        <f t="shared" ca="1" si="40"/>
        <v>ON</v>
      </c>
      <c r="U103" s="1" t="str">
        <f t="shared" ca="1" si="41"/>
        <v>ON</v>
      </c>
      <c r="V103" s="1" t="str">
        <f t="shared" ca="1" si="42"/>
        <v>ON</v>
      </c>
      <c r="W103" s="1" t="str">
        <f t="shared" ca="1" si="43"/>
        <v>ON</v>
      </c>
      <c r="X103" s="1"/>
      <c r="Y103" s="20" t="str">
        <f t="shared" ca="1" si="44"/>
        <v>ON</v>
      </c>
      <c r="Z103" s="20" t="str">
        <f t="shared" ca="1" si="44"/>
        <v>ON</v>
      </c>
      <c r="AA103" s="1" t="str">
        <f t="shared" ca="1" si="45"/>
        <v>ON</v>
      </c>
      <c r="AB103" s="1" t="str">
        <f t="shared" ca="1" si="46"/>
        <v>ON</v>
      </c>
      <c r="AC103" s="1" t="str">
        <f t="shared" ca="1" si="47"/>
        <v>OFF</v>
      </c>
      <c r="AD103" s="1" t="str">
        <f t="shared" ca="1" si="48"/>
        <v>ON</v>
      </c>
      <c r="AE103" s="1"/>
      <c r="AF103" s="20" t="str">
        <f t="shared" ca="1" si="49"/>
        <v>ON</v>
      </c>
      <c r="AG103" s="20" t="str">
        <f t="shared" ca="1" si="49"/>
        <v>ON</v>
      </c>
      <c r="AH103" s="1" t="str">
        <f t="shared" ca="1" si="50"/>
        <v>ON</v>
      </c>
      <c r="AI103" s="1" t="str">
        <f t="shared" ca="1" si="51"/>
        <v>ON</v>
      </c>
      <c r="AJ103" s="1" t="str">
        <f t="shared" ca="1" si="52"/>
        <v>ON</v>
      </c>
      <c r="AK103" s="1" t="str">
        <f t="shared" ca="1" si="53"/>
        <v>ON</v>
      </c>
      <c r="AL103" s="1"/>
      <c r="AM103" s="20" t="str">
        <f t="shared" si="54"/>
        <v>ON</v>
      </c>
      <c r="AN103" s="20" t="str">
        <f t="shared" si="54"/>
        <v>ON</v>
      </c>
      <c r="AO103" s="20" t="str">
        <f t="shared" si="55"/>
        <v>ON</v>
      </c>
    </row>
    <row r="104" spans="1:41">
      <c r="A104" t="str">
        <f t="shared" ca="1" si="29"/>
        <v>Lagos</v>
      </c>
      <c r="B104" t="str">
        <f t="shared" ca="1" si="30"/>
        <v>E</v>
      </c>
      <c r="C104" t="str">
        <f t="shared" ca="1" si="31"/>
        <v>B1</v>
      </c>
      <c r="D104" t="s">
        <v>8</v>
      </c>
      <c r="E104">
        <f t="shared" ca="1" si="32"/>
        <v>25</v>
      </c>
      <c r="F104">
        <f t="shared" ca="1" si="33"/>
        <v>2</v>
      </c>
      <c r="G104" t="str">
        <v>D</v>
      </c>
      <c r="H104" t="str">
        <v>D</v>
      </c>
      <c r="I104" t="str">
        <f ca="1">IF($A104="","",IF(COUNTA($R$2:$W$2)=6,"WK "&amp;_xlfn.ISOWEEKNUM($R$2)))</f>
        <v>WK 19</v>
      </c>
      <c r="J104" t="str">
        <f ca="1">IF($A104="","",IF(COUNTA($AF$2:$AK$2)=6,"WK "&amp;_xlfn.ISOWEEKNUM($AF$2)))</f>
        <v>WK 21</v>
      </c>
      <c r="K104" s="20" t="str">
        <f t="shared" ca="1" si="34"/>
        <v>ON</v>
      </c>
      <c r="L104" s="20" t="str">
        <f t="shared" ca="1" si="34"/>
        <v>ON</v>
      </c>
      <c r="M104" s="1" t="str">
        <f t="shared" ca="1" si="35"/>
        <v>ON</v>
      </c>
      <c r="N104" s="1" t="str">
        <f t="shared" ca="1" si="36"/>
        <v>ON</v>
      </c>
      <c r="O104" s="1" t="str">
        <f t="shared" ca="1" si="37"/>
        <v>ON</v>
      </c>
      <c r="P104" s="1" t="str">
        <f t="shared" ca="1" si="38"/>
        <v>ON</v>
      </c>
      <c r="Q104" s="1"/>
      <c r="R104" s="20" t="str">
        <f t="shared" ca="1" si="39"/>
        <v>ON</v>
      </c>
      <c r="S104" s="20" t="str">
        <f t="shared" ca="1" si="39"/>
        <v>ON</v>
      </c>
      <c r="T104" s="1" t="str">
        <f t="shared" ca="1" si="40"/>
        <v>ON</v>
      </c>
      <c r="U104" s="1" t="str">
        <f t="shared" ca="1" si="41"/>
        <v>ON</v>
      </c>
      <c r="V104" s="1" t="str">
        <f t="shared" ca="1" si="42"/>
        <v>ON</v>
      </c>
      <c r="W104" s="1" t="str">
        <f t="shared" ca="1" si="43"/>
        <v>OFF</v>
      </c>
      <c r="X104" s="1"/>
      <c r="Y104" s="20" t="str">
        <f t="shared" ca="1" si="44"/>
        <v>ON</v>
      </c>
      <c r="Z104" s="20" t="str">
        <f t="shared" ca="1" si="44"/>
        <v>ON</v>
      </c>
      <c r="AA104" s="1" t="str">
        <f t="shared" ca="1" si="45"/>
        <v>ON</v>
      </c>
      <c r="AB104" s="1" t="str">
        <f t="shared" ca="1" si="46"/>
        <v>ON</v>
      </c>
      <c r="AC104" s="1" t="str">
        <f t="shared" ca="1" si="47"/>
        <v>ON</v>
      </c>
      <c r="AD104" s="1" t="str">
        <f t="shared" ca="1" si="48"/>
        <v>ON</v>
      </c>
      <c r="AE104" s="1"/>
      <c r="AF104" s="20" t="str">
        <f t="shared" ca="1" si="49"/>
        <v>ON</v>
      </c>
      <c r="AG104" s="20" t="str">
        <f t="shared" ca="1" si="49"/>
        <v>ON</v>
      </c>
      <c r="AH104" s="1" t="str">
        <f t="shared" ca="1" si="50"/>
        <v>ON</v>
      </c>
      <c r="AI104" s="1" t="str">
        <f t="shared" ca="1" si="51"/>
        <v>ON</v>
      </c>
      <c r="AJ104" s="1" t="str">
        <f t="shared" ca="1" si="52"/>
        <v>ON</v>
      </c>
      <c r="AK104" s="1" t="str">
        <f t="shared" ca="1" si="53"/>
        <v>OFF</v>
      </c>
      <c r="AL104" s="1"/>
      <c r="AM104" s="20" t="str">
        <f t="shared" si="54"/>
        <v>ON</v>
      </c>
      <c r="AN104" s="20" t="str">
        <f t="shared" si="54"/>
        <v>ON</v>
      </c>
      <c r="AO104" s="20" t="str">
        <f t="shared" si="55"/>
        <v>ON</v>
      </c>
    </row>
    <row r="105" spans="1:41">
      <c r="A105" t="str">
        <f t="shared" ca="1" si="29"/>
        <v>Oyo</v>
      </c>
      <c r="B105" t="str">
        <f t="shared" ca="1" si="30"/>
        <v>E</v>
      </c>
      <c r="C105" t="str">
        <f t="shared" ca="1" si="31"/>
        <v>B1</v>
      </c>
      <c r="D105" t="s">
        <v>7</v>
      </c>
      <c r="E105">
        <f t="shared" ca="1" si="32"/>
        <v>25</v>
      </c>
      <c r="F105">
        <f t="shared" ca="1" si="33"/>
        <v>2</v>
      </c>
      <c r="G105" t="str" cm="1">
        <f t="array" ref="G105:G108">IF($G$5:$G$8={"A";"B";"C";"D"},{"D";"C";"B";"A"},{"A";"B";"C";"D"})</f>
        <v>D</v>
      </c>
      <c r="H105" t="str" cm="1">
        <f t="array" ref="H105:H108">IF($H$5:$H$8={"A";"B";"C";"D"},{"D";"C";"B";"A"},{"A";"B";"C";"D"})</f>
        <v>D</v>
      </c>
      <c r="I105" t="str">
        <f ca="1">IF($A105="","",IF(COUNTA($K$2:$P$2)=6,"WK "&amp;_xlfn.ISOWEEKNUM($K$2)))</f>
        <v>WK 18</v>
      </c>
      <c r="J105" t="str">
        <f ca="1">IF($A105="","",IF(COUNTA($Y$2:$AD$2)=6,"WK "&amp;_xlfn.ISOWEEKNUM($Y$2)))</f>
        <v>WK 20</v>
      </c>
      <c r="K105" s="20" t="str">
        <f t="shared" ca="1" si="34"/>
        <v>ON</v>
      </c>
      <c r="L105" s="20" t="str">
        <f t="shared" ca="1" si="34"/>
        <v>ON</v>
      </c>
      <c r="M105" s="1" t="str">
        <f t="shared" ca="1" si="35"/>
        <v>ON</v>
      </c>
      <c r="N105" s="1" t="str">
        <f t="shared" ca="1" si="36"/>
        <v>ON</v>
      </c>
      <c r="O105" s="1" t="str">
        <f t="shared" ca="1" si="37"/>
        <v>ON</v>
      </c>
      <c r="P105" s="1" t="str">
        <f t="shared" ca="1" si="38"/>
        <v>OFF</v>
      </c>
      <c r="Q105" s="1"/>
      <c r="R105" s="20" t="str">
        <f t="shared" ca="1" si="39"/>
        <v>ON</v>
      </c>
      <c r="S105" s="20" t="str">
        <f t="shared" ca="1" si="39"/>
        <v>ON</v>
      </c>
      <c r="T105" s="1" t="str">
        <f t="shared" ca="1" si="40"/>
        <v>ON</v>
      </c>
      <c r="U105" s="1" t="str">
        <f t="shared" ca="1" si="41"/>
        <v>ON</v>
      </c>
      <c r="V105" s="1" t="str">
        <f t="shared" ca="1" si="42"/>
        <v>ON</v>
      </c>
      <c r="W105" s="1" t="str">
        <f t="shared" ca="1" si="43"/>
        <v>ON</v>
      </c>
      <c r="X105" s="1"/>
      <c r="Y105" s="20" t="str">
        <f t="shared" ca="1" si="44"/>
        <v>ON</v>
      </c>
      <c r="Z105" s="20" t="str">
        <f t="shared" ca="1" si="44"/>
        <v>ON</v>
      </c>
      <c r="AA105" s="1" t="str">
        <f t="shared" ca="1" si="45"/>
        <v>ON</v>
      </c>
      <c r="AB105" s="1" t="str">
        <f t="shared" ca="1" si="46"/>
        <v>ON</v>
      </c>
      <c r="AC105" s="1" t="str">
        <f t="shared" ca="1" si="47"/>
        <v>ON</v>
      </c>
      <c r="AD105" s="1" t="str">
        <f t="shared" ca="1" si="48"/>
        <v>OFF</v>
      </c>
      <c r="AE105" s="1"/>
      <c r="AF105" s="20" t="str">
        <f t="shared" ca="1" si="49"/>
        <v>ON</v>
      </c>
      <c r="AG105" s="20" t="str">
        <f t="shared" ca="1" si="49"/>
        <v>ON</v>
      </c>
      <c r="AH105" s="1" t="str">
        <f t="shared" ca="1" si="50"/>
        <v>ON</v>
      </c>
      <c r="AI105" s="1" t="str">
        <f t="shared" ca="1" si="51"/>
        <v>ON</v>
      </c>
      <c r="AJ105" s="1" t="str">
        <f t="shared" ca="1" si="52"/>
        <v>ON</v>
      </c>
      <c r="AK105" s="1" t="str">
        <f t="shared" ca="1" si="53"/>
        <v>ON</v>
      </c>
      <c r="AL105" s="1"/>
      <c r="AM105" s="20" t="str">
        <f t="shared" si="54"/>
        <v>ON</v>
      </c>
      <c r="AN105" s="20" t="str">
        <f t="shared" si="54"/>
        <v>ON</v>
      </c>
      <c r="AO105" s="20" t="str">
        <f t="shared" si="55"/>
        <v>ON</v>
      </c>
    </row>
    <row r="106" spans="1:41">
      <c r="A106" t="str">
        <f t="shared" ca="1" si="29"/>
        <v>Oyo</v>
      </c>
      <c r="B106" t="str">
        <f t="shared" ca="1" si="30"/>
        <v>E</v>
      </c>
      <c r="C106" t="str">
        <f t="shared" ca="1" si="31"/>
        <v>B1</v>
      </c>
      <c r="D106" t="s">
        <v>7</v>
      </c>
      <c r="E106">
        <f t="shared" ca="1" si="32"/>
        <v>25</v>
      </c>
      <c r="F106">
        <f t="shared" ca="1" si="33"/>
        <v>2</v>
      </c>
      <c r="G106" t="str">
        <v>C</v>
      </c>
      <c r="H106" t="str">
        <v>C</v>
      </c>
      <c r="I106" t="str">
        <f ca="1">IF($A106="","",IF(COUNTA($R$2:$W$2)=6,"WK "&amp;_xlfn.ISOWEEKNUM($R$2)))</f>
        <v>WK 19</v>
      </c>
      <c r="J106" t="str">
        <f ca="1">IF($A106="","",IF(COUNTA($AF$2:$AK$2)=6,"WK "&amp;_xlfn.ISOWEEKNUM($AF$2)))</f>
        <v>WK 21</v>
      </c>
      <c r="K106" s="20" t="str">
        <f t="shared" ca="1" si="34"/>
        <v>ON</v>
      </c>
      <c r="L106" s="20" t="str">
        <f t="shared" ca="1" si="34"/>
        <v>ON</v>
      </c>
      <c r="M106" s="1" t="str">
        <f t="shared" ca="1" si="35"/>
        <v>ON</v>
      </c>
      <c r="N106" s="1" t="str">
        <f t="shared" ca="1" si="36"/>
        <v>ON</v>
      </c>
      <c r="O106" s="1" t="str">
        <f t="shared" ca="1" si="37"/>
        <v>ON</v>
      </c>
      <c r="P106" s="1" t="str">
        <f t="shared" ca="1" si="38"/>
        <v>ON</v>
      </c>
      <c r="Q106" s="1"/>
      <c r="R106" s="20" t="str">
        <f t="shared" ca="1" si="39"/>
        <v>ON</v>
      </c>
      <c r="S106" s="20" t="str">
        <f t="shared" ca="1" si="39"/>
        <v>ON</v>
      </c>
      <c r="T106" s="1" t="str">
        <f t="shared" ca="1" si="40"/>
        <v>ON</v>
      </c>
      <c r="U106" s="1" t="str">
        <f t="shared" ca="1" si="41"/>
        <v>ON</v>
      </c>
      <c r="V106" s="1" t="str">
        <f t="shared" ca="1" si="42"/>
        <v>OFF</v>
      </c>
      <c r="W106" s="1" t="str">
        <f t="shared" ca="1" si="43"/>
        <v>ON</v>
      </c>
      <c r="X106" s="1"/>
      <c r="Y106" s="20" t="str">
        <f t="shared" ca="1" si="44"/>
        <v>ON</v>
      </c>
      <c r="Z106" s="20" t="str">
        <f t="shared" ca="1" si="44"/>
        <v>ON</v>
      </c>
      <c r="AA106" s="1" t="str">
        <f t="shared" ca="1" si="45"/>
        <v>ON</v>
      </c>
      <c r="AB106" s="1" t="str">
        <f t="shared" ca="1" si="46"/>
        <v>ON</v>
      </c>
      <c r="AC106" s="1" t="str">
        <f t="shared" ca="1" si="47"/>
        <v>ON</v>
      </c>
      <c r="AD106" s="1" t="str">
        <f t="shared" ca="1" si="48"/>
        <v>ON</v>
      </c>
      <c r="AE106" s="1"/>
      <c r="AF106" s="20" t="str">
        <f t="shared" ca="1" si="49"/>
        <v>ON</v>
      </c>
      <c r="AG106" s="20" t="str">
        <f t="shared" ca="1" si="49"/>
        <v>ON</v>
      </c>
      <c r="AH106" s="1" t="str">
        <f t="shared" ca="1" si="50"/>
        <v>ON</v>
      </c>
      <c r="AI106" s="1" t="str">
        <f t="shared" ca="1" si="51"/>
        <v>ON</v>
      </c>
      <c r="AJ106" s="1" t="str">
        <f t="shared" ca="1" si="52"/>
        <v>OFF</v>
      </c>
      <c r="AK106" s="1" t="str">
        <f t="shared" ca="1" si="53"/>
        <v>ON</v>
      </c>
      <c r="AL106" s="1"/>
      <c r="AM106" s="20" t="str">
        <f t="shared" si="54"/>
        <v>ON</v>
      </c>
      <c r="AN106" s="20" t="str">
        <f t="shared" si="54"/>
        <v>ON</v>
      </c>
      <c r="AO106" s="20" t="str">
        <f t="shared" si="55"/>
        <v>ON</v>
      </c>
    </row>
    <row r="107" spans="1:41">
      <c r="A107" t="str">
        <f t="shared" ca="1" si="29"/>
        <v>Oyo</v>
      </c>
      <c r="B107" t="str">
        <f t="shared" ca="1" si="30"/>
        <v>A</v>
      </c>
      <c r="C107" t="str">
        <f t="shared" ca="1" si="31"/>
        <v>D1</v>
      </c>
      <c r="D107" t="s">
        <v>7</v>
      </c>
      <c r="E107">
        <f t="shared" ca="1" si="32"/>
        <v>25</v>
      </c>
      <c r="F107">
        <f t="shared" ca="1" si="33"/>
        <v>2</v>
      </c>
      <c r="G107" t="str">
        <v>B</v>
      </c>
      <c r="H107" t="str">
        <v>B</v>
      </c>
      <c r="I107" t="str">
        <f ca="1">IF($A107="","",IF(COUNTA($K$2:$P$2)=6,"WK "&amp;_xlfn.ISOWEEKNUM($K$2)))</f>
        <v>WK 18</v>
      </c>
      <c r="J107" t="str">
        <f ca="1">IF($A107="","",IF(COUNTA($Y$2:$AD$2)=6,"WK "&amp;_xlfn.ISOWEEKNUM($Y$2)))</f>
        <v>WK 20</v>
      </c>
      <c r="K107" s="20" t="str">
        <f t="shared" ca="1" si="34"/>
        <v>ON</v>
      </c>
      <c r="L107" s="20" t="str">
        <f t="shared" ca="1" si="34"/>
        <v>ON</v>
      </c>
      <c r="M107" s="1" t="str">
        <f t="shared" ca="1" si="35"/>
        <v>ON</v>
      </c>
      <c r="N107" s="1" t="str">
        <f t="shared" ca="1" si="36"/>
        <v>OFF</v>
      </c>
      <c r="O107" s="1" t="str">
        <f t="shared" ca="1" si="37"/>
        <v>ON</v>
      </c>
      <c r="P107" s="1" t="str">
        <f t="shared" ca="1" si="38"/>
        <v>ON</v>
      </c>
      <c r="Q107" s="1"/>
      <c r="R107" s="20" t="str">
        <f t="shared" ca="1" si="39"/>
        <v>ON</v>
      </c>
      <c r="S107" s="20" t="str">
        <f t="shared" ca="1" si="39"/>
        <v>ON</v>
      </c>
      <c r="T107" s="1" t="str">
        <f t="shared" ca="1" si="40"/>
        <v>ON</v>
      </c>
      <c r="U107" s="1" t="str">
        <f t="shared" ca="1" si="41"/>
        <v>ON</v>
      </c>
      <c r="V107" s="1" t="str">
        <f t="shared" ca="1" si="42"/>
        <v>ON</v>
      </c>
      <c r="W107" s="1" t="str">
        <f t="shared" ca="1" si="43"/>
        <v>ON</v>
      </c>
      <c r="X107" s="1"/>
      <c r="Y107" s="20" t="str">
        <f t="shared" ca="1" si="44"/>
        <v>ON</v>
      </c>
      <c r="Z107" s="20" t="str">
        <f t="shared" ca="1" si="44"/>
        <v>ON</v>
      </c>
      <c r="AA107" s="1" t="str">
        <f t="shared" ca="1" si="45"/>
        <v>ON</v>
      </c>
      <c r="AB107" s="1" t="str">
        <f t="shared" ca="1" si="46"/>
        <v>OFF</v>
      </c>
      <c r="AC107" s="1" t="str">
        <f t="shared" ca="1" si="47"/>
        <v>ON</v>
      </c>
      <c r="AD107" s="1" t="str">
        <f t="shared" ca="1" si="48"/>
        <v>ON</v>
      </c>
      <c r="AE107" s="1"/>
      <c r="AF107" s="20" t="str">
        <f t="shared" ca="1" si="49"/>
        <v>ON</v>
      </c>
      <c r="AG107" s="20" t="str">
        <f t="shared" ca="1" si="49"/>
        <v>ON</v>
      </c>
      <c r="AH107" s="1" t="str">
        <f t="shared" ca="1" si="50"/>
        <v>ON</v>
      </c>
      <c r="AI107" s="1" t="str">
        <f t="shared" ca="1" si="51"/>
        <v>ON</v>
      </c>
      <c r="AJ107" s="1" t="str">
        <f t="shared" ca="1" si="52"/>
        <v>ON</v>
      </c>
      <c r="AK107" s="1" t="str">
        <f t="shared" ca="1" si="53"/>
        <v>ON</v>
      </c>
      <c r="AL107" s="1"/>
      <c r="AM107" s="20" t="str">
        <f t="shared" si="54"/>
        <v>ON</v>
      </c>
      <c r="AN107" s="20" t="str">
        <f t="shared" si="54"/>
        <v>ON</v>
      </c>
      <c r="AO107" s="20" t="str">
        <f t="shared" si="55"/>
        <v>ON</v>
      </c>
    </row>
    <row r="108" spans="1:41">
      <c r="A108" t="str">
        <f t="shared" ca="1" si="29"/>
        <v>Oyo</v>
      </c>
      <c r="B108" t="str">
        <f t="shared" ca="1" si="30"/>
        <v>E</v>
      </c>
      <c r="C108" t="str">
        <f t="shared" ca="1" si="31"/>
        <v>D1</v>
      </c>
      <c r="D108" t="s">
        <v>7</v>
      </c>
      <c r="E108">
        <f t="shared" ca="1" si="32"/>
        <v>25</v>
      </c>
      <c r="F108">
        <f t="shared" ca="1" si="33"/>
        <v>2</v>
      </c>
      <c r="G108" t="str">
        <v>A</v>
      </c>
      <c r="H108" t="str">
        <v>A</v>
      </c>
      <c r="I108" t="str">
        <f ca="1">IF($A108="","",IF(COUNTA($R$2:$W$2)=6,"WK "&amp;_xlfn.ISOWEEKNUM($R$2)))</f>
        <v>WK 19</v>
      </c>
      <c r="J108" t="str">
        <f ca="1">IF($A108="","",IF(COUNTA($AF$2:$AK$2)=6,"WK "&amp;_xlfn.ISOWEEKNUM($AF$2)))</f>
        <v>WK 21</v>
      </c>
      <c r="K108" s="20" t="str">
        <f t="shared" ca="1" si="34"/>
        <v>ON</v>
      </c>
      <c r="L108" s="20" t="str">
        <f t="shared" ca="1" si="34"/>
        <v>ON</v>
      </c>
      <c r="M108" s="1" t="str">
        <f t="shared" ca="1" si="35"/>
        <v>ON</v>
      </c>
      <c r="N108" s="1" t="str">
        <f t="shared" ca="1" si="36"/>
        <v>ON</v>
      </c>
      <c r="O108" s="1" t="str">
        <f t="shared" ca="1" si="37"/>
        <v>ON</v>
      </c>
      <c r="P108" s="1" t="str">
        <f t="shared" ca="1" si="38"/>
        <v>ON</v>
      </c>
      <c r="Q108" s="1"/>
      <c r="R108" s="20" t="str">
        <f t="shared" ca="1" si="39"/>
        <v>ON</v>
      </c>
      <c r="S108" s="20" t="str">
        <f t="shared" ca="1" si="39"/>
        <v>ON</v>
      </c>
      <c r="T108" s="1" t="str">
        <f t="shared" ca="1" si="40"/>
        <v>OFF</v>
      </c>
      <c r="U108" s="1" t="str">
        <f t="shared" ca="1" si="41"/>
        <v>ON</v>
      </c>
      <c r="V108" s="1" t="str">
        <f t="shared" ca="1" si="42"/>
        <v>ON</v>
      </c>
      <c r="W108" s="1" t="str">
        <f t="shared" ca="1" si="43"/>
        <v>ON</v>
      </c>
      <c r="X108" s="1"/>
      <c r="Y108" s="20" t="str">
        <f t="shared" ca="1" si="44"/>
        <v>ON</v>
      </c>
      <c r="Z108" s="20" t="str">
        <f t="shared" ca="1" si="44"/>
        <v>ON</v>
      </c>
      <c r="AA108" s="1" t="str">
        <f t="shared" ca="1" si="45"/>
        <v>ON</v>
      </c>
      <c r="AB108" s="1" t="str">
        <f t="shared" ca="1" si="46"/>
        <v>ON</v>
      </c>
      <c r="AC108" s="1" t="str">
        <f t="shared" ca="1" si="47"/>
        <v>ON</v>
      </c>
      <c r="AD108" s="1" t="str">
        <f t="shared" ca="1" si="48"/>
        <v>ON</v>
      </c>
      <c r="AE108" s="1"/>
      <c r="AF108" s="20" t="str">
        <f t="shared" ca="1" si="49"/>
        <v>ON</v>
      </c>
      <c r="AG108" s="20" t="str">
        <f t="shared" ca="1" si="49"/>
        <v>ON</v>
      </c>
      <c r="AH108" s="1" t="str">
        <f t="shared" ca="1" si="50"/>
        <v>OFF</v>
      </c>
      <c r="AI108" s="1" t="str">
        <f t="shared" ca="1" si="51"/>
        <v>ON</v>
      </c>
      <c r="AJ108" s="1" t="str">
        <f t="shared" ca="1" si="52"/>
        <v>ON</v>
      </c>
      <c r="AK108" s="1" t="str">
        <f t="shared" ca="1" si="53"/>
        <v>ON</v>
      </c>
      <c r="AL108" s="1"/>
      <c r="AM108" s="20" t="str">
        <f t="shared" si="54"/>
        <v>ON</v>
      </c>
      <c r="AN108" s="20" t="str">
        <f t="shared" si="54"/>
        <v>ON</v>
      </c>
      <c r="AO108" s="20" t="str">
        <f t="shared" si="55"/>
        <v>ON</v>
      </c>
    </row>
    <row r="109" spans="1:41">
      <c r="A109" t="str">
        <f t="shared" ca="1" si="29"/>
        <v>Oyo</v>
      </c>
      <c r="B109" t="str">
        <f t="shared" ca="1" si="30"/>
        <v>D</v>
      </c>
      <c r="C109" t="str">
        <f t="shared" ca="1" si="31"/>
        <v>C1</v>
      </c>
      <c r="D109" t="s">
        <v>7</v>
      </c>
      <c r="E109">
        <f t="shared" ca="1" si="32"/>
        <v>25</v>
      </c>
      <c r="F109">
        <f t="shared" ca="1" si="33"/>
        <v>2</v>
      </c>
      <c r="G109" t="str" cm="1">
        <f t="array" ref="G109:G112">Groups!$B$2:$B$5</f>
        <v>A</v>
      </c>
      <c r="H109" t="str" cm="1">
        <f t="array" ref="H109:H112">Groups!$B$2:$B$5</f>
        <v>A</v>
      </c>
      <c r="I109" t="str">
        <f ca="1">IF($A109="","",IF(COUNTA($K$2:$P$2)=6,"WK "&amp;_xlfn.ISOWEEKNUM($K$2)))</f>
        <v>WK 18</v>
      </c>
      <c r="J109" t="str">
        <f ca="1">IF($A109="","",IF(COUNTA($Y$2:$AD$2)=6,"WK "&amp;_xlfn.ISOWEEKNUM($Y$2)))</f>
        <v>WK 20</v>
      </c>
      <c r="K109" s="20" t="str">
        <f t="shared" ca="1" si="34"/>
        <v>ON</v>
      </c>
      <c r="L109" s="20" t="str">
        <f t="shared" ca="1" si="34"/>
        <v>ON</v>
      </c>
      <c r="M109" s="1" t="str">
        <f t="shared" ca="1" si="35"/>
        <v>OFF</v>
      </c>
      <c r="N109" s="1" t="str">
        <f t="shared" ca="1" si="36"/>
        <v>ON</v>
      </c>
      <c r="O109" s="1" t="str">
        <f t="shared" ca="1" si="37"/>
        <v>ON</v>
      </c>
      <c r="P109" s="1" t="str">
        <f t="shared" ca="1" si="38"/>
        <v>ON</v>
      </c>
      <c r="Q109" s="1"/>
      <c r="R109" s="20" t="str">
        <f t="shared" ca="1" si="39"/>
        <v>ON</v>
      </c>
      <c r="S109" s="20" t="str">
        <f t="shared" ca="1" si="39"/>
        <v>ON</v>
      </c>
      <c r="T109" s="1" t="str">
        <f t="shared" ca="1" si="40"/>
        <v>ON</v>
      </c>
      <c r="U109" s="1" t="str">
        <f t="shared" ca="1" si="41"/>
        <v>ON</v>
      </c>
      <c r="V109" s="1" t="str">
        <f t="shared" ca="1" si="42"/>
        <v>ON</v>
      </c>
      <c r="W109" s="1" t="str">
        <f t="shared" ca="1" si="43"/>
        <v>ON</v>
      </c>
      <c r="X109" s="1"/>
      <c r="Y109" s="20" t="str">
        <f t="shared" ca="1" si="44"/>
        <v>ON</v>
      </c>
      <c r="Z109" s="20" t="str">
        <f t="shared" ca="1" si="44"/>
        <v>ON</v>
      </c>
      <c r="AA109" s="1" t="str">
        <f t="shared" ca="1" si="45"/>
        <v>OFF</v>
      </c>
      <c r="AB109" s="1" t="str">
        <f t="shared" ca="1" si="46"/>
        <v>ON</v>
      </c>
      <c r="AC109" s="1" t="str">
        <f t="shared" ca="1" si="47"/>
        <v>ON</v>
      </c>
      <c r="AD109" s="1" t="str">
        <f t="shared" ca="1" si="48"/>
        <v>ON</v>
      </c>
      <c r="AE109" s="1"/>
      <c r="AF109" s="20" t="str">
        <f t="shared" ca="1" si="49"/>
        <v>ON</v>
      </c>
      <c r="AG109" s="20" t="str">
        <f t="shared" ca="1" si="49"/>
        <v>ON</v>
      </c>
      <c r="AH109" s="1" t="str">
        <f t="shared" ca="1" si="50"/>
        <v>ON</v>
      </c>
      <c r="AI109" s="1" t="str">
        <f t="shared" ca="1" si="51"/>
        <v>ON</v>
      </c>
      <c r="AJ109" s="1" t="str">
        <f t="shared" ca="1" si="52"/>
        <v>ON</v>
      </c>
      <c r="AK109" s="1" t="str">
        <f t="shared" ca="1" si="53"/>
        <v>ON</v>
      </c>
      <c r="AL109" s="1"/>
      <c r="AM109" s="20" t="str">
        <f t="shared" si="54"/>
        <v>ON</v>
      </c>
      <c r="AN109" s="20" t="str">
        <f t="shared" si="54"/>
        <v>ON</v>
      </c>
      <c r="AO109" s="20" t="str">
        <f t="shared" si="55"/>
        <v>ON</v>
      </c>
    </row>
    <row r="110" spans="1:41">
      <c r="A110" t="str">
        <f t="shared" ca="1" si="29"/>
        <v>Oyo</v>
      </c>
      <c r="B110" t="str">
        <f t="shared" ca="1" si="30"/>
        <v>E</v>
      </c>
      <c r="C110" t="str">
        <f t="shared" ca="1" si="31"/>
        <v>D1</v>
      </c>
      <c r="D110" t="s">
        <v>7</v>
      </c>
      <c r="E110">
        <f t="shared" ca="1" si="32"/>
        <v>25</v>
      </c>
      <c r="F110">
        <f t="shared" ca="1" si="33"/>
        <v>2</v>
      </c>
      <c r="G110" t="str">
        <v>B</v>
      </c>
      <c r="H110" t="str">
        <v>B</v>
      </c>
      <c r="I110" t="str">
        <f ca="1">IF($A110="","",IF(COUNTA($R$2:$W$2)=6,"WK "&amp;_xlfn.ISOWEEKNUM($R$2)))</f>
        <v>WK 19</v>
      </c>
      <c r="J110" t="str">
        <f ca="1">IF($A110="","",IF(COUNTA($AF$2:$AK$2)=6,"WK "&amp;_xlfn.ISOWEEKNUM($AF$2)))</f>
        <v>WK 21</v>
      </c>
      <c r="K110" s="20" t="str">
        <f t="shared" ca="1" si="34"/>
        <v>ON</v>
      </c>
      <c r="L110" s="20" t="str">
        <f t="shared" ca="1" si="34"/>
        <v>ON</v>
      </c>
      <c r="M110" s="1" t="str">
        <f t="shared" ca="1" si="35"/>
        <v>ON</v>
      </c>
      <c r="N110" s="1" t="str">
        <f t="shared" ca="1" si="36"/>
        <v>ON</v>
      </c>
      <c r="O110" s="1" t="str">
        <f t="shared" ca="1" si="37"/>
        <v>ON</v>
      </c>
      <c r="P110" s="1" t="str">
        <f t="shared" ca="1" si="38"/>
        <v>ON</v>
      </c>
      <c r="Q110" s="1"/>
      <c r="R110" s="20" t="str">
        <f t="shared" ca="1" si="39"/>
        <v>ON</v>
      </c>
      <c r="S110" s="20" t="str">
        <f t="shared" ca="1" si="39"/>
        <v>ON</v>
      </c>
      <c r="T110" s="1" t="str">
        <f t="shared" ca="1" si="40"/>
        <v>ON</v>
      </c>
      <c r="U110" s="1" t="str">
        <f t="shared" ca="1" si="41"/>
        <v>OFF</v>
      </c>
      <c r="V110" s="1" t="str">
        <f t="shared" ca="1" si="42"/>
        <v>ON</v>
      </c>
      <c r="W110" s="1" t="str">
        <f t="shared" ca="1" si="43"/>
        <v>ON</v>
      </c>
      <c r="X110" s="1"/>
      <c r="Y110" s="20" t="str">
        <f t="shared" ca="1" si="44"/>
        <v>ON</v>
      </c>
      <c r="Z110" s="20" t="str">
        <f t="shared" ca="1" si="44"/>
        <v>ON</v>
      </c>
      <c r="AA110" s="1" t="str">
        <f t="shared" ca="1" si="45"/>
        <v>ON</v>
      </c>
      <c r="AB110" s="1" t="str">
        <f t="shared" ca="1" si="46"/>
        <v>ON</v>
      </c>
      <c r="AC110" s="1" t="str">
        <f t="shared" ca="1" si="47"/>
        <v>ON</v>
      </c>
      <c r="AD110" s="1" t="str">
        <f t="shared" ca="1" si="48"/>
        <v>ON</v>
      </c>
      <c r="AE110" s="1"/>
      <c r="AF110" s="20" t="str">
        <f t="shared" ca="1" si="49"/>
        <v>ON</v>
      </c>
      <c r="AG110" s="20" t="str">
        <f t="shared" ca="1" si="49"/>
        <v>ON</v>
      </c>
      <c r="AH110" s="1" t="str">
        <f t="shared" ca="1" si="50"/>
        <v>ON</v>
      </c>
      <c r="AI110" s="1" t="str">
        <f t="shared" ca="1" si="51"/>
        <v>OFF</v>
      </c>
      <c r="AJ110" s="1" t="str">
        <f t="shared" ca="1" si="52"/>
        <v>ON</v>
      </c>
      <c r="AK110" s="1" t="str">
        <f t="shared" ca="1" si="53"/>
        <v>ON</v>
      </c>
      <c r="AL110" s="1"/>
      <c r="AM110" s="20" t="str">
        <f t="shared" si="54"/>
        <v>ON</v>
      </c>
      <c r="AN110" s="20" t="str">
        <f t="shared" si="54"/>
        <v>ON</v>
      </c>
      <c r="AO110" s="20" t="str">
        <f t="shared" si="55"/>
        <v>ON</v>
      </c>
    </row>
    <row r="111" spans="1:41">
      <c r="A111" t="str">
        <f t="shared" ca="1" si="29"/>
        <v>Lagos</v>
      </c>
      <c r="B111" t="str">
        <f t="shared" ca="1" si="30"/>
        <v>C</v>
      </c>
      <c r="C111" t="str">
        <f t="shared" ca="1" si="31"/>
        <v>A1</v>
      </c>
      <c r="D111" t="s">
        <v>7</v>
      </c>
      <c r="E111">
        <f t="shared" ca="1" si="32"/>
        <v>25</v>
      </c>
      <c r="F111">
        <f t="shared" ca="1" si="33"/>
        <v>2</v>
      </c>
      <c r="G111" t="str">
        <v>C</v>
      </c>
      <c r="H111" t="str">
        <v>C</v>
      </c>
      <c r="I111" t="str">
        <f ca="1">IF($A111="","",IF(COUNTA($K$2:$P$2)=6,"WK "&amp;_xlfn.ISOWEEKNUM($K$2)))</f>
        <v>WK 18</v>
      </c>
      <c r="J111" t="str">
        <f ca="1">IF($A111="","",IF(COUNTA($Y$2:$AD$2)=6,"WK "&amp;_xlfn.ISOWEEKNUM($Y$2)))</f>
        <v>WK 20</v>
      </c>
      <c r="K111" s="20" t="str">
        <f t="shared" ca="1" si="34"/>
        <v>ON</v>
      </c>
      <c r="L111" s="20" t="str">
        <f t="shared" ca="1" si="34"/>
        <v>ON</v>
      </c>
      <c r="M111" s="1" t="str">
        <f t="shared" ca="1" si="35"/>
        <v>ON</v>
      </c>
      <c r="N111" s="1" t="str">
        <f t="shared" ca="1" si="36"/>
        <v>ON</v>
      </c>
      <c r="O111" s="1" t="str">
        <f t="shared" ca="1" si="37"/>
        <v>OFF</v>
      </c>
      <c r="P111" s="1" t="str">
        <f t="shared" ca="1" si="38"/>
        <v>ON</v>
      </c>
      <c r="Q111" s="1"/>
      <c r="R111" s="20" t="str">
        <f t="shared" ca="1" si="39"/>
        <v>ON</v>
      </c>
      <c r="S111" s="20" t="str">
        <f t="shared" ca="1" si="39"/>
        <v>ON</v>
      </c>
      <c r="T111" s="1" t="str">
        <f t="shared" ca="1" si="40"/>
        <v>ON</v>
      </c>
      <c r="U111" s="1" t="str">
        <f t="shared" ca="1" si="41"/>
        <v>ON</v>
      </c>
      <c r="V111" s="1" t="str">
        <f t="shared" ca="1" si="42"/>
        <v>ON</v>
      </c>
      <c r="W111" s="1" t="str">
        <f t="shared" ca="1" si="43"/>
        <v>ON</v>
      </c>
      <c r="X111" s="1"/>
      <c r="Y111" s="20" t="str">
        <f t="shared" ca="1" si="44"/>
        <v>ON</v>
      </c>
      <c r="Z111" s="20" t="str">
        <f t="shared" ca="1" si="44"/>
        <v>ON</v>
      </c>
      <c r="AA111" s="1" t="str">
        <f t="shared" ca="1" si="45"/>
        <v>ON</v>
      </c>
      <c r="AB111" s="1" t="str">
        <f t="shared" ca="1" si="46"/>
        <v>ON</v>
      </c>
      <c r="AC111" s="1" t="str">
        <f t="shared" ca="1" si="47"/>
        <v>OFF</v>
      </c>
      <c r="AD111" s="1" t="str">
        <f t="shared" ca="1" si="48"/>
        <v>ON</v>
      </c>
      <c r="AE111" s="1"/>
      <c r="AF111" s="20" t="str">
        <f t="shared" ca="1" si="49"/>
        <v>ON</v>
      </c>
      <c r="AG111" s="20" t="str">
        <f t="shared" ca="1" si="49"/>
        <v>ON</v>
      </c>
      <c r="AH111" s="1" t="str">
        <f t="shared" ca="1" si="50"/>
        <v>ON</v>
      </c>
      <c r="AI111" s="1" t="str">
        <f t="shared" ca="1" si="51"/>
        <v>ON</v>
      </c>
      <c r="AJ111" s="1" t="str">
        <f t="shared" ca="1" si="52"/>
        <v>ON</v>
      </c>
      <c r="AK111" s="1" t="str">
        <f t="shared" ca="1" si="53"/>
        <v>ON</v>
      </c>
      <c r="AL111" s="1"/>
      <c r="AM111" s="20" t="str">
        <f t="shared" si="54"/>
        <v>ON</v>
      </c>
      <c r="AN111" s="20" t="str">
        <f t="shared" si="54"/>
        <v>ON</v>
      </c>
      <c r="AO111" s="20" t="str">
        <f t="shared" si="55"/>
        <v>ON</v>
      </c>
    </row>
    <row r="112" spans="1:41">
      <c r="A112" t="str">
        <f t="shared" ca="1" si="29"/>
        <v>Lagos</v>
      </c>
      <c r="B112" t="str">
        <f t="shared" ca="1" si="30"/>
        <v>D</v>
      </c>
      <c r="C112" t="str">
        <f t="shared" ca="1" si="31"/>
        <v>B1</v>
      </c>
      <c r="D112" t="s">
        <v>4</v>
      </c>
      <c r="E112">
        <f t="shared" ca="1" si="32"/>
        <v>25</v>
      </c>
      <c r="F112">
        <f t="shared" ca="1" si="33"/>
        <v>2</v>
      </c>
      <c r="G112" t="str">
        <v>D</v>
      </c>
      <c r="H112" t="str">
        <v>D</v>
      </c>
      <c r="I112" t="str">
        <f ca="1">IF($A112="","",IF(COUNTA($R$2:$W$2)=6,"WK "&amp;_xlfn.ISOWEEKNUM($R$2)))</f>
        <v>WK 19</v>
      </c>
      <c r="J112" t="str">
        <f ca="1">IF($A112="","",IF(COUNTA($AF$2:$AK$2)=6,"WK "&amp;_xlfn.ISOWEEKNUM($AF$2)))</f>
        <v>WK 21</v>
      </c>
      <c r="K112" s="20" t="str">
        <f t="shared" ca="1" si="34"/>
        <v>ON</v>
      </c>
      <c r="L112" s="20" t="str">
        <f t="shared" ca="1" si="34"/>
        <v>ON</v>
      </c>
      <c r="M112" s="1" t="str">
        <f t="shared" ca="1" si="35"/>
        <v>ON</v>
      </c>
      <c r="N112" s="1" t="str">
        <f t="shared" ca="1" si="36"/>
        <v>ON</v>
      </c>
      <c r="O112" s="1" t="str">
        <f t="shared" ca="1" si="37"/>
        <v>ON</v>
      </c>
      <c r="P112" s="1" t="str">
        <f t="shared" ca="1" si="38"/>
        <v>ON</v>
      </c>
      <c r="Q112" s="1"/>
      <c r="R112" s="20" t="str">
        <f t="shared" ca="1" si="39"/>
        <v>ON</v>
      </c>
      <c r="S112" s="20" t="str">
        <f t="shared" ca="1" si="39"/>
        <v>ON</v>
      </c>
      <c r="T112" s="1" t="str">
        <f t="shared" ca="1" si="40"/>
        <v>ON</v>
      </c>
      <c r="U112" s="1" t="str">
        <f t="shared" ca="1" si="41"/>
        <v>ON</v>
      </c>
      <c r="V112" s="1" t="str">
        <f t="shared" ca="1" si="42"/>
        <v>ON</v>
      </c>
      <c r="W112" s="1" t="str">
        <f t="shared" ca="1" si="43"/>
        <v>OFF</v>
      </c>
      <c r="X112" s="1"/>
      <c r="Y112" s="20" t="str">
        <f t="shared" ca="1" si="44"/>
        <v>ON</v>
      </c>
      <c r="Z112" s="20" t="str">
        <f t="shared" ca="1" si="44"/>
        <v>ON</v>
      </c>
      <c r="AA112" s="1" t="str">
        <f t="shared" ca="1" si="45"/>
        <v>ON</v>
      </c>
      <c r="AB112" s="1" t="str">
        <f t="shared" ca="1" si="46"/>
        <v>ON</v>
      </c>
      <c r="AC112" s="1" t="str">
        <f t="shared" ca="1" si="47"/>
        <v>ON</v>
      </c>
      <c r="AD112" s="1" t="str">
        <f t="shared" ca="1" si="48"/>
        <v>ON</v>
      </c>
      <c r="AE112" s="1"/>
      <c r="AF112" s="20" t="str">
        <f t="shared" ca="1" si="49"/>
        <v>ON</v>
      </c>
      <c r="AG112" s="20" t="str">
        <f t="shared" ca="1" si="49"/>
        <v>ON</v>
      </c>
      <c r="AH112" s="1" t="str">
        <f t="shared" ca="1" si="50"/>
        <v>ON</v>
      </c>
      <c r="AI112" s="1" t="str">
        <f t="shared" ca="1" si="51"/>
        <v>ON</v>
      </c>
      <c r="AJ112" s="1" t="str">
        <f t="shared" ca="1" si="52"/>
        <v>ON</v>
      </c>
      <c r="AK112" s="1" t="str">
        <f t="shared" ca="1" si="53"/>
        <v>OFF</v>
      </c>
      <c r="AL112" s="1"/>
      <c r="AM112" s="20" t="str">
        <f t="shared" si="54"/>
        <v>ON</v>
      </c>
      <c r="AN112" s="20" t="str">
        <f t="shared" si="54"/>
        <v>ON</v>
      </c>
      <c r="AO112" s="20" t="str">
        <f t="shared" si="55"/>
        <v>ON</v>
      </c>
    </row>
    <row r="113" spans="1:41">
      <c r="A113" t="str">
        <f t="shared" ca="1" si="29"/>
        <v>Ekiti</v>
      </c>
      <c r="B113" t="str">
        <f t="shared" ca="1" si="30"/>
        <v>D</v>
      </c>
      <c r="C113" t="str">
        <f t="shared" ca="1" si="31"/>
        <v>D1</v>
      </c>
      <c r="D113" s="5" t="s">
        <v>7</v>
      </c>
      <c r="E113">
        <f t="shared" ca="1" si="32"/>
        <v>25</v>
      </c>
      <c r="F113">
        <f t="shared" ca="1" si="33"/>
        <v>2</v>
      </c>
      <c r="G113" t="str" cm="1">
        <f t="array" ref="G113:G116">IF($G$5:$G$8={"A";"B";"C";"D"},{"D";"C";"B";"A"},{"A";"B";"C";"D"})</f>
        <v>D</v>
      </c>
      <c r="H113" t="str" cm="1">
        <f t="array" ref="H113:H116">IF($H$5:$H$8={"A";"B";"C";"D"},{"D";"C";"B";"A"},{"A";"B";"C";"D"})</f>
        <v>D</v>
      </c>
      <c r="I113" t="str">
        <f ca="1">IF($A113="","",IF(COUNTA($K$2:$P$2)=6,"WK "&amp;_xlfn.ISOWEEKNUM($K$2)))</f>
        <v>WK 18</v>
      </c>
      <c r="J113" t="str">
        <f ca="1">IF($A113="","",IF(COUNTA($Y$2:$AD$2)=6,"WK "&amp;_xlfn.ISOWEEKNUM($Y$2)))</f>
        <v>WK 20</v>
      </c>
      <c r="K113" s="20" t="str">
        <f t="shared" ca="1" si="34"/>
        <v>ON</v>
      </c>
      <c r="L113" s="20" t="str">
        <f t="shared" ca="1" si="34"/>
        <v>ON</v>
      </c>
      <c r="M113" s="1" t="str">
        <f t="shared" ca="1" si="35"/>
        <v>ON</v>
      </c>
      <c r="N113" s="1" t="str">
        <f t="shared" ca="1" si="36"/>
        <v>ON</v>
      </c>
      <c r="O113" s="1" t="str">
        <f t="shared" ca="1" si="37"/>
        <v>ON</v>
      </c>
      <c r="P113" s="1" t="str">
        <f t="shared" ca="1" si="38"/>
        <v>OFF</v>
      </c>
      <c r="Q113" s="1"/>
      <c r="R113" s="20" t="str">
        <f t="shared" ca="1" si="39"/>
        <v>ON</v>
      </c>
      <c r="S113" s="20" t="str">
        <f t="shared" ca="1" si="39"/>
        <v>ON</v>
      </c>
      <c r="T113" s="1" t="str">
        <f t="shared" ca="1" si="40"/>
        <v>ON</v>
      </c>
      <c r="U113" s="1" t="str">
        <f t="shared" ca="1" si="41"/>
        <v>ON</v>
      </c>
      <c r="V113" s="1" t="str">
        <f t="shared" ca="1" si="42"/>
        <v>ON</v>
      </c>
      <c r="W113" s="1" t="str">
        <f t="shared" ca="1" si="43"/>
        <v>ON</v>
      </c>
      <c r="X113" s="1"/>
      <c r="Y113" s="20" t="str">
        <f t="shared" ca="1" si="44"/>
        <v>ON</v>
      </c>
      <c r="Z113" s="20" t="str">
        <f t="shared" ca="1" si="44"/>
        <v>ON</v>
      </c>
      <c r="AA113" s="1" t="str">
        <f t="shared" ca="1" si="45"/>
        <v>ON</v>
      </c>
      <c r="AB113" s="1" t="str">
        <f t="shared" ca="1" si="46"/>
        <v>ON</v>
      </c>
      <c r="AC113" s="1" t="str">
        <f t="shared" ca="1" si="47"/>
        <v>ON</v>
      </c>
      <c r="AD113" s="1" t="str">
        <f t="shared" ca="1" si="48"/>
        <v>OFF</v>
      </c>
      <c r="AE113" s="1"/>
      <c r="AF113" s="20" t="str">
        <f t="shared" ca="1" si="49"/>
        <v>ON</v>
      </c>
      <c r="AG113" s="20" t="str">
        <f t="shared" ca="1" si="49"/>
        <v>ON</v>
      </c>
      <c r="AH113" s="1" t="str">
        <f t="shared" ca="1" si="50"/>
        <v>ON</v>
      </c>
      <c r="AI113" s="1" t="str">
        <f t="shared" ca="1" si="51"/>
        <v>ON</v>
      </c>
      <c r="AJ113" s="1" t="str">
        <f t="shared" ca="1" si="52"/>
        <v>ON</v>
      </c>
      <c r="AK113" s="1" t="str">
        <f t="shared" ca="1" si="53"/>
        <v>ON</v>
      </c>
      <c r="AL113" s="1"/>
      <c r="AM113" s="20" t="str">
        <f t="shared" si="54"/>
        <v>ON</v>
      </c>
      <c r="AN113" s="20" t="str">
        <f t="shared" si="54"/>
        <v>ON</v>
      </c>
      <c r="AO113" s="20" t="str">
        <f t="shared" si="55"/>
        <v>ON</v>
      </c>
    </row>
    <row r="114" spans="1:41">
      <c r="A114" t="str">
        <f t="shared" ca="1" si="29"/>
        <v>Oyo</v>
      </c>
      <c r="B114" t="str">
        <f t="shared" ca="1" si="30"/>
        <v>C</v>
      </c>
      <c r="C114" t="str">
        <f t="shared" ca="1" si="31"/>
        <v>A1</v>
      </c>
      <c r="D114" s="5" t="s">
        <v>7</v>
      </c>
      <c r="E114">
        <f t="shared" ca="1" si="32"/>
        <v>25</v>
      </c>
      <c r="F114">
        <f t="shared" ca="1" si="33"/>
        <v>2</v>
      </c>
      <c r="G114" t="str">
        <v>C</v>
      </c>
      <c r="H114" t="str">
        <v>C</v>
      </c>
      <c r="I114" t="str">
        <f ca="1">IF($A114="","",IF(COUNTA($R$2:$W$2)=6,"WK "&amp;_xlfn.ISOWEEKNUM($R$2)))</f>
        <v>WK 19</v>
      </c>
      <c r="J114" t="str">
        <f ca="1">IF($A114="","",IF(COUNTA($AF$2:$AK$2)=6,"WK "&amp;_xlfn.ISOWEEKNUM($AF$2)))</f>
        <v>WK 21</v>
      </c>
      <c r="K114" s="20" t="str">
        <f t="shared" ca="1" si="34"/>
        <v>ON</v>
      </c>
      <c r="L114" s="20" t="str">
        <f t="shared" ca="1" si="34"/>
        <v>ON</v>
      </c>
      <c r="M114" s="1" t="str">
        <f t="shared" ca="1" si="35"/>
        <v>ON</v>
      </c>
      <c r="N114" s="1" t="str">
        <f t="shared" ca="1" si="36"/>
        <v>ON</v>
      </c>
      <c r="O114" s="1" t="str">
        <f t="shared" ca="1" si="37"/>
        <v>ON</v>
      </c>
      <c r="P114" s="1" t="str">
        <f t="shared" ca="1" si="38"/>
        <v>ON</v>
      </c>
      <c r="Q114" s="1"/>
      <c r="R114" s="20" t="str">
        <f t="shared" ca="1" si="39"/>
        <v>ON</v>
      </c>
      <c r="S114" s="20" t="str">
        <f t="shared" ca="1" si="39"/>
        <v>ON</v>
      </c>
      <c r="T114" s="1" t="str">
        <f t="shared" ca="1" si="40"/>
        <v>ON</v>
      </c>
      <c r="U114" s="1" t="str">
        <f t="shared" ca="1" si="41"/>
        <v>ON</v>
      </c>
      <c r="V114" s="1" t="str">
        <f t="shared" ca="1" si="42"/>
        <v>OFF</v>
      </c>
      <c r="W114" s="1" t="str">
        <f t="shared" ca="1" si="43"/>
        <v>ON</v>
      </c>
      <c r="X114" s="1"/>
      <c r="Y114" s="20" t="str">
        <f t="shared" ca="1" si="44"/>
        <v>ON</v>
      </c>
      <c r="Z114" s="20" t="str">
        <f t="shared" ca="1" si="44"/>
        <v>ON</v>
      </c>
      <c r="AA114" s="1" t="str">
        <f t="shared" ca="1" si="45"/>
        <v>ON</v>
      </c>
      <c r="AB114" s="1" t="str">
        <f t="shared" ca="1" si="46"/>
        <v>ON</v>
      </c>
      <c r="AC114" s="1" t="str">
        <f t="shared" ca="1" si="47"/>
        <v>ON</v>
      </c>
      <c r="AD114" s="1" t="str">
        <f t="shared" ca="1" si="48"/>
        <v>ON</v>
      </c>
      <c r="AE114" s="1"/>
      <c r="AF114" s="20" t="str">
        <f t="shared" ca="1" si="49"/>
        <v>ON</v>
      </c>
      <c r="AG114" s="20" t="str">
        <f t="shared" ca="1" si="49"/>
        <v>ON</v>
      </c>
      <c r="AH114" s="1" t="str">
        <f t="shared" ca="1" si="50"/>
        <v>ON</v>
      </c>
      <c r="AI114" s="1" t="str">
        <f t="shared" ca="1" si="51"/>
        <v>ON</v>
      </c>
      <c r="AJ114" s="1" t="str">
        <f t="shared" ca="1" si="52"/>
        <v>OFF</v>
      </c>
      <c r="AK114" s="1" t="str">
        <f t="shared" ca="1" si="53"/>
        <v>ON</v>
      </c>
      <c r="AL114" s="1"/>
      <c r="AM114" s="20" t="str">
        <f t="shared" si="54"/>
        <v>ON</v>
      </c>
      <c r="AN114" s="20" t="str">
        <f t="shared" si="54"/>
        <v>ON</v>
      </c>
      <c r="AO114" s="20" t="str">
        <f t="shared" si="55"/>
        <v>ON</v>
      </c>
    </row>
    <row r="115" spans="1:41">
      <c r="A115" t="str">
        <f t="shared" ca="1" si="29"/>
        <v>Lagos</v>
      </c>
      <c r="B115" t="str">
        <f t="shared" ca="1" si="30"/>
        <v>E</v>
      </c>
      <c r="C115" t="str">
        <f t="shared" ca="1" si="31"/>
        <v>C1</v>
      </c>
      <c r="D115" s="5" t="s">
        <v>7</v>
      </c>
      <c r="E115">
        <f t="shared" ca="1" si="32"/>
        <v>25</v>
      </c>
      <c r="F115">
        <f t="shared" ca="1" si="33"/>
        <v>2</v>
      </c>
      <c r="G115" t="str">
        <v>B</v>
      </c>
      <c r="H115" t="str">
        <v>B</v>
      </c>
      <c r="I115" t="str">
        <f ca="1">IF($A115="","",IF(COUNTA($K$2:$P$2)=6,"WK "&amp;_xlfn.ISOWEEKNUM($K$2)))</f>
        <v>WK 18</v>
      </c>
      <c r="J115" t="str">
        <f ca="1">IF($A115="","",IF(COUNTA($Y$2:$AD$2)=6,"WK "&amp;_xlfn.ISOWEEKNUM($Y$2)))</f>
        <v>WK 20</v>
      </c>
      <c r="K115" s="20" t="str">
        <f t="shared" ca="1" si="34"/>
        <v>ON</v>
      </c>
      <c r="L115" s="20" t="str">
        <f t="shared" ca="1" si="34"/>
        <v>ON</v>
      </c>
      <c r="M115" s="1" t="str">
        <f t="shared" ca="1" si="35"/>
        <v>ON</v>
      </c>
      <c r="N115" s="1" t="str">
        <f t="shared" ca="1" si="36"/>
        <v>OFF</v>
      </c>
      <c r="O115" s="1" t="str">
        <f t="shared" ca="1" si="37"/>
        <v>ON</v>
      </c>
      <c r="P115" s="1" t="str">
        <f t="shared" ca="1" si="38"/>
        <v>ON</v>
      </c>
      <c r="Q115" s="1"/>
      <c r="R115" s="20" t="str">
        <f t="shared" ca="1" si="39"/>
        <v>ON</v>
      </c>
      <c r="S115" s="20" t="str">
        <f t="shared" ca="1" si="39"/>
        <v>ON</v>
      </c>
      <c r="T115" s="1" t="str">
        <f t="shared" ca="1" si="40"/>
        <v>ON</v>
      </c>
      <c r="U115" s="1" t="str">
        <f t="shared" ca="1" si="41"/>
        <v>ON</v>
      </c>
      <c r="V115" s="1" t="str">
        <f t="shared" ca="1" si="42"/>
        <v>ON</v>
      </c>
      <c r="W115" s="1" t="str">
        <f t="shared" ca="1" si="43"/>
        <v>ON</v>
      </c>
      <c r="X115" s="1"/>
      <c r="Y115" s="20" t="str">
        <f t="shared" ca="1" si="44"/>
        <v>ON</v>
      </c>
      <c r="Z115" s="20" t="str">
        <f t="shared" ca="1" si="44"/>
        <v>ON</v>
      </c>
      <c r="AA115" s="1" t="str">
        <f t="shared" ca="1" si="45"/>
        <v>ON</v>
      </c>
      <c r="AB115" s="1" t="str">
        <f t="shared" ca="1" si="46"/>
        <v>OFF</v>
      </c>
      <c r="AC115" s="1" t="str">
        <f t="shared" ca="1" si="47"/>
        <v>ON</v>
      </c>
      <c r="AD115" s="1" t="str">
        <f t="shared" ca="1" si="48"/>
        <v>ON</v>
      </c>
      <c r="AE115" s="1"/>
      <c r="AF115" s="20" t="str">
        <f t="shared" ca="1" si="49"/>
        <v>ON</v>
      </c>
      <c r="AG115" s="20" t="str">
        <f t="shared" ca="1" si="49"/>
        <v>ON</v>
      </c>
      <c r="AH115" s="1" t="str">
        <f t="shared" ca="1" si="50"/>
        <v>ON</v>
      </c>
      <c r="AI115" s="1" t="str">
        <f t="shared" ca="1" si="51"/>
        <v>ON</v>
      </c>
      <c r="AJ115" s="1" t="str">
        <f t="shared" ca="1" si="52"/>
        <v>ON</v>
      </c>
      <c r="AK115" s="1" t="str">
        <f t="shared" ca="1" si="53"/>
        <v>ON</v>
      </c>
      <c r="AL115" s="1"/>
      <c r="AM115" s="20" t="str">
        <f t="shared" si="54"/>
        <v>ON</v>
      </c>
      <c r="AN115" s="20" t="str">
        <f t="shared" si="54"/>
        <v>ON</v>
      </c>
      <c r="AO115" s="20" t="str">
        <f t="shared" si="55"/>
        <v>ON</v>
      </c>
    </row>
    <row r="116" spans="1:41">
      <c r="A116" t="str">
        <f t="shared" ca="1" si="29"/>
        <v>Ogun</v>
      </c>
      <c r="B116" t="str">
        <f t="shared" ca="1" si="30"/>
        <v>E</v>
      </c>
      <c r="C116" t="str">
        <f t="shared" ca="1" si="31"/>
        <v>D1</v>
      </c>
      <c r="D116" s="5" t="s">
        <v>7</v>
      </c>
      <c r="E116">
        <f t="shared" ca="1" si="32"/>
        <v>25</v>
      </c>
      <c r="F116">
        <f t="shared" ca="1" si="33"/>
        <v>2</v>
      </c>
      <c r="G116" t="str">
        <v>A</v>
      </c>
      <c r="H116" t="str">
        <v>A</v>
      </c>
      <c r="I116" t="str">
        <f ca="1">IF($A116="","",IF(COUNTA($R$2:$W$2)=6,"WK "&amp;_xlfn.ISOWEEKNUM($R$2)))</f>
        <v>WK 19</v>
      </c>
      <c r="J116" t="str">
        <f ca="1">IF($A116="","",IF(COUNTA($AF$2:$AK$2)=6,"WK "&amp;_xlfn.ISOWEEKNUM($AF$2)))</f>
        <v>WK 21</v>
      </c>
      <c r="K116" s="20" t="str">
        <f t="shared" ca="1" si="34"/>
        <v>ON</v>
      </c>
      <c r="L116" s="20" t="str">
        <f t="shared" ca="1" si="34"/>
        <v>ON</v>
      </c>
      <c r="M116" s="1" t="str">
        <f t="shared" ca="1" si="35"/>
        <v>ON</v>
      </c>
      <c r="N116" s="1" t="str">
        <f t="shared" ca="1" si="36"/>
        <v>ON</v>
      </c>
      <c r="O116" s="1" t="str">
        <f t="shared" ca="1" si="37"/>
        <v>ON</v>
      </c>
      <c r="P116" s="1" t="str">
        <f t="shared" ca="1" si="38"/>
        <v>ON</v>
      </c>
      <c r="Q116" s="1"/>
      <c r="R116" s="20" t="str">
        <f t="shared" ca="1" si="39"/>
        <v>ON</v>
      </c>
      <c r="S116" s="20" t="str">
        <f t="shared" ca="1" si="39"/>
        <v>ON</v>
      </c>
      <c r="T116" s="1" t="str">
        <f t="shared" ca="1" si="40"/>
        <v>OFF</v>
      </c>
      <c r="U116" s="1" t="str">
        <f t="shared" ca="1" si="41"/>
        <v>ON</v>
      </c>
      <c r="V116" s="1" t="str">
        <f t="shared" ca="1" si="42"/>
        <v>ON</v>
      </c>
      <c r="W116" s="1" t="str">
        <f t="shared" ca="1" si="43"/>
        <v>ON</v>
      </c>
      <c r="X116" s="1"/>
      <c r="Y116" s="20" t="str">
        <f t="shared" ca="1" si="44"/>
        <v>ON</v>
      </c>
      <c r="Z116" s="20" t="str">
        <f t="shared" ca="1" si="44"/>
        <v>ON</v>
      </c>
      <c r="AA116" s="1" t="str">
        <f t="shared" ca="1" si="45"/>
        <v>ON</v>
      </c>
      <c r="AB116" s="1" t="str">
        <f t="shared" ca="1" si="46"/>
        <v>ON</v>
      </c>
      <c r="AC116" s="1" t="str">
        <f t="shared" ca="1" si="47"/>
        <v>ON</v>
      </c>
      <c r="AD116" s="1" t="str">
        <f t="shared" ca="1" si="48"/>
        <v>ON</v>
      </c>
      <c r="AE116" s="1"/>
      <c r="AF116" s="20" t="str">
        <f t="shared" ca="1" si="49"/>
        <v>ON</v>
      </c>
      <c r="AG116" s="20" t="str">
        <f t="shared" ca="1" si="49"/>
        <v>ON</v>
      </c>
      <c r="AH116" s="1" t="str">
        <f t="shared" ca="1" si="50"/>
        <v>OFF</v>
      </c>
      <c r="AI116" s="1" t="str">
        <f t="shared" ca="1" si="51"/>
        <v>ON</v>
      </c>
      <c r="AJ116" s="1" t="str">
        <f t="shared" ca="1" si="52"/>
        <v>ON</v>
      </c>
      <c r="AK116" s="1" t="str">
        <f t="shared" ca="1" si="53"/>
        <v>ON</v>
      </c>
      <c r="AL116" s="1"/>
      <c r="AM116" s="20" t="str">
        <f t="shared" si="54"/>
        <v>ON</v>
      </c>
      <c r="AN116" s="20" t="str">
        <f t="shared" si="54"/>
        <v>ON</v>
      </c>
      <c r="AO116" s="20" t="str">
        <f t="shared" si="55"/>
        <v>ON</v>
      </c>
    </row>
    <row r="117" spans="1:41">
      <c r="A117" t="str">
        <f t="shared" ca="1" si="29"/>
        <v>Oyo</v>
      </c>
      <c r="B117" t="str">
        <f t="shared" ca="1" si="30"/>
        <v>E</v>
      </c>
      <c r="C117" t="str">
        <f t="shared" ca="1" si="31"/>
        <v>B1</v>
      </c>
      <c r="D117" s="5" t="s">
        <v>7</v>
      </c>
      <c r="E117">
        <f t="shared" ca="1" si="32"/>
        <v>25</v>
      </c>
      <c r="F117">
        <f t="shared" ca="1" si="33"/>
        <v>2</v>
      </c>
      <c r="G117" t="str" cm="1">
        <f t="array" ref="G117:G120">Groups!$B$2:$B$5</f>
        <v>A</v>
      </c>
      <c r="H117" t="str" cm="1">
        <f t="array" ref="H117:H120">Groups!$B$2:$B$5</f>
        <v>A</v>
      </c>
      <c r="I117" t="str">
        <f ca="1">IF($A117="","",IF(COUNTA($K$2:$P$2)=6,"WK "&amp;_xlfn.ISOWEEKNUM($K$2)))</f>
        <v>WK 18</v>
      </c>
      <c r="J117" t="str">
        <f ca="1">IF($A117="","",IF(COUNTA($Y$2:$AD$2)=6,"WK "&amp;_xlfn.ISOWEEKNUM($Y$2)))</f>
        <v>WK 20</v>
      </c>
      <c r="K117" s="20" t="str">
        <f t="shared" ca="1" si="34"/>
        <v>ON</v>
      </c>
      <c r="L117" s="20" t="str">
        <f t="shared" ca="1" si="34"/>
        <v>ON</v>
      </c>
      <c r="M117" s="1" t="str">
        <f t="shared" ca="1" si="35"/>
        <v>OFF</v>
      </c>
      <c r="N117" s="1" t="str">
        <f t="shared" ca="1" si="36"/>
        <v>ON</v>
      </c>
      <c r="O117" s="1" t="str">
        <f t="shared" ca="1" si="37"/>
        <v>ON</v>
      </c>
      <c r="P117" s="1" t="str">
        <f t="shared" ca="1" si="38"/>
        <v>ON</v>
      </c>
      <c r="Q117" s="1"/>
      <c r="R117" s="20" t="str">
        <f t="shared" ca="1" si="39"/>
        <v>ON</v>
      </c>
      <c r="S117" s="20" t="str">
        <f t="shared" ca="1" si="39"/>
        <v>ON</v>
      </c>
      <c r="T117" s="1" t="str">
        <f t="shared" ca="1" si="40"/>
        <v>ON</v>
      </c>
      <c r="U117" s="1" t="str">
        <f t="shared" ca="1" si="41"/>
        <v>ON</v>
      </c>
      <c r="V117" s="1" t="str">
        <f t="shared" ca="1" si="42"/>
        <v>ON</v>
      </c>
      <c r="W117" s="1" t="str">
        <f t="shared" ca="1" si="43"/>
        <v>ON</v>
      </c>
      <c r="X117" s="1"/>
      <c r="Y117" s="20" t="str">
        <f t="shared" ca="1" si="44"/>
        <v>ON</v>
      </c>
      <c r="Z117" s="20" t="str">
        <f t="shared" ca="1" si="44"/>
        <v>ON</v>
      </c>
      <c r="AA117" s="1" t="str">
        <f t="shared" ca="1" si="45"/>
        <v>OFF</v>
      </c>
      <c r="AB117" s="1" t="str">
        <f t="shared" ca="1" si="46"/>
        <v>ON</v>
      </c>
      <c r="AC117" s="1" t="str">
        <f t="shared" ca="1" si="47"/>
        <v>ON</v>
      </c>
      <c r="AD117" s="1" t="str">
        <f t="shared" ca="1" si="48"/>
        <v>ON</v>
      </c>
      <c r="AE117" s="1"/>
      <c r="AF117" s="20" t="str">
        <f t="shared" ca="1" si="49"/>
        <v>ON</v>
      </c>
      <c r="AG117" s="20" t="str">
        <f t="shared" ca="1" si="49"/>
        <v>ON</v>
      </c>
      <c r="AH117" s="1" t="str">
        <f t="shared" ca="1" si="50"/>
        <v>ON</v>
      </c>
      <c r="AI117" s="1" t="str">
        <f t="shared" ca="1" si="51"/>
        <v>ON</v>
      </c>
      <c r="AJ117" s="1" t="str">
        <f t="shared" ca="1" si="52"/>
        <v>ON</v>
      </c>
      <c r="AK117" s="1" t="str">
        <f t="shared" ca="1" si="53"/>
        <v>ON</v>
      </c>
      <c r="AL117" s="1"/>
      <c r="AM117" s="20" t="str">
        <f t="shared" si="54"/>
        <v>ON</v>
      </c>
      <c r="AN117" s="20" t="str">
        <f t="shared" si="54"/>
        <v>ON</v>
      </c>
      <c r="AO117" s="20" t="str">
        <f t="shared" si="55"/>
        <v>ON</v>
      </c>
    </row>
    <row r="118" spans="1:41">
      <c r="A118" t="str">
        <f t="shared" ca="1" si="29"/>
        <v>Ondo</v>
      </c>
      <c r="B118" t="str">
        <f t="shared" ca="1" si="30"/>
        <v>E</v>
      </c>
      <c r="C118" t="str">
        <f t="shared" ca="1" si="31"/>
        <v>B1</v>
      </c>
      <c r="D118" s="5" t="s">
        <v>7</v>
      </c>
      <c r="E118">
        <f t="shared" ca="1" si="32"/>
        <v>25</v>
      </c>
      <c r="F118">
        <f t="shared" ca="1" si="33"/>
        <v>2</v>
      </c>
      <c r="G118" t="str">
        <v>B</v>
      </c>
      <c r="H118" t="str">
        <v>B</v>
      </c>
      <c r="I118" t="str">
        <f ca="1">IF($A118="","",IF(COUNTA($R$2:$W$2)=6,"WK "&amp;_xlfn.ISOWEEKNUM($R$2)))</f>
        <v>WK 19</v>
      </c>
      <c r="J118" t="str">
        <f ca="1">IF($A118="","",IF(COUNTA($AF$2:$AK$2)=6,"WK "&amp;_xlfn.ISOWEEKNUM($AF$2)))</f>
        <v>WK 21</v>
      </c>
      <c r="K118" s="20" t="str">
        <f t="shared" ca="1" si="34"/>
        <v>ON</v>
      </c>
      <c r="L118" s="20" t="str">
        <f t="shared" ca="1" si="34"/>
        <v>ON</v>
      </c>
      <c r="M118" s="1" t="str">
        <f t="shared" ca="1" si="35"/>
        <v>ON</v>
      </c>
      <c r="N118" s="1" t="str">
        <f t="shared" ca="1" si="36"/>
        <v>ON</v>
      </c>
      <c r="O118" s="1" t="str">
        <f t="shared" ca="1" si="37"/>
        <v>ON</v>
      </c>
      <c r="P118" s="1" t="str">
        <f t="shared" ca="1" si="38"/>
        <v>ON</v>
      </c>
      <c r="Q118" s="1"/>
      <c r="R118" s="20" t="str">
        <f t="shared" ca="1" si="39"/>
        <v>ON</v>
      </c>
      <c r="S118" s="20" t="str">
        <f t="shared" ca="1" si="39"/>
        <v>ON</v>
      </c>
      <c r="T118" s="1" t="str">
        <f t="shared" ca="1" si="40"/>
        <v>ON</v>
      </c>
      <c r="U118" s="1" t="str">
        <f t="shared" ca="1" si="41"/>
        <v>OFF</v>
      </c>
      <c r="V118" s="1" t="str">
        <f t="shared" ca="1" si="42"/>
        <v>ON</v>
      </c>
      <c r="W118" s="1" t="str">
        <f t="shared" ca="1" si="43"/>
        <v>ON</v>
      </c>
      <c r="X118" s="1"/>
      <c r="Y118" s="20" t="str">
        <f t="shared" ca="1" si="44"/>
        <v>ON</v>
      </c>
      <c r="Z118" s="20" t="str">
        <f t="shared" ca="1" si="44"/>
        <v>ON</v>
      </c>
      <c r="AA118" s="1" t="str">
        <f t="shared" ca="1" si="45"/>
        <v>ON</v>
      </c>
      <c r="AB118" s="1" t="str">
        <f t="shared" ca="1" si="46"/>
        <v>ON</v>
      </c>
      <c r="AC118" s="1" t="str">
        <f t="shared" ca="1" si="47"/>
        <v>ON</v>
      </c>
      <c r="AD118" s="1" t="str">
        <f t="shared" ca="1" si="48"/>
        <v>ON</v>
      </c>
      <c r="AE118" s="1"/>
      <c r="AF118" s="20" t="str">
        <f t="shared" ca="1" si="49"/>
        <v>ON</v>
      </c>
      <c r="AG118" s="20" t="str">
        <f t="shared" ca="1" si="49"/>
        <v>ON</v>
      </c>
      <c r="AH118" s="1" t="str">
        <f t="shared" ca="1" si="50"/>
        <v>ON</v>
      </c>
      <c r="AI118" s="1" t="str">
        <f t="shared" ca="1" si="51"/>
        <v>OFF</v>
      </c>
      <c r="AJ118" s="1" t="str">
        <f t="shared" ca="1" si="52"/>
        <v>ON</v>
      </c>
      <c r="AK118" s="1" t="str">
        <f t="shared" ca="1" si="53"/>
        <v>ON</v>
      </c>
      <c r="AL118" s="1"/>
      <c r="AM118" s="20" t="str">
        <f t="shared" si="54"/>
        <v>ON</v>
      </c>
      <c r="AN118" s="20" t="str">
        <f t="shared" si="54"/>
        <v>ON</v>
      </c>
      <c r="AO118" s="20" t="str">
        <f t="shared" si="55"/>
        <v>ON</v>
      </c>
    </row>
    <row r="119" spans="1:41">
      <c r="A119" t="str">
        <f t="shared" ca="1" si="29"/>
        <v>Ogun</v>
      </c>
      <c r="B119" t="str">
        <f t="shared" ca="1" si="30"/>
        <v>B</v>
      </c>
      <c r="C119" t="str">
        <f t="shared" ca="1" si="31"/>
        <v>C1</v>
      </c>
      <c r="D119" s="5" t="s">
        <v>4</v>
      </c>
      <c r="E119">
        <f t="shared" ca="1" si="32"/>
        <v>25</v>
      </c>
      <c r="F119">
        <f t="shared" ca="1" si="33"/>
        <v>2</v>
      </c>
      <c r="G119" t="str">
        <v>C</v>
      </c>
      <c r="H119" t="str">
        <v>C</v>
      </c>
      <c r="I119" t="str">
        <f ca="1">IF($A119="","",IF(COUNTA($K$2:$P$2)=6,"WK "&amp;_xlfn.ISOWEEKNUM($K$2)))</f>
        <v>WK 18</v>
      </c>
      <c r="J119" t="str">
        <f ca="1">IF($A119="","",IF(COUNTA($Y$2:$AD$2)=6,"WK "&amp;_xlfn.ISOWEEKNUM($Y$2)))</f>
        <v>WK 20</v>
      </c>
      <c r="K119" s="20" t="str">
        <f t="shared" ca="1" si="34"/>
        <v>ON</v>
      </c>
      <c r="L119" s="20" t="str">
        <f t="shared" ca="1" si="34"/>
        <v>ON</v>
      </c>
      <c r="M119" s="1" t="str">
        <f t="shared" ca="1" si="35"/>
        <v>ON</v>
      </c>
      <c r="N119" s="1" t="str">
        <f t="shared" ca="1" si="36"/>
        <v>ON</v>
      </c>
      <c r="O119" s="1" t="str">
        <f t="shared" ca="1" si="37"/>
        <v>OFF</v>
      </c>
      <c r="P119" s="1" t="str">
        <f t="shared" ca="1" si="38"/>
        <v>ON</v>
      </c>
      <c r="Q119" s="1"/>
      <c r="R119" s="20" t="str">
        <f t="shared" ca="1" si="39"/>
        <v>ON</v>
      </c>
      <c r="S119" s="20" t="str">
        <f t="shared" ca="1" si="39"/>
        <v>ON</v>
      </c>
      <c r="T119" s="1" t="str">
        <f t="shared" ca="1" si="40"/>
        <v>ON</v>
      </c>
      <c r="U119" s="1" t="str">
        <f t="shared" ca="1" si="41"/>
        <v>ON</v>
      </c>
      <c r="V119" s="1" t="str">
        <f t="shared" ca="1" si="42"/>
        <v>ON</v>
      </c>
      <c r="W119" s="1" t="str">
        <f t="shared" ca="1" si="43"/>
        <v>ON</v>
      </c>
      <c r="X119" s="1"/>
      <c r="Y119" s="20" t="str">
        <f t="shared" ca="1" si="44"/>
        <v>ON</v>
      </c>
      <c r="Z119" s="20" t="str">
        <f t="shared" ca="1" si="44"/>
        <v>ON</v>
      </c>
      <c r="AA119" s="1" t="str">
        <f t="shared" ca="1" si="45"/>
        <v>ON</v>
      </c>
      <c r="AB119" s="1" t="str">
        <f t="shared" ca="1" si="46"/>
        <v>ON</v>
      </c>
      <c r="AC119" s="1" t="str">
        <f t="shared" ca="1" si="47"/>
        <v>OFF</v>
      </c>
      <c r="AD119" s="1" t="str">
        <f t="shared" ca="1" si="48"/>
        <v>ON</v>
      </c>
      <c r="AE119" s="1"/>
      <c r="AF119" s="20" t="str">
        <f t="shared" ca="1" si="49"/>
        <v>ON</v>
      </c>
      <c r="AG119" s="20" t="str">
        <f t="shared" ca="1" si="49"/>
        <v>ON</v>
      </c>
      <c r="AH119" s="1" t="str">
        <f t="shared" ca="1" si="50"/>
        <v>ON</v>
      </c>
      <c r="AI119" s="1" t="str">
        <f t="shared" ca="1" si="51"/>
        <v>ON</v>
      </c>
      <c r="AJ119" s="1" t="str">
        <f t="shared" ca="1" si="52"/>
        <v>ON</v>
      </c>
      <c r="AK119" s="1" t="str">
        <f t="shared" ca="1" si="53"/>
        <v>ON</v>
      </c>
      <c r="AL119" s="1"/>
      <c r="AM119" s="20" t="str">
        <f t="shared" si="54"/>
        <v>ON</v>
      </c>
      <c r="AN119" s="20" t="str">
        <f t="shared" si="54"/>
        <v>ON</v>
      </c>
      <c r="AO119" s="20" t="str">
        <f t="shared" si="55"/>
        <v>ON</v>
      </c>
    </row>
    <row r="120" spans="1:41">
      <c r="A120" t="str">
        <f t="shared" ca="1" si="29"/>
        <v>Ogun</v>
      </c>
      <c r="B120" t="str">
        <f t="shared" ca="1" si="30"/>
        <v>D</v>
      </c>
      <c r="C120" t="str">
        <f t="shared" ca="1" si="31"/>
        <v>C1</v>
      </c>
      <c r="D120" t="s">
        <v>7</v>
      </c>
      <c r="E120">
        <f t="shared" ca="1" si="32"/>
        <v>25</v>
      </c>
      <c r="F120">
        <f t="shared" ca="1" si="33"/>
        <v>2</v>
      </c>
      <c r="G120" t="str">
        <v>D</v>
      </c>
      <c r="H120" t="str">
        <v>D</v>
      </c>
      <c r="I120" t="str">
        <f ca="1">IF($A120="","",IF(COUNTA($R$2:$W$2)=6,"WK "&amp;_xlfn.ISOWEEKNUM($R$2)))</f>
        <v>WK 19</v>
      </c>
      <c r="J120" t="str">
        <f ca="1">IF($A120="","",IF(COUNTA($AF$2:$AK$2)=6,"WK "&amp;_xlfn.ISOWEEKNUM($AF$2)))</f>
        <v>WK 21</v>
      </c>
      <c r="K120" s="20" t="str">
        <f t="shared" ca="1" si="34"/>
        <v>ON</v>
      </c>
      <c r="L120" s="20" t="str">
        <f t="shared" ca="1" si="34"/>
        <v>ON</v>
      </c>
      <c r="M120" s="1" t="str">
        <f t="shared" ca="1" si="35"/>
        <v>ON</v>
      </c>
      <c r="N120" s="1" t="str">
        <f t="shared" ca="1" si="36"/>
        <v>ON</v>
      </c>
      <c r="O120" s="1" t="str">
        <f t="shared" ca="1" si="37"/>
        <v>ON</v>
      </c>
      <c r="P120" s="1" t="str">
        <f t="shared" ca="1" si="38"/>
        <v>ON</v>
      </c>
      <c r="Q120" s="1"/>
      <c r="R120" s="20" t="str">
        <f t="shared" ca="1" si="39"/>
        <v>ON</v>
      </c>
      <c r="S120" s="20" t="str">
        <f t="shared" ca="1" si="39"/>
        <v>ON</v>
      </c>
      <c r="T120" s="1" t="str">
        <f t="shared" ca="1" si="40"/>
        <v>ON</v>
      </c>
      <c r="U120" s="1" t="str">
        <f t="shared" ca="1" si="41"/>
        <v>ON</v>
      </c>
      <c r="V120" s="1" t="str">
        <f t="shared" ca="1" si="42"/>
        <v>ON</v>
      </c>
      <c r="W120" s="1" t="str">
        <f t="shared" ca="1" si="43"/>
        <v>OFF</v>
      </c>
      <c r="X120" s="1"/>
      <c r="Y120" s="20" t="str">
        <f t="shared" ca="1" si="44"/>
        <v>ON</v>
      </c>
      <c r="Z120" s="20" t="str">
        <f t="shared" ca="1" si="44"/>
        <v>ON</v>
      </c>
      <c r="AA120" s="1" t="str">
        <f t="shared" ca="1" si="45"/>
        <v>ON</v>
      </c>
      <c r="AB120" s="1" t="str">
        <f t="shared" ca="1" si="46"/>
        <v>ON</v>
      </c>
      <c r="AC120" s="1" t="str">
        <f t="shared" ca="1" si="47"/>
        <v>ON</v>
      </c>
      <c r="AD120" s="1" t="str">
        <f t="shared" ca="1" si="48"/>
        <v>ON</v>
      </c>
      <c r="AE120" s="1"/>
      <c r="AF120" s="20" t="str">
        <f t="shared" ca="1" si="49"/>
        <v>ON</v>
      </c>
      <c r="AG120" s="20" t="str">
        <f t="shared" ca="1" si="49"/>
        <v>ON</v>
      </c>
      <c r="AH120" s="1" t="str">
        <f t="shared" ca="1" si="50"/>
        <v>ON</v>
      </c>
      <c r="AI120" s="1" t="str">
        <f t="shared" ca="1" si="51"/>
        <v>ON</v>
      </c>
      <c r="AJ120" s="1" t="str">
        <f t="shared" ca="1" si="52"/>
        <v>ON</v>
      </c>
      <c r="AK120" s="1" t="str">
        <f t="shared" ca="1" si="53"/>
        <v>OFF</v>
      </c>
      <c r="AL120" s="1"/>
      <c r="AM120" s="20" t="str">
        <f t="shared" si="54"/>
        <v>ON</v>
      </c>
      <c r="AN120" s="20" t="str">
        <f t="shared" si="54"/>
        <v>ON</v>
      </c>
      <c r="AO120" s="20" t="str">
        <f t="shared" si="55"/>
        <v>ON</v>
      </c>
    </row>
    <row r="121" spans="1:41">
      <c r="A121" t="str">
        <f t="shared" ca="1" si="29"/>
        <v>Ogun</v>
      </c>
      <c r="B121" t="str">
        <f t="shared" ca="1" si="30"/>
        <v>B</v>
      </c>
      <c r="C121" t="str">
        <f t="shared" ca="1" si="31"/>
        <v>E1</v>
      </c>
      <c r="D121" t="s">
        <v>7</v>
      </c>
      <c r="E121">
        <f t="shared" ca="1" si="32"/>
        <v>25</v>
      </c>
      <c r="F121">
        <f t="shared" ca="1" si="33"/>
        <v>2</v>
      </c>
      <c r="G121" t="str" cm="1">
        <f t="array" ref="G121:G124">IF($G$5:$G$8={"A";"B";"C";"D"},{"D";"C";"B";"A"},{"A";"B";"C";"D"})</f>
        <v>D</v>
      </c>
      <c r="H121" t="str" cm="1">
        <f t="array" ref="H121:H124">IF($H$5:$H$8={"A";"B";"C";"D"},{"D";"C";"B";"A"},{"A";"B";"C";"D"})</f>
        <v>D</v>
      </c>
      <c r="I121" t="str">
        <f ca="1">IF($A121="","",IF(COUNTA($K$2:$P$2)=6,"WK "&amp;_xlfn.ISOWEEKNUM($K$2)))</f>
        <v>WK 18</v>
      </c>
      <c r="J121" t="str">
        <f ca="1">IF($A121="","",IF(COUNTA($Y$2:$AD$2)=6,"WK "&amp;_xlfn.ISOWEEKNUM($Y$2)))</f>
        <v>WK 20</v>
      </c>
      <c r="K121" s="20" t="str">
        <f t="shared" ca="1" si="34"/>
        <v>ON</v>
      </c>
      <c r="L121" s="20" t="str">
        <f t="shared" ca="1" si="34"/>
        <v>ON</v>
      </c>
      <c r="M121" s="1" t="str">
        <f t="shared" ca="1" si="35"/>
        <v>ON</v>
      </c>
      <c r="N121" s="1" t="str">
        <f t="shared" ca="1" si="36"/>
        <v>ON</v>
      </c>
      <c r="O121" s="1" t="str">
        <f t="shared" ca="1" si="37"/>
        <v>ON</v>
      </c>
      <c r="P121" s="1" t="str">
        <f t="shared" ca="1" si="38"/>
        <v>OFF</v>
      </c>
      <c r="Q121" s="1"/>
      <c r="R121" s="20" t="str">
        <f t="shared" ca="1" si="39"/>
        <v>ON</v>
      </c>
      <c r="S121" s="20" t="str">
        <f t="shared" ca="1" si="39"/>
        <v>ON</v>
      </c>
      <c r="T121" s="1" t="str">
        <f t="shared" ca="1" si="40"/>
        <v>ON</v>
      </c>
      <c r="U121" s="1" t="str">
        <f t="shared" ca="1" si="41"/>
        <v>ON</v>
      </c>
      <c r="V121" s="1" t="str">
        <f t="shared" ca="1" si="42"/>
        <v>ON</v>
      </c>
      <c r="W121" s="1" t="str">
        <f t="shared" ca="1" si="43"/>
        <v>ON</v>
      </c>
      <c r="X121" s="1"/>
      <c r="Y121" s="20" t="str">
        <f t="shared" ca="1" si="44"/>
        <v>ON</v>
      </c>
      <c r="Z121" s="20" t="str">
        <f t="shared" ca="1" si="44"/>
        <v>ON</v>
      </c>
      <c r="AA121" s="1" t="str">
        <f t="shared" ca="1" si="45"/>
        <v>ON</v>
      </c>
      <c r="AB121" s="1" t="str">
        <f t="shared" ca="1" si="46"/>
        <v>ON</v>
      </c>
      <c r="AC121" s="1" t="str">
        <f t="shared" ca="1" si="47"/>
        <v>ON</v>
      </c>
      <c r="AD121" s="1" t="str">
        <f t="shared" ca="1" si="48"/>
        <v>OFF</v>
      </c>
      <c r="AE121" s="1"/>
      <c r="AF121" s="20" t="str">
        <f t="shared" ca="1" si="49"/>
        <v>ON</v>
      </c>
      <c r="AG121" s="20" t="str">
        <f t="shared" ca="1" si="49"/>
        <v>ON</v>
      </c>
      <c r="AH121" s="1" t="str">
        <f t="shared" ca="1" si="50"/>
        <v>ON</v>
      </c>
      <c r="AI121" s="1" t="str">
        <f t="shared" ca="1" si="51"/>
        <v>ON</v>
      </c>
      <c r="AJ121" s="1" t="str">
        <f t="shared" ca="1" si="52"/>
        <v>ON</v>
      </c>
      <c r="AK121" s="1" t="str">
        <f t="shared" ca="1" si="53"/>
        <v>ON</v>
      </c>
      <c r="AL121" s="1"/>
      <c r="AM121" s="20" t="str">
        <f t="shared" si="54"/>
        <v>ON</v>
      </c>
      <c r="AN121" s="20" t="str">
        <f t="shared" si="54"/>
        <v>ON</v>
      </c>
      <c r="AO121" s="20" t="str">
        <f t="shared" si="55"/>
        <v>ON</v>
      </c>
    </row>
    <row r="122" spans="1:41">
      <c r="A122" t="str">
        <f t="shared" ca="1" si="29"/>
        <v>Ondo</v>
      </c>
      <c r="B122" t="str">
        <f t="shared" ca="1" si="30"/>
        <v>E</v>
      </c>
      <c r="C122" t="str">
        <f t="shared" ca="1" si="31"/>
        <v>D1</v>
      </c>
      <c r="D122" t="s">
        <v>7</v>
      </c>
      <c r="E122">
        <f t="shared" ca="1" si="32"/>
        <v>25</v>
      </c>
      <c r="F122">
        <f t="shared" ca="1" si="33"/>
        <v>2</v>
      </c>
      <c r="G122" t="str">
        <v>C</v>
      </c>
      <c r="H122" t="str">
        <v>C</v>
      </c>
      <c r="I122" t="str">
        <f ca="1">IF($A122="","",IF(COUNTA($R$2:$W$2)=6,"WK "&amp;_xlfn.ISOWEEKNUM($R$2)))</f>
        <v>WK 19</v>
      </c>
      <c r="J122" t="str">
        <f ca="1">IF($A122="","",IF(COUNTA($AF$2:$AK$2)=6,"WK "&amp;_xlfn.ISOWEEKNUM($AF$2)))</f>
        <v>WK 21</v>
      </c>
      <c r="K122" s="20" t="str">
        <f t="shared" ca="1" si="34"/>
        <v>ON</v>
      </c>
      <c r="L122" s="20" t="str">
        <f t="shared" ca="1" si="34"/>
        <v>ON</v>
      </c>
      <c r="M122" s="1" t="str">
        <f t="shared" ca="1" si="35"/>
        <v>ON</v>
      </c>
      <c r="N122" s="1" t="str">
        <f t="shared" ca="1" si="36"/>
        <v>ON</v>
      </c>
      <c r="O122" s="1" t="str">
        <f t="shared" ca="1" si="37"/>
        <v>ON</v>
      </c>
      <c r="P122" s="1" t="str">
        <f t="shared" ca="1" si="38"/>
        <v>ON</v>
      </c>
      <c r="Q122" s="1"/>
      <c r="R122" s="20" t="str">
        <f t="shared" ca="1" si="39"/>
        <v>ON</v>
      </c>
      <c r="S122" s="20" t="str">
        <f t="shared" ca="1" si="39"/>
        <v>ON</v>
      </c>
      <c r="T122" s="1" t="str">
        <f t="shared" ca="1" si="40"/>
        <v>ON</v>
      </c>
      <c r="U122" s="1" t="str">
        <f t="shared" ca="1" si="41"/>
        <v>ON</v>
      </c>
      <c r="V122" s="1" t="str">
        <f t="shared" ca="1" si="42"/>
        <v>OFF</v>
      </c>
      <c r="W122" s="1" t="str">
        <f t="shared" ca="1" si="43"/>
        <v>ON</v>
      </c>
      <c r="X122" s="1"/>
      <c r="Y122" s="20" t="str">
        <f t="shared" ca="1" si="44"/>
        <v>ON</v>
      </c>
      <c r="Z122" s="20" t="str">
        <f t="shared" ca="1" si="44"/>
        <v>ON</v>
      </c>
      <c r="AA122" s="1" t="str">
        <f t="shared" ca="1" si="45"/>
        <v>ON</v>
      </c>
      <c r="AB122" s="1" t="str">
        <f t="shared" ca="1" si="46"/>
        <v>ON</v>
      </c>
      <c r="AC122" s="1" t="str">
        <f t="shared" ca="1" si="47"/>
        <v>ON</v>
      </c>
      <c r="AD122" s="1" t="str">
        <f t="shared" ca="1" si="48"/>
        <v>ON</v>
      </c>
      <c r="AE122" s="1"/>
      <c r="AF122" s="20" t="str">
        <f t="shared" ca="1" si="49"/>
        <v>ON</v>
      </c>
      <c r="AG122" s="20" t="str">
        <f t="shared" ca="1" si="49"/>
        <v>ON</v>
      </c>
      <c r="AH122" s="1" t="str">
        <f t="shared" ca="1" si="50"/>
        <v>ON</v>
      </c>
      <c r="AI122" s="1" t="str">
        <f t="shared" ca="1" si="51"/>
        <v>ON</v>
      </c>
      <c r="AJ122" s="1" t="str">
        <f t="shared" ca="1" si="52"/>
        <v>OFF</v>
      </c>
      <c r="AK122" s="1" t="str">
        <f t="shared" ca="1" si="53"/>
        <v>ON</v>
      </c>
      <c r="AL122" s="1"/>
      <c r="AM122" s="20" t="str">
        <f t="shared" si="54"/>
        <v>ON</v>
      </c>
      <c r="AN122" s="20" t="str">
        <f t="shared" si="54"/>
        <v>ON</v>
      </c>
      <c r="AO122" s="20" t="str">
        <f t="shared" si="55"/>
        <v>ON</v>
      </c>
    </row>
    <row r="123" spans="1:41">
      <c r="A123" t="str">
        <f t="shared" ca="1" si="29"/>
        <v>Ondo</v>
      </c>
      <c r="B123" t="str">
        <f t="shared" ca="1" si="30"/>
        <v>C</v>
      </c>
      <c r="C123" t="str">
        <f t="shared" ca="1" si="31"/>
        <v>C1</v>
      </c>
      <c r="D123" t="s">
        <v>4</v>
      </c>
      <c r="E123">
        <f t="shared" ca="1" si="32"/>
        <v>25</v>
      </c>
      <c r="F123">
        <f t="shared" ca="1" si="33"/>
        <v>2</v>
      </c>
      <c r="G123" t="str">
        <v>B</v>
      </c>
      <c r="H123" t="str">
        <v>B</v>
      </c>
      <c r="I123" t="str">
        <f ca="1">IF($A123="","",IF(COUNTA($K$2:$P$2)=6,"WK "&amp;_xlfn.ISOWEEKNUM($K$2)))</f>
        <v>WK 18</v>
      </c>
      <c r="J123" t="str">
        <f ca="1">IF($A123="","",IF(COUNTA($Y$2:$AD$2)=6,"WK "&amp;_xlfn.ISOWEEKNUM($Y$2)))</f>
        <v>WK 20</v>
      </c>
      <c r="K123" s="20" t="str">
        <f t="shared" ca="1" si="34"/>
        <v>ON</v>
      </c>
      <c r="L123" s="20" t="str">
        <f t="shared" ca="1" si="34"/>
        <v>ON</v>
      </c>
      <c r="M123" s="1" t="str">
        <f t="shared" ca="1" si="35"/>
        <v>ON</v>
      </c>
      <c r="N123" s="1" t="str">
        <f t="shared" ca="1" si="36"/>
        <v>OFF</v>
      </c>
      <c r="O123" s="1" t="str">
        <f t="shared" ca="1" si="37"/>
        <v>ON</v>
      </c>
      <c r="P123" s="1" t="str">
        <f t="shared" ca="1" si="38"/>
        <v>ON</v>
      </c>
      <c r="Q123" s="1"/>
      <c r="R123" s="20" t="str">
        <f t="shared" ca="1" si="39"/>
        <v>ON</v>
      </c>
      <c r="S123" s="20" t="str">
        <f t="shared" ca="1" si="39"/>
        <v>ON</v>
      </c>
      <c r="T123" s="1" t="str">
        <f t="shared" ca="1" si="40"/>
        <v>ON</v>
      </c>
      <c r="U123" s="1" t="str">
        <f t="shared" ca="1" si="41"/>
        <v>ON</v>
      </c>
      <c r="V123" s="1" t="str">
        <f t="shared" ca="1" si="42"/>
        <v>ON</v>
      </c>
      <c r="W123" s="1" t="str">
        <f t="shared" ca="1" si="43"/>
        <v>ON</v>
      </c>
      <c r="X123" s="1"/>
      <c r="Y123" s="20" t="str">
        <f t="shared" ca="1" si="44"/>
        <v>ON</v>
      </c>
      <c r="Z123" s="20" t="str">
        <f t="shared" ca="1" si="44"/>
        <v>ON</v>
      </c>
      <c r="AA123" s="1" t="str">
        <f t="shared" ca="1" si="45"/>
        <v>ON</v>
      </c>
      <c r="AB123" s="1" t="str">
        <f t="shared" ca="1" si="46"/>
        <v>OFF</v>
      </c>
      <c r="AC123" s="1" t="str">
        <f t="shared" ca="1" si="47"/>
        <v>ON</v>
      </c>
      <c r="AD123" s="1" t="str">
        <f t="shared" ca="1" si="48"/>
        <v>ON</v>
      </c>
      <c r="AE123" s="1"/>
      <c r="AF123" s="20" t="str">
        <f t="shared" ca="1" si="49"/>
        <v>ON</v>
      </c>
      <c r="AG123" s="20" t="str">
        <f t="shared" ca="1" si="49"/>
        <v>ON</v>
      </c>
      <c r="AH123" s="1" t="str">
        <f t="shared" ca="1" si="50"/>
        <v>ON</v>
      </c>
      <c r="AI123" s="1" t="str">
        <f t="shared" ca="1" si="51"/>
        <v>ON</v>
      </c>
      <c r="AJ123" s="1" t="str">
        <f t="shared" ca="1" si="52"/>
        <v>ON</v>
      </c>
      <c r="AK123" s="1" t="str">
        <f t="shared" ca="1" si="53"/>
        <v>ON</v>
      </c>
      <c r="AL123" s="1"/>
      <c r="AM123" s="20" t="str">
        <f t="shared" si="54"/>
        <v>ON</v>
      </c>
      <c r="AN123" s="20" t="str">
        <f t="shared" si="54"/>
        <v>ON</v>
      </c>
      <c r="AO123" s="20" t="str">
        <f t="shared" si="55"/>
        <v>ON</v>
      </c>
    </row>
    <row r="124" spans="1:41">
      <c r="A124" t="str">
        <f t="shared" ca="1" si="29"/>
        <v>Lagos</v>
      </c>
      <c r="B124" t="str">
        <f t="shared" ca="1" si="30"/>
        <v>A</v>
      </c>
      <c r="C124" t="str">
        <f t="shared" ca="1" si="31"/>
        <v>A1</v>
      </c>
      <c r="D124" t="s">
        <v>4</v>
      </c>
      <c r="E124">
        <f t="shared" ca="1" si="32"/>
        <v>25</v>
      </c>
      <c r="F124">
        <f t="shared" ca="1" si="33"/>
        <v>2</v>
      </c>
      <c r="G124" t="str">
        <v>A</v>
      </c>
      <c r="H124" t="str">
        <v>A</v>
      </c>
      <c r="I124" t="str">
        <f ca="1">IF($A124="","",IF(COUNTA($R$2:$W$2)=6,"WK "&amp;_xlfn.ISOWEEKNUM($R$2)))</f>
        <v>WK 19</v>
      </c>
      <c r="J124" t="str">
        <f ca="1">IF($A124="","",IF(COUNTA($AF$2:$AK$2)=6,"WK "&amp;_xlfn.ISOWEEKNUM($AF$2)))</f>
        <v>WK 21</v>
      </c>
      <c r="K124" s="20" t="str">
        <f t="shared" ca="1" si="34"/>
        <v>ON</v>
      </c>
      <c r="L124" s="20" t="str">
        <f t="shared" ca="1" si="34"/>
        <v>ON</v>
      </c>
      <c r="M124" s="1" t="str">
        <f t="shared" ca="1" si="35"/>
        <v>ON</v>
      </c>
      <c r="N124" s="1" t="str">
        <f t="shared" ca="1" si="36"/>
        <v>ON</v>
      </c>
      <c r="O124" s="1" t="str">
        <f t="shared" ca="1" si="37"/>
        <v>ON</v>
      </c>
      <c r="P124" s="1" t="str">
        <f t="shared" ca="1" si="38"/>
        <v>ON</v>
      </c>
      <c r="Q124" s="1"/>
      <c r="R124" s="20" t="str">
        <f t="shared" ca="1" si="39"/>
        <v>ON</v>
      </c>
      <c r="S124" s="20" t="str">
        <f t="shared" ca="1" si="39"/>
        <v>ON</v>
      </c>
      <c r="T124" s="1" t="str">
        <f t="shared" ca="1" si="40"/>
        <v>OFF</v>
      </c>
      <c r="U124" s="1" t="str">
        <f t="shared" ca="1" si="41"/>
        <v>ON</v>
      </c>
      <c r="V124" s="1" t="str">
        <f t="shared" ca="1" si="42"/>
        <v>ON</v>
      </c>
      <c r="W124" s="1" t="str">
        <f t="shared" ca="1" si="43"/>
        <v>ON</v>
      </c>
      <c r="X124" s="1"/>
      <c r="Y124" s="20" t="str">
        <f t="shared" ca="1" si="44"/>
        <v>ON</v>
      </c>
      <c r="Z124" s="20" t="str">
        <f t="shared" ca="1" si="44"/>
        <v>ON</v>
      </c>
      <c r="AA124" s="1" t="str">
        <f t="shared" ca="1" si="45"/>
        <v>ON</v>
      </c>
      <c r="AB124" s="1" t="str">
        <f t="shared" ca="1" si="46"/>
        <v>ON</v>
      </c>
      <c r="AC124" s="1" t="str">
        <f t="shared" ca="1" si="47"/>
        <v>ON</v>
      </c>
      <c r="AD124" s="1" t="str">
        <f t="shared" ca="1" si="48"/>
        <v>ON</v>
      </c>
      <c r="AE124" s="1"/>
      <c r="AF124" s="20" t="str">
        <f t="shared" ca="1" si="49"/>
        <v>ON</v>
      </c>
      <c r="AG124" s="20" t="str">
        <f t="shared" ca="1" si="49"/>
        <v>ON</v>
      </c>
      <c r="AH124" s="1" t="str">
        <f t="shared" ca="1" si="50"/>
        <v>OFF</v>
      </c>
      <c r="AI124" s="1" t="str">
        <f t="shared" ca="1" si="51"/>
        <v>ON</v>
      </c>
      <c r="AJ124" s="1" t="str">
        <f t="shared" ca="1" si="52"/>
        <v>ON</v>
      </c>
      <c r="AK124" s="1" t="str">
        <f t="shared" ca="1" si="53"/>
        <v>ON</v>
      </c>
      <c r="AL124" s="1"/>
      <c r="AM124" s="20" t="str">
        <f t="shared" si="54"/>
        <v>ON</v>
      </c>
      <c r="AN124" s="20" t="str">
        <f t="shared" si="54"/>
        <v>ON</v>
      </c>
      <c r="AO124" s="20" t="str">
        <f t="shared" si="55"/>
        <v>ON</v>
      </c>
    </row>
    <row r="125" spans="1:41">
      <c r="A125" t="str">
        <f t="shared" ca="1" si="29"/>
        <v>Ogun</v>
      </c>
      <c r="B125" t="str">
        <f t="shared" ca="1" si="30"/>
        <v>A</v>
      </c>
      <c r="C125" t="str">
        <f t="shared" ca="1" si="31"/>
        <v>B1</v>
      </c>
      <c r="D125" t="s">
        <v>4</v>
      </c>
      <c r="E125">
        <f t="shared" ca="1" si="32"/>
        <v>25</v>
      </c>
      <c r="F125">
        <f t="shared" ca="1" si="33"/>
        <v>2</v>
      </c>
      <c r="G125" t="str" cm="1">
        <f t="array" ref="G125:G128">Groups!$B$2:$B$5</f>
        <v>A</v>
      </c>
      <c r="H125" t="str" cm="1">
        <f t="array" ref="H125:H128">Groups!$B$2:$B$5</f>
        <v>A</v>
      </c>
      <c r="I125" t="str">
        <f ca="1">IF($A125="","",IF(COUNTA($K$2:$P$2)=6,"WK "&amp;_xlfn.ISOWEEKNUM($K$2)))</f>
        <v>WK 18</v>
      </c>
      <c r="J125" t="str">
        <f ca="1">IF($A125="","",IF(COUNTA($Y$2:$AD$2)=6,"WK "&amp;_xlfn.ISOWEEKNUM($Y$2)))</f>
        <v>WK 20</v>
      </c>
      <c r="K125" s="20" t="str">
        <f t="shared" ca="1" si="34"/>
        <v>ON</v>
      </c>
      <c r="L125" s="20" t="str">
        <f t="shared" ca="1" si="34"/>
        <v>ON</v>
      </c>
      <c r="M125" s="1" t="str">
        <f t="shared" ca="1" si="35"/>
        <v>OFF</v>
      </c>
      <c r="N125" s="1" t="str">
        <f t="shared" ca="1" si="36"/>
        <v>ON</v>
      </c>
      <c r="O125" s="1" t="str">
        <f t="shared" ca="1" si="37"/>
        <v>ON</v>
      </c>
      <c r="P125" s="1" t="str">
        <f t="shared" ca="1" si="38"/>
        <v>ON</v>
      </c>
      <c r="Q125" s="1"/>
      <c r="R125" s="20" t="str">
        <f t="shared" ca="1" si="39"/>
        <v>ON</v>
      </c>
      <c r="S125" s="20" t="str">
        <f t="shared" ca="1" si="39"/>
        <v>ON</v>
      </c>
      <c r="T125" s="1" t="str">
        <f t="shared" ca="1" si="40"/>
        <v>ON</v>
      </c>
      <c r="U125" s="1" t="str">
        <f t="shared" ca="1" si="41"/>
        <v>ON</v>
      </c>
      <c r="V125" s="1" t="str">
        <f t="shared" ca="1" si="42"/>
        <v>ON</v>
      </c>
      <c r="W125" s="1" t="str">
        <f t="shared" ca="1" si="43"/>
        <v>ON</v>
      </c>
      <c r="X125" s="1"/>
      <c r="Y125" s="20" t="str">
        <f t="shared" ca="1" si="44"/>
        <v>ON</v>
      </c>
      <c r="Z125" s="20" t="str">
        <f t="shared" ca="1" si="44"/>
        <v>ON</v>
      </c>
      <c r="AA125" s="1" t="str">
        <f t="shared" ca="1" si="45"/>
        <v>OFF</v>
      </c>
      <c r="AB125" s="1" t="str">
        <f t="shared" ca="1" si="46"/>
        <v>ON</v>
      </c>
      <c r="AC125" s="1" t="str">
        <f t="shared" ca="1" si="47"/>
        <v>ON</v>
      </c>
      <c r="AD125" s="1" t="str">
        <f t="shared" ca="1" si="48"/>
        <v>ON</v>
      </c>
      <c r="AE125" s="1"/>
      <c r="AF125" s="20" t="str">
        <f t="shared" ca="1" si="49"/>
        <v>ON</v>
      </c>
      <c r="AG125" s="20" t="str">
        <f t="shared" ca="1" si="49"/>
        <v>ON</v>
      </c>
      <c r="AH125" s="1" t="str">
        <f t="shared" ca="1" si="50"/>
        <v>ON</v>
      </c>
      <c r="AI125" s="1" t="str">
        <f t="shared" ca="1" si="51"/>
        <v>ON</v>
      </c>
      <c r="AJ125" s="1" t="str">
        <f t="shared" ca="1" si="52"/>
        <v>ON</v>
      </c>
      <c r="AK125" s="1" t="str">
        <f t="shared" ca="1" si="53"/>
        <v>ON</v>
      </c>
      <c r="AL125" s="1"/>
      <c r="AM125" s="20" t="str">
        <f t="shared" si="54"/>
        <v>ON</v>
      </c>
      <c r="AN125" s="20" t="str">
        <f t="shared" si="54"/>
        <v>ON</v>
      </c>
      <c r="AO125" s="20" t="str">
        <f t="shared" si="55"/>
        <v>ON</v>
      </c>
    </row>
    <row r="126" spans="1:41">
      <c r="A126" t="str">
        <f t="shared" ca="1" si="29"/>
        <v>Oyo</v>
      </c>
      <c r="B126" t="str">
        <f t="shared" ca="1" si="30"/>
        <v>E</v>
      </c>
      <c r="C126" t="str">
        <f t="shared" ca="1" si="31"/>
        <v>E1</v>
      </c>
      <c r="D126" t="s">
        <v>4</v>
      </c>
      <c r="E126">
        <f t="shared" ca="1" si="32"/>
        <v>25</v>
      </c>
      <c r="F126">
        <f t="shared" ca="1" si="33"/>
        <v>2</v>
      </c>
      <c r="G126" t="str">
        <v>B</v>
      </c>
      <c r="H126" t="str">
        <v>B</v>
      </c>
      <c r="I126" t="str">
        <f ca="1">IF($A126="","",IF(COUNTA($R$2:$W$2)=6,"WK "&amp;_xlfn.ISOWEEKNUM($R$2)))</f>
        <v>WK 19</v>
      </c>
      <c r="J126" t="str">
        <f ca="1">IF($A126="","",IF(COUNTA($AF$2:$AK$2)=6,"WK "&amp;_xlfn.ISOWEEKNUM($AF$2)))</f>
        <v>WK 21</v>
      </c>
      <c r="K126" s="20" t="str">
        <f t="shared" ca="1" si="34"/>
        <v>ON</v>
      </c>
      <c r="L126" s="20" t="str">
        <f t="shared" ca="1" si="34"/>
        <v>ON</v>
      </c>
      <c r="M126" s="1" t="str">
        <f t="shared" ca="1" si="35"/>
        <v>ON</v>
      </c>
      <c r="N126" s="1" t="str">
        <f t="shared" ca="1" si="36"/>
        <v>ON</v>
      </c>
      <c r="O126" s="1" t="str">
        <f t="shared" ca="1" si="37"/>
        <v>ON</v>
      </c>
      <c r="P126" s="1" t="str">
        <f t="shared" ca="1" si="38"/>
        <v>ON</v>
      </c>
      <c r="Q126" s="1"/>
      <c r="R126" s="20" t="str">
        <f t="shared" ca="1" si="39"/>
        <v>ON</v>
      </c>
      <c r="S126" s="20" t="str">
        <f t="shared" ca="1" si="39"/>
        <v>ON</v>
      </c>
      <c r="T126" s="1" t="str">
        <f t="shared" ca="1" si="40"/>
        <v>ON</v>
      </c>
      <c r="U126" s="1" t="str">
        <f t="shared" ca="1" si="41"/>
        <v>OFF</v>
      </c>
      <c r="V126" s="1" t="str">
        <f t="shared" ca="1" si="42"/>
        <v>ON</v>
      </c>
      <c r="W126" s="1" t="str">
        <f t="shared" ca="1" si="43"/>
        <v>ON</v>
      </c>
      <c r="X126" s="1"/>
      <c r="Y126" s="20" t="str">
        <f t="shared" ca="1" si="44"/>
        <v>ON</v>
      </c>
      <c r="Z126" s="20" t="str">
        <f t="shared" ca="1" si="44"/>
        <v>ON</v>
      </c>
      <c r="AA126" s="1" t="str">
        <f t="shared" ca="1" si="45"/>
        <v>ON</v>
      </c>
      <c r="AB126" s="1" t="str">
        <f t="shared" ca="1" si="46"/>
        <v>ON</v>
      </c>
      <c r="AC126" s="1" t="str">
        <f t="shared" ca="1" si="47"/>
        <v>ON</v>
      </c>
      <c r="AD126" s="1" t="str">
        <f t="shared" ca="1" si="48"/>
        <v>ON</v>
      </c>
      <c r="AE126" s="1"/>
      <c r="AF126" s="20" t="str">
        <f t="shared" ca="1" si="49"/>
        <v>ON</v>
      </c>
      <c r="AG126" s="20" t="str">
        <f t="shared" ca="1" si="49"/>
        <v>ON</v>
      </c>
      <c r="AH126" s="1" t="str">
        <f t="shared" ca="1" si="50"/>
        <v>ON</v>
      </c>
      <c r="AI126" s="1" t="str">
        <f t="shared" ca="1" si="51"/>
        <v>OFF</v>
      </c>
      <c r="AJ126" s="1" t="str">
        <f t="shared" ca="1" si="52"/>
        <v>ON</v>
      </c>
      <c r="AK126" s="1" t="str">
        <f t="shared" ca="1" si="53"/>
        <v>ON</v>
      </c>
      <c r="AL126" s="1"/>
      <c r="AM126" s="20" t="str">
        <f t="shared" si="54"/>
        <v>ON</v>
      </c>
      <c r="AN126" s="20" t="str">
        <f t="shared" si="54"/>
        <v>ON</v>
      </c>
      <c r="AO126" s="20" t="str">
        <f t="shared" si="55"/>
        <v>ON</v>
      </c>
    </row>
    <row r="127" spans="1:41">
      <c r="A127" t="str">
        <f t="shared" ca="1" si="29"/>
        <v>Oyo</v>
      </c>
      <c r="B127" t="str">
        <f t="shared" ca="1" si="30"/>
        <v>C</v>
      </c>
      <c r="C127" t="str">
        <f t="shared" ca="1" si="31"/>
        <v>C1</v>
      </c>
      <c r="D127" t="s">
        <v>4</v>
      </c>
      <c r="E127">
        <f t="shared" ca="1" si="32"/>
        <v>25</v>
      </c>
      <c r="F127">
        <f t="shared" ca="1" si="33"/>
        <v>2</v>
      </c>
      <c r="G127" t="str">
        <v>C</v>
      </c>
      <c r="H127" t="str">
        <v>C</v>
      </c>
      <c r="I127" t="str">
        <f ca="1">IF($A127="","",IF(COUNTA($K$2:$P$2)=6,"WK "&amp;_xlfn.ISOWEEKNUM($K$2)))</f>
        <v>WK 18</v>
      </c>
      <c r="J127" t="str">
        <f ca="1">IF($A127="","",IF(COUNTA($Y$2:$AD$2)=6,"WK "&amp;_xlfn.ISOWEEKNUM($Y$2)))</f>
        <v>WK 20</v>
      </c>
      <c r="K127" s="20" t="str">
        <f t="shared" ca="1" si="34"/>
        <v>ON</v>
      </c>
      <c r="L127" s="20" t="str">
        <f t="shared" ca="1" si="34"/>
        <v>ON</v>
      </c>
      <c r="M127" s="1" t="str">
        <f t="shared" ca="1" si="35"/>
        <v>ON</v>
      </c>
      <c r="N127" s="1" t="str">
        <f t="shared" ca="1" si="36"/>
        <v>ON</v>
      </c>
      <c r="O127" s="1" t="str">
        <f t="shared" ca="1" si="37"/>
        <v>OFF</v>
      </c>
      <c r="P127" s="1" t="str">
        <f t="shared" ca="1" si="38"/>
        <v>ON</v>
      </c>
      <c r="Q127" s="1"/>
      <c r="R127" s="20" t="str">
        <f t="shared" ca="1" si="39"/>
        <v>ON</v>
      </c>
      <c r="S127" s="20" t="str">
        <f t="shared" ca="1" si="39"/>
        <v>ON</v>
      </c>
      <c r="T127" s="1" t="str">
        <f t="shared" ca="1" si="40"/>
        <v>ON</v>
      </c>
      <c r="U127" s="1" t="str">
        <f t="shared" ca="1" si="41"/>
        <v>ON</v>
      </c>
      <c r="V127" s="1" t="str">
        <f t="shared" ca="1" si="42"/>
        <v>ON</v>
      </c>
      <c r="W127" s="1" t="str">
        <f t="shared" ca="1" si="43"/>
        <v>ON</v>
      </c>
      <c r="X127" s="1"/>
      <c r="Y127" s="20" t="str">
        <f t="shared" ca="1" si="44"/>
        <v>ON</v>
      </c>
      <c r="Z127" s="20" t="str">
        <f t="shared" ca="1" si="44"/>
        <v>ON</v>
      </c>
      <c r="AA127" s="1" t="str">
        <f t="shared" ca="1" si="45"/>
        <v>ON</v>
      </c>
      <c r="AB127" s="1" t="str">
        <f t="shared" ca="1" si="46"/>
        <v>ON</v>
      </c>
      <c r="AC127" s="1" t="str">
        <f t="shared" ca="1" si="47"/>
        <v>OFF</v>
      </c>
      <c r="AD127" s="1" t="str">
        <f t="shared" ca="1" si="48"/>
        <v>ON</v>
      </c>
      <c r="AE127" s="1"/>
      <c r="AF127" s="20" t="str">
        <f t="shared" ca="1" si="49"/>
        <v>ON</v>
      </c>
      <c r="AG127" s="20" t="str">
        <f t="shared" ca="1" si="49"/>
        <v>ON</v>
      </c>
      <c r="AH127" s="1" t="str">
        <f t="shared" ca="1" si="50"/>
        <v>ON</v>
      </c>
      <c r="AI127" s="1" t="str">
        <f t="shared" ca="1" si="51"/>
        <v>ON</v>
      </c>
      <c r="AJ127" s="1" t="str">
        <f t="shared" ca="1" si="52"/>
        <v>ON</v>
      </c>
      <c r="AK127" s="1" t="str">
        <f t="shared" ca="1" si="53"/>
        <v>ON</v>
      </c>
      <c r="AL127" s="1"/>
      <c r="AM127" s="20" t="str">
        <f t="shared" si="54"/>
        <v>ON</v>
      </c>
      <c r="AN127" s="20" t="str">
        <f t="shared" si="54"/>
        <v>ON</v>
      </c>
      <c r="AO127" s="20" t="str">
        <f t="shared" si="55"/>
        <v>ON</v>
      </c>
    </row>
    <row r="128" spans="1:41">
      <c r="A128" t="str">
        <f t="shared" ca="1" si="29"/>
        <v>Ogun</v>
      </c>
      <c r="B128" t="str">
        <f t="shared" ca="1" si="30"/>
        <v>D</v>
      </c>
      <c r="C128" t="str">
        <f t="shared" ca="1" si="31"/>
        <v>E1</v>
      </c>
      <c r="D128" t="s">
        <v>7</v>
      </c>
      <c r="E128">
        <f t="shared" ca="1" si="32"/>
        <v>25</v>
      </c>
      <c r="F128">
        <f t="shared" ca="1" si="33"/>
        <v>2</v>
      </c>
      <c r="G128" t="str">
        <v>D</v>
      </c>
      <c r="H128" t="str">
        <v>D</v>
      </c>
      <c r="I128" t="str">
        <f ca="1">IF($A128="","",IF(COUNTA($R$2:$W$2)=6,"WK "&amp;_xlfn.ISOWEEKNUM($R$2)))</f>
        <v>WK 19</v>
      </c>
      <c r="J128" t="str">
        <f ca="1">IF($A128="","",IF(COUNTA($AF$2:$AK$2)=6,"WK "&amp;_xlfn.ISOWEEKNUM($AF$2)))</f>
        <v>WK 21</v>
      </c>
      <c r="K128" s="20" t="str">
        <f t="shared" ca="1" si="34"/>
        <v>ON</v>
      </c>
      <c r="L128" s="20" t="str">
        <f t="shared" ca="1" si="34"/>
        <v>ON</v>
      </c>
      <c r="M128" s="1" t="str">
        <f t="shared" ca="1" si="35"/>
        <v>ON</v>
      </c>
      <c r="N128" s="1" t="str">
        <f t="shared" ca="1" si="36"/>
        <v>ON</v>
      </c>
      <c r="O128" s="1" t="str">
        <f t="shared" ca="1" si="37"/>
        <v>ON</v>
      </c>
      <c r="P128" s="1" t="str">
        <f t="shared" ca="1" si="38"/>
        <v>ON</v>
      </c>
      <c r="Q128" s="1"/>
      <c r="R128" s="20" t="str">
        <f t="shared" ca="1" si="39"/>
        <v>ON</v>
      </c>
      <c r="S128" s="20" t="str">
        <f t="shared" ca="1" si="39"/>
        <v>ON</v>
      </c>
      <c r="T128" s="1" t="str">
        <f t="shared" ca="1" si="40"/>
        <v>ON</v>
      </c>
      <c r="U128" s="1" t="str">
        <f t="shared" ca="1" si="41"/>
        <v>ON</v>
      </c>
      <c r="V128" s="1" t="str">
        <f t="shared" ca="1" si="42"/>
        <v>ON</v>
      </c>
      <c r="W128" s="1" t="str">
        <f t="shared" ca="1" si="43"/>
        <v>OFF</v>
      </c>
      <c r="X128" s="1"/>
      <c r="Y128" s="20" t="str">
        <f t="shared" ca="1" si="44"/>
        <v>ON</v>
      </c>
      <c r="Z128" s="20" t="str">
        <f t="shared" ca="1" si="44"/>
        <v>ON</v>
      </c>
      <c r="AA128" s="1" t="str">
        <f t="shared" ca="1" si="45"/>
        <v>ON</v>
      </c>
      <c r="AB128" s="1" t="str">
        <f t="shared" ca="1" si="46"/>
        <v>ON</v>
      </c>
      <c r="AC128" s="1" t="str">
        <f t="shared" ca="1" si="47"/>
        <v>ON</v>
      </c>
      <c r="AD128" s="1" t="str">
        <f t="shared" ca="1" si="48"/>
        <v>ON</v>
      </c>
      <c r="AE128" s="1"/>
      <c r="AF128" s="20" t="str">
        <f t="shared" ca="1" si="49"/>
        <v>ON</v>
      </c>
      <c r="AG128" s="20" t="str">
        <f t="shared" ca="1" si="49"/>
        <v>ON</v>
      </c>
      <c r="AH128" s="1" t="str">
        <f t="shared" ca="1" si="50"/>
        <v>ON</v>
      </c>
      <c r="AI128" s="1" t="str">
        <f t="shared" ca="1" si="51"/>
        <v>ON</v>
      </c>
      <c r="AJ128" s="1" t="str">
        <f t="shared" ca="1" si="52"/>
        <v>ON</v>
      </c>
      <c r="AK128" s="1" t="str">
        <f t="shared" ca="1" si="53"/>
        <v>OFF</v>
      </c>
      <c r="AL128" s="1"/>
      <c r="AM128" s="20" t="str">
        <f t="shared" si="54"/>
        <v>ON</v>
      </c>
      <c r="AN128" s="20" t="str">
        <f t="shared" si="54"/>
        <v>ON</v>
      </c>
      <c r="AO128" s="20" t="str">
        <f t="shared" si="55"/>
        <v>ON</v>
      </c>
    </row>
    <row r="129" spans="1:41">
      <c r="A129" t="str">
        <f t="shared" ca="1" si="29"/>
        <v>Ekiti</v>
      </c>
      <c r="B129" t="str">
        <f t="shared" ca="1" si="30"/>
        <v>D</v>
      </c>
      <c r="C129" t="str">
        <f t="shared" ca="1" si="31"/>
        <v>D1</v>
      </c>
      <c r="D129" t="s">
        <v>7</v>
      </c>
      <c r="E129">
        <f t="shared" ca="1" si="32"/>
        <v>25</v>
      </c>
      <c r="F129">
        <f t="shared" ca="1" si="33"/>
        <v>2</v>
      </c>
      <c r="G129" t="str" cm="1">
        <f t="array" ref="G129:G132">IF($G$5:$G$8={"A";"B";"C";"D"},{"D";"C";"B";"A"},{"A";"B";"C";"D"})</f>
        <v>D</v>
      </c>
      <c r="H129" t="str" cm="1">
        <f t="array" ref="H129:H132">IF($H$5:$H$8={"A";"B";"C";"D"},{"D";"C";"B";"A"},{"A";"B";"C";"D"})</f>
        <v>D</v>
      </c>
      <c r="I129" t="str">
        <f ca="1">IF($A129="","",IF(COUNTA($K$2:$P$2)=6,"WK "&amp;_xlfn.ISOWEEKNUM($K$2)))</f>
        <v>WK 18</v>
      </c>
      <c r="J129" t="str">
        <f ca="1">IF($A129="","",IF(COUNTA($Y$2:$AD$2)=6,"WK "&amp;_xlfn.ISOWEEKNUM($Y$2)))</f>
        <v>WK 20</v>
      </c>
      <c r="K129" s="20" t="str">
        <f t="shared" ca="1" si="34"/>
        <v>ON</v>
      </c>
      <c r="L129" s="20" t="str">
        <f t="shared" ca="1" si="34"/>
        <v>ON</v>
      </c>
      <c r="M129" s="1" t="str">
        <f t="shared" ca="1" si="35"/>
        <v>ON</v>
      </c>
      <c r="N129" s="1" t="str">
        <f t="shared" ca="1" si="36"/>
        <v>ON</v>
      </c>
      <c r="O129" s="1" t="str">
        <f t="shared" ca="1" si="37"/>
        <v>ON</v>
      </c>
      <c r="P129" s="1" t="str">
        <f t="shared" ca="1" si="38"/>
        <v>OFF</v>
      </c>
      <c r="Q129" s="1"/>
      <c r="R129" s="20" t="str">
        <f t="shared" ca="1" si="39"/>
        <v>ON</v>
      </c>
      <c r="S129" s="20" t="str">
        <f t="shared" ca="1" si="39"/>
        <v>ON</v>
      </c>
      <c r="T129" s="1" t="str">
        <f t="shared" ca="1" si="40"/>
        <v>ON</v>
      </c>
      <c r="U129" s="1" t="str">
        <f t="shared" ca="1" si="41"/>
        <v>ON</v>
      </c>
      <c r="V129" s="1" t="str">
        <f t="shared" ca="1" si="42"/>
        <v>ON</v>
      </c>
      <c r="W129" s="1" t="str">
        <f t="shared" ca="1" si="43"/>
        <v>ON</v>
      </c>
      <c r="X129" s="1"/>
      <c r="Y129" s="20" t="str">
        <f t="shared" ca="1" si="44"/>
        <v>ON</v>
      </c>
      <c r="Z129" s="20" t="str">
        <f t="shared" ca="1" si="44"/>
        <v>ON</v>
      </c>
      <c r="AA129" s="1" t="str">
        <f t="shared" ca="1" si="45"/>
        <v>ON</v>
      </c>
      <c r="AB129" s="1" t="str">
        <f t="shared" ca="1" si="46"/>
        <v>ON</v>
      </c>
      <c r="AC129" s="1" t="str">
        <f t="shared" ca="1" si="47"/>
        <v>ON</v>
      </c>
      <c r="AD129" s="1" t="str">
        <f t="shared" ca="1" si="48"/>
        <v>OFF</v>
      </c>
      <c r="AE129" s="1"/>
      <c r="AF129" s="20" t="str">
        <f t="shared" ca="1" si="49"/>
        <v>ON</v>
      </c>
      <c r="AG129" s="20" t="str">
        <f t="shared" ca="1" si="49"/>
        <v>ON</v>
      </c>
      <c r="AH129" s="1" t="str">
        <f t="shared" ca="1" si="50"/>
        <v>ON</v>
      </c>
      <c r="AI129" s="1" t="str">
        <f t="shared" ca="1" si="51"/>
        <v>ON</v>
      </c>
      <c r="AJ129" s="1" t="str">
        <f t="shared" ca="1" si="52"/>
        <v>ON</v>
      </c>
      <c r="AK129" s="1" t="str">
        <f t="shared" ca="1" si="53"/>
        <v>ON</v>
      </c>
      <c r="AL129" s="1"/>
      <c r="AM129" s="20" t="str">
        <f t="shared" si="54"/>
        <v>ON</v>
      </c>
      <c r="AN129" s="20" t="str">
        <f t="shared" si="54"/>
        <v>ON</v>
      </c>
      <c r="AO129" s="20" t="str">
        <f t="shared" si="55"/>
        <v>ON</v>
      </c>
    </row>
    <row r="130" spans="1:41">
      <c r="A130" t="str">
        <f t="shared" ca="1" si="29"/>
        <v>Ogun</v>
      </c>
      <c r="B130" t="str">
        <f t="shared" ca="1" si="30"/>
        <v>E</v>
      </c>
      <c r="C130" t="str">
        <f t="shared" ca="1" si="31"/>
        <v>E1</v>
      </c>
      <c r="D130" t="s">
        <v>4</v>
      </c>
      <c r="E130">
        <f t="shared" ca="1" si="32"/>
        <v>25</v>
      </c>
      <c r="F130">
        <f t="shared" ca="1" si="33"/>
        <v>2</v>
      </c>
      <c r="G130" t="str">
        <v>C</v>
      </c>
      <c r="H130" t="str">
        <v>C</v>
      </c>
      <c r="I130" t="str">
        <f ca="1">IF($A130="","",IF(COUNTA($R$2:$W$2)=6,"WK "&amp;_xlfn.ISOWEEKNUM($R$2)))</f>
        <v>WK 19</v>
      </c>
      <c r="J130" t="str">
        <f ca="1">IF($A130="","",IF(COUNTA($AF$2:$AK$2)=6,"WK "&amp;_xlfn.ISOWEEKNUM($AF$2)))</f>
        <v>WK 21</v>
      </c>
      <c r="K130" s="20" t="str">
        <f t="shared" ca="1" si="34"/>
        <v>ON</v>
      </c>
      <c r="L130" s="20" t="str">
        <f t="shared" ca="1" si="34"/>
        <v>ON</v>
      </c>
      <c r="M130" s="1" t="str">
        <f t="shared" ca="1" si="35"/>
        <v>ON</v>
      </c>
      <c r="N130" s="1" t="str">
        <f t="shared" ca="1" si="36"/>
        <v>ON</v>
      </c>
      <c r="O130" s="1" t="str">
        <f t="shared" ca="1" si="37"/>
        <v>ON</v>
      </c>
      <c r="P130" s="1" t="str">
        <f t="shared" ca="1" si="38"/>
        <v>ON</v>
      </c>
      <c r="Q130" s="1"/>
      <c r="R130" s="20" t="str">
        <f t="shared" ca="1" si="39"/>
        <v>ON</v>
      </c>
      <c r="S130" s="20" t="str">
        <f t="shared" ca="1" si="39"/>
        <v>ON</v>
      </c>
      <c r="T130" s="1" t="str">
        <f t="shared" ca="1" si="40"/>
        <v>ON</v>
      </c>
      <c r="U130" s="1" t="str">
        <f t="shared" ca="1" si="41"/>
        <v>ON</v>
      </c>
      <c r="V130" s="1" t="str">
        <f t="shared" ca="1" si="42"/>
        <v>OFF</v>
      </c>
      <c r="W130" s="1" t="str">
        <f t="shared" ca="1" si="43"/>
        <v>ON</v>
      </c>
      <c r="X130" s="1"/>
      <c r="Y130" s="20" t="str">
        <f t="shared" ca="1" si="44"/>
        <v>ON</v>
      </c>
      <c r="Z130" s="20" t="str">
        <f t="shared" ca="1" si="44"/>
        <v>ON</v>
      </c>
      <c r="AA130" s="1" t="str">
        <f t="shared" ca="1" si="45"/>
        <v>ON</v>
      </c>
      <c r="AB130" s="1" t="str">
        <f t="shared" ca="1" si="46"/>
        <v>ON</v>
      </c>
      <c r="AC130" s="1" t="str">
        <f t="shared" ca="1" si="47"/>
        <v>ON</v>
      </c>
      <c r="AD130" s="1" t="str">
        <f t="shared" ca="1" si="48"/>
        <v>ON</v>
      </c>
      <c r="AE130" s="1"/>
      <c r="AF130" s="20" t="str">
        <f t="shared" ca="1" si="49"/>
        <v>ON</v>
      </c>
      <c r="AG130" s="20" t="str">
        <f t="shared" ca="1" si="49"/>
        <v>ON</v>
      </c>
      <c r="AH130" s="1" t="str">
        <f t="shared" ca="1" si="50"/>
        <v>ON</v>
      </c>
      <c r="AI130" s="1" t="str">
        <f t="shared" ca="1" si="51"/>
        <v>ON</v>
      </c>
      <c r="AJ130" s="1" t="str">
        <f t="shared" ca="1" si="52"/>
        <v>OFF</v>
      </c>
      <c r="AK130" s="1" t="str">
        <f t="shared" ca="1" si="53"/>
        <v>ON</v>
      </c>
      <c r="AL130" s="1"/>
      <c r="AM130" s="20" t="str">
        <f t="shared" si="54"/>
        <v>ON</v>
      </c>
      <c r="AN130" s="20" t="str">
        <f t="shared" si="54"/>
        <v>ON</v>
      </c>
      <c r="AO130" s="20" t="str">
        <f t="shared" si="55"/>
        <v>ON</v>
      </c>
    </row>
    <row r="131" spans="1:41">
      <c r="A131" t="str">
        <f t="shared" ca="1" si="29"/>
        <v>Ogun</v>
      </c>
      <c r="B131" t="str">
        <f t="shared" ca="1" si="30"/>
        <v>B</v>
      </c>
      <c r="C131" t="str">
        <f t="shared" ca="1" si="31"/>
        <v>C1</v>
      </c>
      <c r="D131" t="s">
        <v>4</v>
      </c>
      <c r="E131">
        <f t="shared" ca="1" si="32"/>
        <v>25</v>
      </c>
      <c r="F131">
        <f t="shared" ca="1" si="33"/>
        <v>2</v>
      </c>
      <c r="G131" t="str">
        <v>B</v>
      </c>
      <c r="H131" t="str">
        <v>B</v>
      </c>
      <c r="I131" t="str">
        <f ca="1">IF($A131="","",IF(COUNTA($K$2:$P$2)=6,"WK "&amp;_xlfn.ISOWEEKNUM($K$2)))</f>
        <v>WK 18</v>
      </c>
      <c r="J131" t="str">
        <f ca="1">IF($A131="","",IF(COUNTA($Y$2:$AD$2)=6,"WK "&amp;_xlfn.ISOWEEKNUM($Y$2)))</f>
        <v>WK 20</v>
      </c>
      <c r="K131" s="20" t="str">
        <f t="shared" ca="1" si="34"/>
        <v>ON</v>
      </c>
      <c r="L131" s="20" t="str">
        <f t="shared" ca="1" si="34"/>
        <v>ON</v>
      </c>
      <c r="M131" s="1" t="str">
        <f t="shared" ca="1" si="35"/>
        <v>ON</v>
      </c>
      <c r="N131" s="1" t="str">
        <f t="shared" ca="1" si="36"/>
        <v>OFF</v>
      </c>
      <c r="O131" s="1" t="str">
        <f t="shared" ca="1" si="37"/>
        <v>ON</v>
      </c>
      <c r="P131" s="1" t="str">
        <f t="shared" ca="1" si="38"/>
        <v>ON</v>
      </c>
      <c r="Q131" s="1"/>
      <c r="R131" s="20" t="str">
        <f t="shared" ca="1" si="39"/>
        <v>ON</v>
      </c>
      <c r="S131" s="20" t="str">
        <f t="shared" ca="1" si="39"/>
        <v>ON</v>
      </c>
      <c r="T131" s="1" t="str">
        <f t="shared" ca="1" si="40"/>
        <v>ON</v>
      </c>
      <c r="U131" s="1" t="str">
        <f t="shared" ca="1" si="41"/>
        <v>ON</v>
      </c>
      <c r="V131" s="1" t="str">
        <f t="shared" ca="1" si="42"/>
        <v>ON</v>
      </c>
      <c r="W131" s="1" t="str">
        <f t="shared" ca="1" si="43"/>
        <v>ON</v>
      </c>
      <c r="X131" s="1"/>
      <c r="Y131" s="20" t="str">
        <f t="shared" ca="1" si="44"/>
        <v>ON</v>
      </c>
      <c r="Z131" s="20" t="str">
        <f t="shared" ca="1" si="44"/>
        <v>ON</v>
      </c>
      <c r="AA131" s="1" t="str">
        <f t="shared" ca="1" si="45"/>
        <v>ON</v>
      </c>
      <c r="AB131" s="1" t="str">
        <f t="shared" ca="1" si="46"/>
        <v>OFF</v>
      </c>
      <c r="AC131" s="1" t="str">
        <f t="shared" ca="1" si="47"/>
        <v>ON</v>
      </c>
      <c r="AD131" s="1" t="str">
        <f t="shared" ca="1" si="48"/>
        <v>ON</v>
      </c>
      <c r="AE131" s="1"/>
      <c r="AF131" s="20" t="str">
        <f t="shared" ca="1" si="49"/>
        <v>ON</v>
      </c>
      <c r="AG131" s="20" t="str">
        <f t="shared" ca="1" si="49"/>
        <v>ON</v>
      </c>
      <c r="AH131" s="1" t="str">
        <f t="shared" ca="1" si="50"/>
        <v>ON</v>
      </c>
      <c r="AI131" s="1" t="str">
        <f t="shared" ca="1" si="51"/>
        <v>ON</v>
      </c>
      <c r="AJ131" s="1" t="str">
        <f t="shared" ca="1" si="52"/>
        <v>ON</v>
      </c>
      <c r="AK131" s="1" t="str">
        <f t="shared" ca="1" si="53"/>
        <v>ON</v>
      </c>
      <c r="AL131" s="1"/>
      <c r="AM131" s="20" t="str">
        <f t="shared" si="54"/>
        <v>ON</v>
      </c>
      <c r="AN131" s="20" t="str">
        <f t="shared" si="54"/>
        <v>ON</v>
      </c>
      <c r="AO131" s="20" t="str">
        <f t="shared" si="55"/>
        <v>ON</v>
      </c>
    </row>
    <row r="132" spans="1:41">
      <c r="A132" t="str">
        <f t="shared" ca="1" si="29"/>
        <v>Ondo</v>
      </c>
      <c r="B132" t="str">
        <f t="shared" ca="1" si="30"/>
        <v>D</v>
      </c>
      <c r="C132" t="str">
        <f t="shared" ca="1" si="31"/>
        <v>C1</v>
      </c>
      <c r="D132" t="s">
        <v>4</v>
      </c>
      <c r="E132">
        <f t="shared" ca="1" si="32"/>
        <v>25</v>
      </c>
      <c r="F132">
        <f t="shared" ca="1" si="33"/>
        <v>2</v>
      </c>
      <c r="G132" t="str">
        <v>A</v>
      </c>
      <c r="H132" t="str">
        <v>A</v>
      </c>
      <c r="I132" t="str">
        <f ca="1">IF($A132="","",IF(COUNTA($R$2:$W$2)=6,"WK "&amp;_xlfn.ISOWEEKNUM($R$2)))</f>
        <v>WK 19</v>
      </c>
      <c r="J132" t="str">
        <f ca="1">IF($A132="","",IF(COUNTA($AF$2:$AK$2)=6,"WK "&amp;_xlfn.ISOWEEKNUM($AF$2)))</f>
        <v>WK 21</v>
      </c>
      <c r="K132" s="20" t="str">
        <f t="shared" ca="1" si="34"/>
        <v>ON</v>
      </c>
      <c r="L132" s="20" t="str">
        <f t="shared" ca="1" si="34"/>
        <v>ON</v>
      </c>
      <c r="M132" s="1" t="str">
        <f t="shared" ca="1" si="35"/>
        <v>ON</v>
      </c>
      <c r="N132" s="1" t="str">
        <f t="shared" ca="1" si="36"/>
        <v>ON</v>
      </c>
      <c r="O132" s="1" t="str">
        <f t="shared" ca="1" si="37"/>
        <v>ON</v>
      </c>
      <c r="P132" s="1" t="str">
        <f t="shared" ca="1" si="38"/>
        <v>ON</v>
      </c>
      <c r="Q132" s="1"/>
      <c r="R132" s="20" t="str">
        <f t="shared" ca="1" si="39"/>
        <v>ON</v>
      </c>
      <c r="S132" s="20" t="str">
        <f t="shared" ca="1" si="39"/>
        <v>ON</v>
      </c>
      <c r="T132" s="1" t="str">
        <f t="shared" ca="1" si="40"/>
        <v>OFF</v>
      </c>
      <c r="U132" s="1" t="str">
        <f t="shared" ca="1" si="41"/>
        <v>ON</v>
      </c>
      <c r="V132" s="1" t="str">
        <f t="shared" ca="1" si="42"/>
        <v>ON</v>
      </c>
      <c r="W132" s="1" t="str">
        <f t="shared" ca="1" si="43"/>
        <v>ON</v>
      </c>
      <c r="X132" s="1"/>
      <c r="Y132" s="20" t="str">
        <f t="shared" ca="1" si="44"/>
        <v>ON</v>
      </c>
      <c r="Z132" s="20" t="str">
        <f t="shared" ca="1" si="44"/>
        <v>ON</v>
      </c>
      <c r="AA132" s="1" t="str">
        <f t="shared" ca="1" si="45"/>
        <v>ON</v>
      </c>
      <c r="AB132" s="1" t="str">
        <f t="shared" ca="1" si="46"/>
        <v>ON</v>
      </c>
      <c r="AC132" s="1" t="str">
        <f t="shared" ca="1" si="47"/>
        <v>ON</v>
      </c>
      <c r="AD132" s="1" t="str">
        <f t="shared" ca="1" si="48"/>
        <v>ON</v>
      </c>
      <c r="AE132" s="1"/>
      <c r="AF132" s="20" t="str">
        <f t="shared" ca="1" si="49"/>
        <v>ON</v>
      </c>
      <c r="AG132" s="20" t="str">
        <f t="shared" ca="1" si="49"/>
        <v>ON</v>
      </c>
      <c r="AH132" s="1" t="str">
        <f t="shared" ca="1" si="50"/>
        <v>OFF</v>
      </c>
      <c r="AI132" s="1" t="str">
        <f t="shared" ca="1" si="51"/>
        <v>ON</v>
      </c>
      <c r="AJ132" s="1" t="str">
        <f t="shared" ca="1" si="52"/>
        <v>ON</v>
      </c>
      <c r="AK132" s="1" t="str">
        <f t="shared" ca="1" si="53"/>
        <v>ON</v>
      </c>
      <c r="AL132" s="1"/>
      <c r="AM132" s="20" t="str">
        <f t="shared" si="54"/>
        <v>ON</v>
      </c>
      <c r="AN132" s="20" t="str">
        <f t="shared" si="54"/>
        <v>ON</v>
      </c>
      <c r="AO132" s="20" t="str">
        <f t="shared" si="55"/>
        <v>ON</v>
      </c>
    </row>
    <row r="133" spans="1:41">
      <c r="A133" t="str">
        <f t="shared" ca="1" si="29"/>
        <v>Lagos</v>
      </c>
      <c r="B133" t="str">
        <f t="shared" ca="1" si="30"/>
        <v>B</v>
      </c>
      <c r="C133" t="str">
        <f t="shared" ca="1" si="31"/>
        <v>B1</v>
      </c>
      <c r="D133" t="s">
        <v>4</v>
      </c>
      <c r="E133">
        <f t="shared" ca="1" si="32"/>
        <v>25</v>
      </c>
      <c r="F133">
        <f t="shared" ca="1" si="33"/>
        <v>2</v>
      </c>
      <c r="G133" t="str" cm="1">
        <f t="array" ref="G133:G136">Groups!$B$2:$B$5</f>
        <v>A</v>
      </c>
      <c r="H133" t="str" cm="1">
        <f t="array" ref="H133:H136">Groups!$B$2:$B$5</f>
        <v>A</v>
      </c>
      <c r="I133" t="str">
        <f ca="1">IF($A133="","",IF(COUNTA($K$2:$P$2)=6,"WK "&amp;_xlfn.ISOWEEKNUM($K$2)))</f>
        <v>WK 18</v>
      </c>
      <c r="J133" t="str">
        <f ca="1">IF($A133="","",IF(COUNTA($Y$2:$AD$2)=6,"WK "&amp;_xlfn.ISOWEEKNUM($Y$2)))</f>
        <v>WK 20</v>
      </c>
      <c r="K133" s="20" t="str">
        <f t="shared" ca="1" si="34"/>
        <v>ON</v>
      </c>
      <c r="L133" s="20" t="str">
        <f t="shared" ca="1" si="34"/>
        <v>ON</v>
      </c>
      <c r="M133" s="1" t="str">
        <f t="shared" ca="1" si="35"/>
        <v>OFF</v>
      </c>
      <c r="N133" s="1" t="str">
        <f t="shared" ca="1" si="36"/>
        <v>ON</v>
      </c>
      <c r="O133" s="1" t="str">
        <f t="shared" ca="1" si="37"/>
        <v>ON</v>
      </c>
      <c r="P133" s="1" t="str">
        <f t="shared" ca="1" si="38"/>
        <v>ON</v>
      </c>
      <c r="Q133" s="1"/>
      <c r="R133" s="20" t="str">
        <f t="shared" ca="1" si="39"/>
        <v>ON</v>
      </c>
      <c r="S133" s="20" t="str">
        <f t="shared" ca="1" si="39"/>
        <v>ON</v>
      </c>
      <c r="T133" s="1" t="str">
        <f t="shared" ca="1" si="40"/>
        <v>ON</v>
      </c>
      <c r="U133" s="1" t="str">
        <f t="shared" ca="1" si="41"/>
        <v>ON</v>
      </c>
      <c r="V133" s="1" t="str">
        <f t="shared" ca="1" si="42"/>
        <v>ON</v>
      </c>
      <c r="W133" s="1" t="str">
        <f t="shared" ca="1" si="43"/>
        <v>ON</v>
      </c>
      <c r="X133" s="1"/>
      <c r="Y133" s="20" t="str">
        <f t="shared" ca="1" si="44"/>
        <v>ON</v>
      </c>
      <c r="Z133" s="20" t="str">
        <f t="shared" ca="1" si="44"/>
        <v>ON</v>
      </c>
      <c r="AA133" s="1" t="str">
        <f t="shared" ca="1" si="45"/>
        <v>OFF</v>
      </c>
      <c r="AB133" s="1" t="str">
        <f t="shared" ca="1" si="46"/>
        <v>ON</v>
      </c>
      <c r="AC133" s="1" t="str">
        <f t="shared" ca="1" si="47"/>
        <v>ON</v>
      </c>
      <c r="AD133" s="1" t="str">
        <f t="shared" ca="1" si="48"/>
        <v>ON</v>
      </c>
      <c r="AE133" s="1"/>
      <c r="AF133" s="20" t="str">
        <f t="shared" ca="1" si="49"/>
        <v>ON</v>
      </c>
      <c r="AG133" s="20" t="str">
        <f t="shared" ca="1" si="49"/>
        <v>ON</v>
      </c>
      <c r="AH133" s="1" t="str">
        <f t="shared" ca="1" si="50"/>
        <v>ON</v>
      </c>
      <c r="AI133" s="1" t="str">
        <f t="shared" ca="1" si="51"/>
        <v>ON</v>
      </c>
      <c r="AJ133" s="1" t="str">
        <f t="shared" ca="1" si="52"/>
        <v>ON</v>
      </c>
      <c r="AK133" s="1" t="str">
        <f t="shared" ca="1" si="53"/>
        <v>ON</v>
      </c>
      <c r="AL133" s="1"/>
      <c r="AM133" s="20" t="str">
        <f t="shared" si="54"/>
        <v>ON</v>
      </c>
      <c r="AN133" s="20" t="str">
        <f t="shared" si="54"/>
        <v>ON</v>
      </c>
      <c r="AO133" s="20" t="str">
        <f t="shared" si="55"/>
        <v>ON</v>
      </c>
    </row>
    <row r="134" spans="1:41">
      <c r="A134" t="str">
        <f t="shared" ref="A134:A197" ca="1" si="56">CHOOSE(RANDBETWEEN(1,5),"Lagos","Ogun","Ondo","Oyo","Ekiti")</f>
        <v>Oyo</v>
      </c>
      <c r="B134" t="str">
        <f t="shared" ref="B134:B197" ca="1" si="57">CHOOSE(RANDBETWEEN(1,5),"A","B","C","D","E")</f>
        <v>D</v>
      </c>
      <c r="C134" t="str">
        <f t="shared" ref="C134:C197" ca="1" si="58">CHOOSE(RANDBETWEEN(1,5),"A1","B1","C1","D1","E1")</f>
        <v>E1</v>
      </c>
      <c r="D134" t="s">
        <v>9</v>
      </c>
      <c r="E134">
        <f t="shared" ref="E134:E197" ca="1" si="59">COUNTIF(K134:AO134, "ON")</f>
        <v>25</v>
      </c>
      <c r="F134">
        <f t="shared" ref="F134:F197" ca="1" si="60">COUNTIF(K134:AO134, "OFF")</f>
        <v>2</v>
      </c>
      <c r="G134" t="str">
        <v>B</v>
      </c>
      <c r="H134" t="str">
        <v>B</v>
      </c>
      <c r="I134" t="str">
        <f ca="1">IF($A134="","",IF(COUNTA($R$2:$W$2)=6,"WK "&amp;_xlfn.ISOWEEKNUM($R$2)))</f>
        <v>WK 19</v>
      </c>
      <c r="J134" t="str">
        <f ca="1">IF($A134="","",IF(COUNTA($AF$2:$AK$2)=6,"WK "&amp;_xlfn.ISOWEEKNUM($AF$2)))</f>
        <v>WK 21</v>
      </c>
      <c r="K134" s="20" t="str">
        <f t="shared" ref="K134:L197" ca="1" si="61">IF($A134="","",IF(COUNTA($K$2:$AO$2)-4,IF(OR(K$4="Mon",K$4="Tue"),$E$1,$D$1)))</f>
        <v>ON</v>
      </c>
      <c r="L134" s="20" t="str">
        <f t="shared" ca="1" si="61"/>
        <v>ON</v>
      </c>
      <c r="M134" s="1" t="str">
        <f t="shared" ref="M134:M197" ca="1" si="62">IF($A134="","",IF(COUNTA($K$2:$AO$2)-4,IF(OR(M$4&lt;&gt;"Mon",M$4&lt;&gt;"Tue"),IF(AND($G134="A",$H134="A",$I134="WK "&amp;_xlfn.ISOWEEKNUM($K$2)),$D$1,$E$1))))</f>
        <v>ON</v>
      </c>
      <c r="N134" s="1" t="str">
        <f t="shared" ref="N134:N197" ca="1" si="63">IF($A134="","",IF(COUNTA($K$2:$AO$2)-4,IF(OR(N$4&lt;&gt;"Mon",N$4&lt;&gt;"Tue"),IF(AND($G134="B",$H134="B",$I134="WK "&amp;_xlfn.ISOWEEKNUM($K$2)),$D$1,$E$1))))</f>
        <v>ON</v>
      </c>
      <c r="O134" s="1" t="str">
        <f t="shared" ref="O134:O197" ca="1" si="64">IF($A134="","",IF(COUNTA($K$2:$AO$2)-4,IF(OR(O$4&lt;&gt;"Mon",O$4&lt;&gt;"Tue"),IF(AND($G134="C",$H134="C",$I134="WK "&amp;_xlfn.ISOWEEKNUM($K$2)),$D$1,$E$1))))</f>
        <v>ON</v>
      </c>
      <c r="P134" s="1" t="str">
        <f t="shared" ref="P134:P197" ca="1" si="65">IF($A134="","",IF(COUNTA($K$2:$AO$2)-4,IF(OR(P$4&lt;&gt;"Mon",P$4&lt;&gt;"Tue"),IF(AND($G134="D",$H134="D",$I134="WK "&amp;_xlfn.ISOWEEKNUM($K$2)),$D$1,$E$1))))</f>
        <v>ON</v>
      </c>
      <c r="Q134" s="1"/>
      <c r="R134" s="20" t="str">
        <f t="shared" ref="R134:S197" ca="1" si="66">IF($A134="","",IF(COUNTA($K$2:$AO$2)-4,IF(OR(R$4="Mon",R$4="Tue"),$E$1,$D$1)))</f>
        <v>ON</v>
      </c>
      <c r="S134" s="20" t="str">
        <f t="shared" ca="1" si="66"/>
        <v>ON</v>
      </c>
      <c r="T134" s="1" t="str">
        <f t="shared" ref="T134:T197" ca="1" si="67">IF($A134="","",IF(COUNTA($K$2:$AO$2)-4,IF(OR(T$4&lt;&gt;"Mon",T$4&lt;&gt;"Tue"),IF(AND($G134="A",$H134="A",$I134="WK "&amp;_xlfn.ISOWEEKNUM($R$2)),$D$1,$E$1))))</f>
        <v>ON</v>
      </c>
      <c r="U134" s="1" t="str">
        <f t="shared" ref="U134:U197" ca="1" si="68">IF($A134="","",IF(COUNTA($K$2:$AO$2)-4,IF(OR(U$4&lt;&gt;"Mon",U$4&lt;&gt;"Tue"),IF(AND($G134="B",$H134="B",$I134="WK "&amp;_xlfn.ISOWEEKNUM($R$2)),$D$1,$E$1))))</f>
        <v>OFF</v>
      </c>
      <c r="V134" s="1" t="str">
        <f t="shared" ref="V134:V197" ca="1" si="69">IF($A134="","",IF(COUNTA($K$2:$AO$2)-4,IF(OR(V$4&lt;&gt;"Mon",V$4&lt;&gt;"Tue"),IF(AND($G134="C",$H134="C",$I134="WK "&amp;_xlfn.ISOWEEKNUM($R$2)),$D$1,$E$1))))</f>
        <v>ON</v>
      </c>
      <c r="W134" s="1" t="str">
        <f t="shared" ref="W134:W197" ca="1" si="70">IF($A134="","",IF(COUNTA($K$2:$AO$2)-4,IF(OR(W$4&lt;&gt;"Mon",W$4&lt;&gt;"Tue"),IF(AND($G134="D",$H134="D",$I134="WK "&amp;_xlfn.ISOWEEKNUM($R$2)),$D$1,$E$1))))</f>
        <v>ON</v>
      </c>
      <c r="X134" s="1"/>
      <c r="Y134" s="20" t="str">
        <f t="shared" ref="Y134:Z197" ca="1" si="71">IF($A134="","",IF(COUNTA($K$2:$AO$2)-4,IF(OR(Y$4="Mon",Y$4="Tue"),$E$1,$D$1)))</f>
        <v>ON</v>
      </c>
      <c r="Z134" s="20" t="str">
        <f t="shared" ca="1" si="71"/>
        <v>ON</v>
      </c>
      <c r="AA134" s="1" t="str">
        <f t="shared" ref="AA134:AA197" ca="1" si="72">IF($A134="","",IF(COUNTA($K$2:$AO$2)-4,IF(OR(AA$4&lt;&gt;"Mon",AA$4&lt;&gt;"Tue"),IF(AND($G134="A",$H134="A",$J134="WK "&amp;_xlfn.ISOWEEKNUM($Y$2)),$D$1,$E$1))))</f>
        <v>ON</v>
      </c>
      <c r="AB134" s="1" t="str">
        <f t="shared" ref="AB134:AB197" ca="1" si="73">IF($A134="","",IF(COUNTA($K$2:$AO$2)-4,IF(OR(AB$4&lt;&gt;"Mon",AB$4&lt;&gt;"Tue"),IF(AND($G134="B",$H134="B",$J134="WK "&amp;_xlfn.ISOWEEKNUM($Y$2)),$D$1,$E$1))))</f>
        <v>ON</v>
      </c>
      <c r="AC134" s="1" t="str">
        <f t="shared" ref="AC134:AC197" ca="1" si="74">IF($A134="","",IF(COUNTA($K$2:$AO$2)-4,IF(OR(AC$4&lt;&gt;"Mon",AC$4&lt;&gt;"Tue"),IF(AND($G134="C",$H134="C",$J134="WK "&amp;_xlfn.ISOWEEKNUM($Y$2)),$D$1,$E$1))))</f>
        <v>ON</v>
      </c>
      <c r="AD134" s="1" t="str">
        <f t="shared" ref="AD134:AD197" ca="1" si="75">IF($A134="","",IF(COUNTA($K$2:$AO$2)-4,IF(OR(AD$4&lt;&gt;"Mon",AD$4&lt;&gt;"Tue"),IF(AND($G134="D",$H134="D",$J134="WK "&amp;_xlfn.ISOWEEKNUM($Y$2)),$D$1,$E$1))))</f>
        <v>ON</v>
      </c>
      <c r="AE134" s="1"/>
      <c r="AF134" s="20" t="str">
        <f t="shared" ref="AF134:AG197" ca="1" si="76">IF($A134="","",IF(COUNTA($K$2:$AO$2)-4,IF(OR(AF$4="Mon",AF$4="Tue"),$E$1,$D$1)))</f>
        <v>ON</v>
      </c>
      <c r="AG134" s="20" t="str">
        <f t="shared" ca="1" si="76"/>
        <v>ON</v>
      </c>
      <c r="AH134" s="1" t="str">
        <f t="shared" ref="AH134:AH197" ca="1" si="77">IF($A134="","",IF(COUNTA($K$2:$AO$2)-4,IF(OR(AH$4&lt;&gt;"Mon",AH$4&lt;&gt;"Tue"),IF(AND($G134="A",$H134="A",$J134="WK "&amp;_xlfn.ISOWEEKNUM($AF$2)),$D$1,$E$1))))</f>
        <v>ON</v>
      </c>
      <c r="AI134" s="1" t="str">
        <f t="shared" ref="AI134:AI197" ca="1" si="78">IF($A134="","",IF(COUNTA($K$2:$AO$2)-4,IF(OR(AI$4&lt;&gt;"Mon",AI$4&lt;&gt;"Tue"),IF(AND($G134="B",$H134="B",$J134="WK "&amp;_xlfn.ISOWEEKNUM($AF$2)),$D$1,$E$1))))</f>
        <v>OFF</v>
      </c>
      <c r="AJ134" s="1" t="str">
        <f t="shared" ref="AJ134:AJ197" ca="1" si="79">IF($A134="","",IF(COUNTA($K$2:$AO$2)-4,IF(OR(AJ$4&lt;&gt;"Mon",AJ$4&lt;&gt;"Tue"),IF(AND($G134="C",$H134="C",$J134="WK "&amp;_xlfn.ISOWEEKNUM($AF$2)),$D$1,$E$1))))</f>
        <v>ON</v>
      </c>
      <c r="AK134" s="1" t="str">
        <f t="shared" ref="AK134:AK197" ca="1" si="80">IF($A134="","",IF(COUNTA($K$2:$AO$2)-4,IF(OR(AK$4&lt;&gt;"Mon",AK$4&lt;&gt;"Tue"),IF(AND($G134="D",$H134="D",$J134="WK "&amp;_xlfn.ISOWEEKNUM($AF$2)),$D$1,$E$1))))</f>
        <v>ON</v>
      </c>
      <c r="AL134" s="1"/>
      <c r="AM134" s="20" t="str">
        <f t="shared" ref="AM134:AN197" si="81">IF(COUNTA($K$2:$AO$2)-4,IF(OR(AM$4="Mon",AM$4="Tue"),$E$1,$D$1))</f>
        <v>ON</v>
      </c>
      <c r="AN134" s="20" t="str">
        <f t="shared" si="81"/>
        <v>ON</v>
      </c>
      <c r="AO134" s="20" t="str">
        <f t="shared" ref="AO134:AO197" si="82">IF(COUNTA($K$2:$AO$2)-4,IF(OR(AO$4="Mon",AO$4="Tue",AO$4="Wed"),$E$1,$D$1))</f>
        <v>ON</v>
      </c>
    </row>
    <row r="135" spans="1:41">
      <c r="A135" t="str">
        <f t="shared" ca="1" si="56"/>
        <v>Oyo</v>
      </c>
      <c r="B135" t="str">
        <f t="shared" ca="1" si="57"/>
        <v>D</v>
      </c>
      <c r="C135" t="str">
        <f t="shared" ca="1" si="58"/>
        <v>B1</v>
      </c>
      <c r="D135" t="s">
        <v>5</v>
      </c>
      <c r="E135">
        <f t="shared" ca="1" si="59"/>
        <v>25</v>
      </c>
      <c r="F135">
        <f t="shared" ca="1" si="60"/>
        <v>2</v>
      </c>
      <c r="G135" t="str">
        <v>C</v>
      </c>
      <c r="H135" t="str">
        <v>C</v>
      </c>
      <c r="I135" t="str">
        <f ca="1">IF($A135="","",IF(COUNTA($K$2:$P$2)=6,"WK "&amp;_xlfn.ISOWEEKNUM($K$2)))</f>
        <v>WK 18</v>
      </c>
      <c r="J135" t="str">
        <f ca="1">IF($A135="","",IF(COUNTA($Y$2:$AD$2)=6,"WK "&amp;_xlfn.ISOWEEKNUM($Y$2)))</f>
        <v>WK 20</v>
      </c>
      <c r="K135" s="20" t="str">
        <f t="shared" ca="1" si="61"/>
        <v>ON</v>
      </c>
      <c r="L135" s="20" t="str">
        <f t="shared" ca="1" si="61"/>
        <v>ON</v>
      </c>
      <c r="M135" s="1" t="str">
        <f t="shared" ca="1" si="62"/>
        <v>ON</v>
      </c>
      <c r="N135" s="1" t="str">
        <f t="shared" ca="1" si="63"/>
        <v>ON</v>
      </c>
      <c r="O135" s="1" t="str">
        <f t="shared" ca="1" si="64"/>
        <v>OFF</v>
      </c>
      <c r="P135" s="1" t="str">
        <f t="shared" ca="1" si="65"/>
        <v>ON</v>
      </c>
      <c r="Q135" s="1"/>
      <c r="R135" s="20" t="str">
        <f t="shared" ca="1" si="66"/>
        <v>ON</v>
      </c>
      <c r="S135" s="20" t="str">
        <f t="shared" ca="1" si="66"/>
        <v>ON</v>
      </c>
      <c r="T135" s="1" t="str">
        <f t="shared" ca="1" si="67"/>
        <v>ON</v>
      </c>
      <c r="U135" s="1" t="str">
        <f t="shared" ca="1" si="68"/>
        <v>ON</v>
      </c>
      <c r="V135" s="1" t="str">
        <f t="shared" ca="1" si="69"/>
        <v>ON</v>
      </c>
      <c r="W135" s="1" t="str">
        <f t="shared" ca="1" si="70"/>
        <v>ON</v>
      </c>
      <c r="X135" s="1"/>
      <c r="Y135" s="20" t="str">
        <f t="shared" ca="1" si="71"/>
        <v>ON</v>
      </c>
      <c r="Z135" s="20" t="str">
        <f t="shared" ca="1" si="71"/>
        <v>ON</v>
      </c>
      <c r="AA135" s="1" t="str">
        <f t="shared" ca="1" si="72"/>
        <v>ON</v>
      </c>
      <c r="AB135" s="1" t="str">
        <f t="shared" ca="1" si="73"/>
        <v>ON</v>
      </c>
      <c r="AC135" s="1" t="str">
        <f t="shared" ca="1" si="74"/>
        <v>OFF</v>
      </c>
      <c r="AD135" s="1" t="str">
        <f t="shared" ca="1" si="75"/>
        <v>ON</v>
      </c>
      <c r="AE135" s="1"/>
      <c r="AF135" s="20" t="str">
        <f t="shared" ca="1" si="76"/>
        <v>ON</v>
      </c>
      <c r="AG135" s="20" t="str">
        <f t="shared" ca="1" si="76"/>
        <v>ON</v>
      </c>
      <c r="AH135" s="1" t="str">
        <f t="shared" ca="1" si="77"/>
        <v>ON</v>
      </c>
      <c r="AI135" s="1" t="str">
        <f t="shared" ca="1" si="78"/>
        <v>ON</v>
      </c>
      <c r="AJ135" s="1" t="str">
        <f t="shared" ca="1" si="79"/>
        <v>ON</v>
      </c>
      <c r="AK135" s="1" t="str">
        <f t="shared" ca="1" si="80"/>
        <v>ON</v>
      </c>
      <c r="AL135" s="1"/>
      <c r="AM135" s="20" t="str">
        <f t="shared" si="81"/>
        <v>ON</v>
      </c>
      <c r="AN135" s="20" t="str">
        <f t="shared" si="81"/>
        <v>ON</v>
      </c>
      <c r="AO135" s="20" t="str">
        <f t="shared" si="82"/>
        <v>ON</v>
      </c>
    </row>
    <row r="136" spans="1:41">
      <c r="A136" t="str">
        <f t="shared" ca="1" si="56"/>
        <v>Ekiti</v>
      </c>
      <c r="B136" t="str">
        <f t="shared" ca="1" si="57"/>
        <v>B</v>
      </c>
      <c r="C136" t="str">
        <f t="shared" ca="1" si="58"/>
        <v>C1</v>
      </c>
      <c r="D136" t="s">
        <v>5</v>
      </c>
      <c r="E136">
        <f t="shared" ca="1" si="59"/>
        <v>25</v>
      </c>
      <c r="F136">
        <f t="shared" ca="1" si="60"/>
        <v>2</v>
      </c>
      <c r="G136" t="str">
        <v>D</v>
      </c>
      <c r="H136" t="str">
        <v>D</v>
      </c>
      <c r="I136" t="str">
        <f ca="1">IF($A136="","",IF(COUNTA($R$2:$W$2)=6,"WK "&amp;_xlfn.ISOWEEKNUM($R$2)))</f>
        <v>WK 19</v>
      </c>
      <c r="J136" t="str">
        <f ca="1">IF($A136="","",IF(COUNTA($AF$2:$AK$2)=6,"WK "&amp;_xlfn.ISOWEEKNUM($AF$2)))</f>
        <v>WK 21</v>
      </c>
      <c r="K136" s="20" t="str">
        <f t="shared" ca="1" si="61"/>
        <v>ON</v>
      </c>
      <c r="L136" s="20" t="str">
        <f t="shared" ca="1" si="61"/>
        <v>ON</v>
      </c>
      <c r="M136" s="1" t="str">
        <f t="shared" ca="1" si="62"/>
        <v>ON</v>
      </c>
      <c r="N136" s="1" t="str">
        <f t="shared" ca="1" si="63"/>
        <v>ON</v>
      </c>
      <c r="O136" s="1" t="str">
        <f t="shared" ca="1" si="64"/>
        <v>ON</v>
      </c>
      <c r="P136" s="1" t="str">
        <f t="shared" ca="1" si="65"/>
        <v>ON</v>
      </c>
      <c r="Q136" s="1"/>
      <c r="R136" s="20" t="str">
        <f t="shared" ca="1" si="66"/>
        <v>ON</v>
      </c>
      <c r="S136" s="20" t="str">
        <f t="shared" ca="1" si="66"/>
        <v>ON</v>
      </c>
      <c r="T136" s="1" t="str">
        <f t="shared" ca="1" si="67"/>
        <v>ON</v>
      </c>
      <c r="U136" s="1" t="str">
        <f t="shared" ca="1" si="68"/>
        <v>ON</v>
      </c>
      <c r="V136" s="1" t="str">
        <f t="shared" ca="1" si="69"/>
        <v>ON</v>
      </c>
      <c r="W136" s="1" t="str">
        <f t="shared" ca="1" si="70"/>
        <v>OFF</v>
      </c>
      <c r="X136" s="1"/>
      <c r="Y136" s="20" t="str">
        <f t="shared" ca="1" si="71"/>
        <v>ON</v>
      </c>
      <c r="Z136" s="20" t="str">
        <f t="shared" ca="1" si="71"/>
        <v>ON</v>
      </c>
      <c r="AA136" s="1" t="str">
        <f t="shared" ca="1" si="72"/>
        <v>ON</v>
      </c>
      <c r="AB136" s="1" t="str">
        <f t="shared" ca="1" si="73"/>
        <v>ON</v>
      </c>
      <c r="AC136" s="1" t="str">
        <f t="shared" ca="1" si="74"/>
        <v>ON</v>
      </c>
      <c r="AD136" s="1" t="str">
        <f t="shared" ca="1" si="75"/>
        <v>ON</v>
      </c>
      <c r="AE136" s="1"/>
      <c r="AF136" s="20" t="str">
        <f t="shared" ca="1" si="76"/>
        <v>ON</v>
      </c>
      <c r="AG136" s="20" t="str">
        <f t="shared" ca="1" si="76"/>
        <v>ON</v>
      </c>
      <c r="AH136" s="1" t="str">
        <f t="shared" ca="1" si="77"/>
        <v>ON</v>
      </c>
      <c r="AI136" s="1" t="str">
        <f t="shared" ca="1" si="78"/>
        <v>ON</v>
      </c>
      <c r="AJ136" s="1" t="str">
        <f t="shared" ca="1" si="79"/>
        <v>ON</v>
      </c>
      <c r="AK136" s="1" t="str">
        <f t="shared" ca="1" si="80"/>
        <v>OFF</v>
      </c>
      <c r="AL136" s="1"/>
      <c r="AM136" s="20" t="str">
        <f t="shared" si="81"/>
        <v>ON</v>
      </c>
      <c r="AN136" s="20" t="str">
        <f t="shared" si="81"/>
        <v>ON</v>
      </c>
      <c r="AO136" s="20" t="str">
        <f t="shared" si="82"/>
        <v>ON</v>
      </c>
    </row>
    <row r="137" spans="1:41">
      <c r="A137" t="str">
        <f t="shared" ca="1" si="56"/>
        <v>Lagos</v>
      </c>
      <c r="B137" t="str">
        <f t="shared" ca="1" si="57"/>
        <v>C</v>
      </c>
      <c r="C137" t="str">
        <f t="shared" ca="1" si="58"/>
        <v>D1</v>
      </c>
      <c r="D137" t="s">
        <v>5</v>
      </c>
      <c r="E137">
        <f t="shared" ca="1" si="59"/>
        <v>25</v>
      </c>
      <c r="F137">
        <f t="shared" ca="1" si="60"/>
        <v>2</v>
      </c>
      <c r="G137" t="str" cm="1">
        <f t="array" ref="G137:G140">IF($G$5:$G$8={"A";"B";"C";"D"},{"D";"C";"B";"A"},{"A";"B";"C";"D"})</f>
        <v>D</v>
      </c>
      <c r="H137" t="str" cm="1">
        <f t="array" ref="H137:H140">IF($H$5:$H$8={"A";"B";"C";"D"},{"D";"C";"B";"A"},{"A";"B";"C";"D"})</f>
        <v>D</v>
      </c>
      <c r="I137" t="str">
        <f ca="1">IF($A137="","",IF(COUNTA($K$2:$P$2)=6,"WK "&amp;_xlfn.ISOWEEKNUM($K$2)))</f>
        <v>WK 18</v>
      </c>
      <c r="J137" t="str">
        <f ca="1">IF($A137="","",IF(COUNTA($Y$2:$AD$2)=6,"WK "&amp;_xlfn.ISOWEEKNUM($Y$2)))</f>
        <v>WK 20</v>
      </c>
      <c r="K137" s="20" t="str">
        <f t="shared" ca="1" si="61"/>
        <v>ON</v>
      </c>
      <c r="L137" s="20" t="str">
        <f t="shared" ca="1" si="61"/>
        <v>ON</v>
      </c>
      <c r="M137" s="1" t="str">
        <f t="shared" ca="1" si="62"/>
        <v>ON</v>
      </c>
      <c r="N137" s="1" t="str">
        <f t="shared" ca="1" si="63"/>
        <v>ON</v>
      </c>
      <c r="O137" s="1" t="str">
        <f t="shared" ca="1" si="64"/>
        <v>ON</v>
      </c>
      <c r="P137" s="1" t="str">
        <f t="shared" ca="1" si="65"/>
        <v>OFF</v>
      </c>
      <c r="Q137" s="1"/>
      <c r="R137" s="20" t="str">
        <f t="shared" ca="1" si="66"/>
        <v>ON</v>
      </c>
      <c r="S137" s="20" t="str">
        <f t="shared" ca="1" si="66"/>
        <v>ON</v>
      </c>
      <c r="T137" s="1" t="str">
        <f t="shared" ca="1" si="67"/>
        <v>ON</v>
      </c>
      <c r="U137" s="1" t="str">
        <f t="shared" ca="1" si="68"/>
        <v>ON</v>
      </c>
      <c r="V137" s="1" t="str">
        <f t="shared" ca="1" si="69"/>
        <v>ON</v>
      </c>
      <c r="W137" s="1" t="str">
        <f t="shared" ca="1" si="70"/>
        <v>ON</v>
      </c>
      <c r="X137" s="1"/>
      <c r="Y137" s="20" t="str">
        <f t="shared" ca="1" si="71"/>
        <v>ON</v>
      </c>
      <c r="Z137" s="20" t="str">
        <f t="shared" ca="1" si="71"/>
        <v>ON</v>
      </c>
      <c r="AA137" s="1" t="str">
        <f t="shared" ca="1" si="72"/>
        <v>ON</v>
      </c>
      <c r="AB137" s="1" t="str">
        <f t="shared" ca="1" si="73"/>
        <v>ON</v>
      </c>
      <c r="AC137" s="1" t="str">
        <f t="shared" ca="1" si="74"/>
        <v>ON</v>
      </c>
      <c r="AD137" s="1" t="str">
        <f t="shared" ca="1" si="75"/>
        <v>OFF</v>
      </c>
      <c r="AE137" s="1"/>
      <c r="AF137" s="20" t="str">
        <f t="shared" ca="1" si="76"/>
        <v>ON</v>
      </c>
      <c r="AG137" s="20" t="str">
        <f t="shared" ca="1" si="76"/>
        <v>ON</v>
      </c>
      <c r="AH137" s="1" t="str">
        <f t="shared" ca="1" si="77"/>
        <v>ON</v>
      </c>
      <c r="AI137" s="1" t="str">
        <f t="shared" ca="1" si="78"/>
        <v>ON</v>
      </c>
      <c r="AJ137" s="1" t="str">
        <f t="shared" ca="1" si="79"/>
        <v>ON</v>
      </c>
      <c r="AK137" s="1" t="str">
        <f t="shared" ca="1" si="80"/>
        <v>ON</v>
      </c>
      <c r="AL137" s="1"/>
      <c r="AM137" s="20" t="str">
        <f t="shared" si="81"/>
        <v>ON</v>
      </c>
      <c r="AN137" s="20" t="str">
        <f t="shared" si="81"/>
        <v>ON</v>
      </c>
      <c r="AO137" s="20" t="str">
        <f t="shared" si="82"/>
        <v>ON</v>
      </c>
    </row>
    <row r="138" spans="1:41">
      <c r="A138" t="str">
        <f t="shared" ca="1" si="56"/>
        <v>Ekiti</v>
      </c>
      <c r="B138" t="str">
        <f t="shared" ca="1" si="57"/>
        <v>A</v>
      </c>
      <c r="C138" t="str">
        <f t="shared" ca="1" si="58"/>
        <v>B1</v>
      </c>
      <c r="D138" t="s">
        <v>5</v>
      </c>
      <c r="E138">
        <f t="shared" ca="1" si="59"/>
        <v>25</v>
      </c>
      <c r="F138">
        <f t="shared" ca="1" si="60"/>
        <v>2</v>
      </c>
      <c r="G138" t="str">
        <v>C</v>
      </c>
      <c r="H138" t="str">
        <v>C</v>
      </c>
      <c r="I138" t="str">
        <f ca="1">IF($A138="","",IF(COUNTA($R$2:$W$2)=6,"WK "&amp;_xlfn.ISOWEEKNUM($R$2)))</f>
        <v>WK 19</v>
      </c>
      <c r="J138" t="str">
        <f ca="1">IF($A138="","",IF(COUNTA($AF$2:$AK$2)=6,"WK "&amp;_xlfn.ISOWEEKNUM($AF$2)))</f>
        <v>WK 21</v>
      </c>
      <c r="K138" s="20" t="str">
        <f t="shared" ca="1" si="61"/>
        <v>ON</v>
      </c>
      <c r="L138" s="20" t="str">
        <f t="shared" ca="1" si="61"/>
        <v>ON</v>
      </c>
      <c r="M138" s="1" t="str">
        <f t="shared" ca="1" si="62"/>
        <v>ON</v>
      </c>
      <c r="N138" s="1" t="str">
        <f t="shared" ca="1" si="63"/>
        <v>ON</v>
      </c>
      <c r="O138" s="1" t="str">
        <f t="shared" ca="1" si="64"/>
        <v>ON</v>
      </c>
      <c r="P138" s="1" t="str">
        <f t="shared" ca="1" si="65"/>
        <v>ON</v>
      </c>
      <c r="Q138" s="1"/>
      <c r="R138" s="20" t="str">
        <f t="shared" ca="1" si="66"/>
        <v>ON</v>
      </c>
      <c r="S138" s="20" t="str">
        <f t="shared" ca="1" si="66"/>
        <v>ON</v>
      </c>
      <c r="T138" s="1" t="str">
        <f t="shared" ca="1" si="67"/>
        <v>ON</v>
      </c>
      <c r="U138" s="1" t="str">
        <f t="shared" ca="1" si="68"/>
        <v>ON</v>
      </c>
      <c r="V138" s="1" t="str">
        <f t="shared" ca="1" si="69"/>
        <v>OFF</v>
      </c>
      <c r="W138" s="1" t="str">
        <f t="shared" ca="1" si="70"/>
        <v>ON</v>
      </c>
      <c r="X138" s="1"/>
      <c r="Y138" s="20" t="str">
        <f t="shared" ca="1" si="71"/>
        <v>ON</v>
      </c>
      <c r="Z138" s="20" t="str">
        <f t="shared" ca="1" si="71"/>
        <v>ON</v>
      </c>
      <c r="AA138" s="1" t="str">
        <f t="shared" ca="1" si="72"/>
        <v>ON</v>
      </c>
      <c r="AB138" s="1" t="str">
        <f t="shared" ca="1" si="73"/>
        <v>ON</v>
      </c>
      <c r="AC138" s="1" t="str">
        <f t="shared" ca="1" si="74"/>
        <v>ON</v>
      </c>
      <c r="AD138" s="1" t="str">
        <f t="shared" ca="1" si="75"/>
        <v>ON</v>
      </c>
      <c r="AE138" s="1"/>
      <c r="AF138" s="20" t="str">
        <f t="shared" ca="1" si="76"/>
        <v>ON</v>
      </c>
      <c r="AG138" s="20" t="str">
        <f t="shared" ca="1" si="76"/>
        <v>ON</v>
      </c>
      <c r="AH138" s="1" t="str">
        <f t="shared" ca="1" si="77"/>
        <v>ON</v>
      </c>
      <c r="AI138" s="1" t="str">
        <f t="shared" ca="1" si="78"/>
        <v>ON</v>
      </c>
      <c r="AJ138" s="1" t="str">
        <f t="shared" ca="1" si="79"/>
        <v>OFF</v>
      </c>
      <c r="AK138" s="1" t="str">
        <f t="shared" ca="1" si="80"/>
        <v>ON</v>
      </c>
      <c r="AL138" s="1"/>
      <c r="AM138" s="20" t="str">
        <f t="shared" si="81"/>
        <v>ON</v>
      </c>
      <c r="AN138" s="20" t="str">
        <f t="shared" si="81"/>
        <v>ON</v>
      </c>
      <c r="AO138" s="20" t="str">
        <f t="shared" si="82"/>
        <v>ON</v>
      </c>
    </row>
    <row r="139" spans="1:41">
      <c r="A139" t="str">
        <f t="shared" ca="1" si="56"/>
        <v>Ondo</v>
      </c>
      <c r="B139" t="str">
        <f t="shared" ca="1" si="57"/>
        <v>E</v>
      </c>
      <c r="C139" t="str">
        <f t="shared" ca="1" si="58"/>
        <v>B1</v>
      </c>
      <c r="D139" t="s">
        <v>5</v>
      </c>
      <c r="E139">
        <f t="shared" ca="1" si="59"/>
        <v>25</v>
      </c>
      <c r="F139">
        <f t="shared" ca="1" si="60"/>
        <v>2</v>
      </c>
      <c r="G139" t="str">
        <v>B</v>
      </c>
      <c r="H139" t="str">
        <v>B</v>
      </c>
      <c r="I139" t="str">
        <f ca="1">IF($A139="","",IF(COUNTA($K$2:$P$2)=6,"WK "&amp;_xlfn.ISOWEEKNUM($K$2)))</f>
        <v>WK 18</v>
      </c>
      <c r="J139" t="str">
        <f ca="1">IF($A139="","",IF(COUNTA($Y$2:$AD$2)=6,"WK "&amp;_xlfn.ISOWEEKNUM($Y$2)))</f>
        <v>WK 20</v>
      </c>
      <c r="K139" s="20" t="str">
        <f t="shared" ca="1" si="61"/>
        <v>ON</v>
      </c>
      <c r="L139" s="20" t="str">
        <f t="shared" ca="1" si="61"/>
        <v>ON</v>
      </c>
      <c r="M139" s="1" t="str">
        <f t="shared" ca="1" si="62"/>
        <v>ON</v>
      </c>
      <c r="N139" s="1" t="str">
        <f t="shared" ca="1" si="63"/>
        <v>OFF</v>
      </c>
      <c r="O139" s="1" t="str">
        <f t="shared" ca="1" si="64"/>
        <v>ON</v>
      </c>
      <c r="P139" s="1" t="str">
        <f t="shared" ca="1" si="65"/>
        <v>ON</v>
      </c>
      <c r="Q139" s="1"/>
      <c r="R139" s="20" t="str">
        <f t="shared" ca="1" si="66"/>
        <v>ON</v>
      </c>
      <c r="S139" s="20" t="str">
        <f t="shared" ca="1" si="66"/>
        <v>ON</v>
      </c>
      <c r="T139" s="1" t="str">
        <f t="shared" ca="1" si="67"/>
        <v>ON</v>
      </c>
      <c r="U139" s="1" t="str">
        <f t="shared" ca="1" si="68"/>
        <v>ON</v>
      </c>
      <c r="V139" s="1" t="str">
        <f t="shared" ca="1" si="69"/>
        <v>ON</v>
      </c>
      <c r="W139" s="1" t="str">
        <f t="shared" ca="1" si="70"/>
        <v>ON</v>
      </c>
      <c r="X139" s="1"/>
      <c r="Y139" s="20" t="str">
        <f t="shared" ca="1" si="71"/>
        <v>ON</v>
      </c>
      <c r="Z139" s="20" t="str">
        <f t="shared" ca="1" si="71"/>
        <v>ON</v>
      </c>
      <c r="AA139" s="1" t="str">
        <f t="shared" ca="1" si="72"/>
        <v>ON</v>
      </c>
      <c r="AB139" s="1" t="str">
        <f t="shared" ca="1" si="73"/>
        <v>OFF</v>
      </c>
      <c r="AC139" s="1" t="str">
        <f t="shared" ca="1" si="74"/>
        <v>ON</v>
      </c>
      <c r="AD139" s="1" t="str">
        <f t="shared" ca="1" si="75"/>
        <v>ON</v>
      </c>
      <c r="AE139" s="1"/>
      <c r="AF139" s="20" t="str">
        <f t="shared" ca="1" si="76"/>
        <v>ON</v>
      </c>
      <c r="AG139" s="20" t="str">
        <f t="shared" ca="1" si="76"/>
        <v>ON</v>
      </c>
      <c r="AH139" s="1" t="str">
        <f t="shared" ca="1" si="77"/>
        <v>ON</v>
      </c>
      <c r="AI139" s="1" t="str">
        <f t="shared" ca="1" si="78"/>
        <v>ON</v>
      </c>
      <c r="AJ139" s="1" t="str">
        <f t="shared" ca="1" si="79"/>
        <v>ON</v>
      </c>
      <c r="AK139" s="1" t="str">
        <f t="shared" ca="1" si="80"/>
        <v>ON</v>
      </c>
      <c r="AL139" s="1"/>
      <c r="AM139" s="20" t="str">
        <f t="shared" si="81"/>
        <v>ON</v>
      </c>
      <c r="AN139" s="20" t="str">
        <f t="shared" si="81"/>
        <v>ON</v>
      </c>
      <c r="AO139" s="20" t="str">
        <f t="shared" si="82"/>
        <v>ON</v>
      </c>
    </row>
    <row r="140" spans="1:41">
      <c r="A140" t="str">
        <f t="shared" ca="1" si="56"/>
        <v>Lagos</v>
      </c>
      <c r="B140" t="str">
        <f t="shared" ca="1" si="57"/>
        <v>E</v>
      </c>
      <c r="C140" t="str">
        <f t="shared" ca="1" si="58"/>
        <v>E1</v>
      </c>
      <c r="D140" t="s">
        <v>7</v>
      </c>
      <c r="E140">
        <f t="shared" ca="1" si="59"/>
        <v>25</v>
      </c>
      <c r="F140">
        <f t="shared" ca="1" si="60"/>
        <v>2</v>
      </c>
      <c r="G140" t="str">
        <v>A</v>
      </c>
      <c r="H140" t="str">
        <v>A</v>
      </c>
      <c r="I140" t="str">
        <f ca="1">IF($A140="","",IF(COUNTA($R$2:$W$2)=6,"WK "&amp;_xlfn.ISOWEEKNUM($R$2)))</f>
        <v>WK 19</v>
      </c>
      <c r="J140" t="str">
        <f ca="1">IF($A140="","",IF(COUNTA($AF$2:$AK$2)=6,"WK "&amp;_xlfn.ISOWEEKNUM($AF$2)))</f>
        <v>WK 21</v>
      </c>
      <c r="K140" s="20" t="str">
        <f t="shared" ca="1" si="61"/>
        <v>ON</v>
      </c>
      <c r="L140" s="20" t="str">
        <f t="shared" ca="1" si="61"/>
        <v>ON</v>
      </c>
      <c r="M140" s="1" t="str">
        <f t="shared" ca="1" si="62"/>
        <v>ON</v>
      </c>
      <c r="N140" s="1" t="str">
        <f t="shared" ca="1" si="63"/>
        <v>ON</v>
      </c>
      <c r="O140" s="1" t="str">
        <f t="shared" ca="1" si="64"/>
        <v>ON</v>
      </c>
      <c r="P140" s="1" t="str">
        <f t="shared" ca="1" si="65"/>
        <v>ON</v>
      </c>
      <c r="Q140" s="1"/>
      <c r="R140" s="20" t="str">
        <f t="shared" ca="1" si="66"/>
        <v>ON</v>
      </c>
      <c r="S140" s="20" t="str">
        <f t="shared" ca="1" si="66"/>
        <v>ON</v>
      </c>
      <c r="T140" s="1" t="str">
        <f t="shared" ca="1" si="67"/>
        <v>OFF</v>
      </c>
      <c r="U140" s="1" t="str">
        <f t="shared" ca="1" si="68"/>
        <v>ON</v>
      </c>
      <c r="V140" s="1" t="str">
        <f t="shared" ca="1" si="69"/>
        <v>ON</v>
      </c>
      <c r="W140" s="1" t="str">
        <f t="shared" ca="1" si="70"/>
        <v>ON</v>
      </c>
      <c r="X140" s="1"/>
      <c r="Y140" s="20" t="str">
        <f t="shared" ca="1" si="71"/>
        <v>ON</v>
      </c>
      <c r="Z140" s="20" t="str">
        <f t="shared" ca="1" si="71"/>
        <v>ON</v>
      </c>
      <c r="AA140" s="1" t="str">
        <f t="shared" ca="1" si="72"/>
        <v>ON</v>
      </c>
      <c r="AB140" s="1" t="str">
        <f t="shared" ca="1" si="73"/>
        <v>ON</v>
      </c>
      <c r="AC140" s="1" t="str">
        <f t="shared" ca="1" si="74"/>
        <v>ON</v>
      </c>
      <c r="AD140" s="1" t="str">
        <f t="shared" ca="1" si="75"/>
        <v>ON</v>
      </c>
      <c r="AE140" s="1"/>
      <c r="AF140" s="20" t="str">
        <f t="shared" ca="1" si="76"/>
        <v>ON</v>
      </c>
      <c r="AG140" s="20" t="str">
        <f t="shared" ca="1" si="76"/>
        <v>ON</v>
      </c>
      <c r="AH140" s="1" t="str">
        <f t="shared" ca="1" si="77"/>
        <v>OFF</v>
      </c>
      <c r="AI140" s="1" t="str">
        <f t="shared" ca="1" si="78"/>
        <v>ON</v>
      </c>
      <c r="AJ140" s="1" t="str">
        <f t="shared" ca="1" si="79"/>
        <v>ON</v>
      </c>
      <c r="AK140" s="1" t="str">
        <f t="shared" ca="1" si="80"/>
        <v>ON</v>
      </c>
      <c r="AL140" s="1"/>
      <c r="AM140" s="20" t="str">
        <f t="shared" si="81"/>
        <v>ON</v>
      </c>
      <c r="AN140" s="20" t="str">
        <f t="shared" si="81"/>
        <v>ON</v>
      </c>
      <c r="AO140" s="20" t="str">
        <f t="shared" si="82"/>
        <v>ON</v>
      </c>
    </row>
    <row r="141" spans="1:41">
      <c r="A141" t="str">
        <f t="shared" ca="1" si="56"/>
        <v>Ekiti</v>
      </c>
      <c r="B141" t="str">
        <f t="shared" ca="1" si="57"/>
        <v>A</v>
      </c>
      <c r="C141" t="str">
        <f t="shared" ca="1" si="58"/>
        <v>E1</v>
      </c>
      <c r="D141" t="s">
        <v>7</v>
      </c>
      <c r="E141">
        <f t="shared" ca="1" si="59"/>
        <v>25</v>
      </c>
      <c r="F141">
        <f t="shared" ca="1" si="60"/>
        <v>2</v>
      </c>
      <c r="G141" t="str" cm="1">
        <f t="array" ref="G141:G144">Groups!$B$2:$B$5</f>
        <v>A</v>
      </c>
      <c r="H141" t="str" cm="1">
        <f t="array" ref="H141:H144">Groups!$B$2:$B$5</f>
        <v>A</v>
      </c>
      <c r="I141" t="str">
        <f ca="1">IF($A141="","",IF(COUNTA($K$2:$P$2)=6,"WK "&amp;_xlfn.ISOWEEKNUM($K$2)))</f>
        <v>WK 18</v>
      </c>
      <c r="J141" t="str">
        <f ca="1">IF($A141="","",IF(COUNTA($Y$2:$AD$2)=6,"WK "&amp;_xlfn.ISOWEEKNUM($Y$2)))</f>
        <v>WK 20</v>
      </c>
      <c r="K141" s="20" t="str">
        <f t="shared" ca="1" si="61"/>
        <v>ON</v>
      </c>
      <c r="L141" s="20" t="str">
        <f t="shared" ca="1" si="61"/>
        <v>ON</v>
      </c>
      <c r="M141" s="1" t="str">
        <f t="shared" ca="1" si="62"/>
        <v>OFF</v>
      </c>
      <c r="N141" s="1" t="str">
        <f t="shared" ca="1" si="63"/>
        <v>ON</v>
      </c>
      <c r="O141" s="1" t="str">
        <f t="shared" ca="1" si="64"/>
        <v>ON</v>
      </c>
      <c r="P141" s="1" t="str">
        <f t="shared" ca="1" si="65"/>
        <v>ON</v>
      </c>
      <c r="Q141" s="1"/>
      <c r="R141" s="20" t="str">
        <f t="shared" ca="1" si="66"/>
        <v>ON</v>
      </c>
      <c r="S141" s="20" t="str">
        <f t="shared" ca="1" si="66"/>
        <v>ON</v>
      </c>
      <c r="T141" s="1" t="str">
        <f t="shared" ca="1" si="67"/>
        <v>ON</v>
      </c>
      <c r="U141" s="1" t="str">
        <f t="shared" ca="1" si="68"/>
        <v>ON</v>
      </c>
      <c r="V141" s="1" t="str">
        <f t="shared" ca="1" si="69"/>
        <v>ON</v>
      </c>
      <c r="W141" s="1" t="str">
        <f t="shared" ca="1" si="70"/>
        <v>ON</v>
      </c>
      <c r="X141" s="1"/>
      <c r="Y141" s="20" t="str">
        <f t="shared" ca="1" si="71"/>
        <v>ON</v>
      </c>
      <c r="Z141" s="20" t="str">
        <f t="shared" ca="1" si="71"/>
        <v>ON</v>
      </c>
      <c r="AA141" s="1" t="str">
        <f t="shared" ca="1" si="72"/>
        <v>OFF</v>
      </c>
      <c r="AB141" s="1" t="str">
        <f t="shared" ca="1" si="73"/>
        <v>ON</v>
      </c>
      <c r="AC141" s="1" t="str">
        <f t="shared" ca="1" si="74"/>
        <v>ON</v>
      </c>
      <c r="AD141" s="1" t="str">
        <f t="shared" ca="1" si="75"/>
        <v>ON</v>
      </c>
      <c r="AE141" s="1"/>
      <c r="AF141" s="20" t="str">
        <f t="shared" ca="1" si="76"/>
        <v>ON</v>
      </c>
      <c r="AG141" s="20" t="str">
        <f t="shared" ca="1" si="76"/>
        <v>ON</v>
      </c>
      <c r="AH141" s="1" t="str">
        <f t="shared" ca="1" si="77"/>
        <v>ON</v>
      </c>
      <c r="AI141" s="1" t="str">
        <f t="shared" ca="1" si="78"/>
        <v>ON</v>
      </c>
      <c r="AJ141" s="1" t="str">
        <f t="shared" ca="1" si="79"/>
        <v>ON</v>
      </c>
      <c r="AK141" s="1" t="str">
        <f t="shared" ca="1" si="80"/>
        <v>ON</v>
      </c>
      <c r="AL141" s="1"/>
      <c r="AM141" s="20" t="str">
        <f t="shared" si="81"/>
        <v>ON</v>
      </c>
      <c r="AN141" s="20" t="str">
        <f t="shared" si="81"/>
        <v>ON</v>
      </c>
      <c r="AO141" s="20" t="str">
        <f t="shared" si="82"/>
        <v>ON</v>
      </c>
    </row>
    <row r="142" spans="1:41">
      <c r="A142" t="str">
        <f t="shared" ca="1" si="56"/>
        <v>Ekiti</v>
      </c>
      <c r="B142" t="str">
        <f t="shared" ca="1" si="57"/>
        <v>B</v>
      </c>
      <c r="C142" t="str">
        <f t="shared" ca="1" si="58"/>
        <v>E1</v>
      </c>
      <c r="D142" t="s">
        <v>7</v>
      </c>
      <c r="E142">
        <f t="shared" ca="1" si="59"/>
        <v>25</v>
      </c>
      <c r="F142">
        <f t="shared" ca="1" si="60"/>
        <v>2</v>
      </c>
      <c r="G142" t="str">
        <v>B</v>
      </c>
      <c r="H142" t="str">
        <v>B</v>
      </c>
      <c r="I142" t="str">
        <f ca="1">IF($A142="","",IF(COUNTA($R$2:$W$2)=6,"WK "&amp;_xlfn.ISOWEEKNUM($R$2)))</f>
        <v>WK 19</v>
      </c>
      <c r="J142" t="str">
        <f ca="1">IF($A142="","",IF(COUNTA($AF$2:$AK$2)=6,"WK "&amp;_xlfn.ISOWEEKNUM($AF$2)))</f>
        <v>WK 21</v>
      </c>
      <c r="K142" s="20" t="str">
        <f t="shared" ca="1" si="61"/>
        <v>ON</v>
      </c>
      <c r="L142" s="20" t="str">
        <f t="shared" ca="1" si="61"/>
        <v>ON</v>
      </c>
      <c r="M142" s="1" t="str">
        <f t="shared" ca="1" si="62"/>
        <v>ON</v>
      </c>
      <c r="N142" s="1" t="str">
        <f t="shared" ca="1" si="63"/>
        <v>ON</v>
      </c>
      <c r="O142" s="1" t="str">
        <f t="shared" ca="1" si="64"/>
        <v>ON</v>
      </c>
      <c r="P142" s="1" t="str">
        <f t="shared" ca="1" si="65"/>
        <v>ON</v>
      </c>
      <c r="Q142" s="1"/>
      <c r="R142" s="20" t="str">
        <f t="shared" ca="1" si="66"/>
        <v>ON</v>
      </c>
      <c r="S142" s="20" t="str">
        <f t="shared" ca="1" si="66"/>
        <v>ON</v>
      </c>
      <c r="T142" s="1" t="str">
        <f t="shared" ca="1" si="67"/>
        <v>ON</v>
      </c>
      <c r="U142" s="1" t="str">
        <f t="shared" ca="1" si="68"/>
        <v>OFF</v>
      </c>
      <c r="V142" s="1" t="str">
        <f t="shared" ca="1" si="69"/>
        <v>ON</v>
      </c>
      <c r="W142" s="1" t="str">
        <f t="shared" ca="1" si="70"/>
        <v>ON</v>
      </c>
      <c r="X142" s="1"/>
      <c r="Y142" s="20" t="str">
        <f t="shared" ca="1" si="71"/>
        <v>ON</v>
      </c>
      <c r="Z142" s="20" t="str">
        <f t="shared" ca="1" si="71"/>
        <v>ON</v>
      </c>
      <c r="AA142" s="1" t="str">
        <f t="shared" ca="1" si="72"/>
        <v>ON</v>
      </c>
      <c r="AB142" s="1" t="str">
        <f t="shared" ca="1" si="73"/>
        <v>ON</v>
      </c>
      <c r="AC142" s="1" t="str">
        <f t="shared" ca="1" si="74"/>
        <v>ON</v>
      </c>
      <c r="AD142" s="1" t="str">
        <f t="shared" ca="1" si="75"/>
        <v>ON</v>
      </c>
      <c r="AE142" s="1"/>
      <c r="AF142" s="20" t="str">
        <f t="shared" ca="1" si="76"/>
        <v>ON</v>
      </c>
      <c r="AG142" s="20" t="str">
        <f t="shared" ca="1" si="76"/>
        <v>ON</v>
      </c>
      <c r="AH142" s="1" t="str">
        <f t="shared" ca="1" si="77"/>
        <v>ON</v>
      </c>
      <c r="AI142" s="1" t="str">
        <f t="shared" ca="1" si="78"/>
        <v>OFF</v>
      </c>
      <c r="AJ142" s="1" t="str">
        <f t="shared" ca="1" si="79"/>
        <v>ON</v>
      </c>
      <c r="AK142" s="1" t="str">
        <f t="shared" ca="1" si="80"/>
        <v>ON</v>
      </c>
      <c r="AL142" s="1"/>
      <c r="AM142" s="20" t="str">
        <f t="shared" si="81"/>
        <v>ON</v>
      </c>
      <c r="AN142" s="20" t="str">
        <f t="shared" si="81"/>
        <v>ON</v>
      </c>
      <c r="AO142" s="20" t="str">
        <f t="shared" si="82"/>
        <v>ON</v>
      </c>
    </row>
    <row r="143" spans="1:41">
      <c r="A143" t="str">
        <f t="shared" ca="1" si="56"/>
        <v>Ondo</v>
      </c>
      <c r="B143" t="str">
        <f t="shared" ca="1" si="57"/>
        <v>D</v>
      </c>
      <c r="C143" t="str">
        <f t="shared" ca="1" si="58"/>
        <v>C1</v>
      </c>
      <c r="D143" t="s">
        <v>7</v>
      </c>
      <c r="E143">
        <f t="shared" ca="1" si="59"/>
        <v>25</v>
      </c>
      <c r="F143">
        <f t="shared" ca="1" si="60"/>
        <v>2</v>
      </c>
      <c r="G143" t="str">
        <v>C</v>
      </c>
      <c r="H143" t="str">
        <v>C</v>
      </c>
      <c r="I143" t="str">
        <f ca="1">IF($A143="","",IF(COUNTA($K$2:$P$2)=6,"WK "&amp;_xlfn.ISOWEEKNUM($K$2)))</f>
        <v>WK 18</v>
      </c>
      <c r="J143" t="str">
        <f ca="1">IF($A143="","",IF(COUNTA($Y$2:$AD$2)=6,"WK "&amp;_xlfn.ISOWEEKNUM($Y$2)))</f>
        <v>WK 20</v>
      </c>
      <c r="K143" s="20" t="str">
        <f t="shared" ca="1" si="61"/>
        <v>ON</v>
      </c>
      <c r="L143" s="20" t="str">
        <f t="shared" ca="1" si="61"/>
        <v>ON</v>
      </c>
      <c r="M143" s="1" t="str">
        <f t="shared" ca="1" si="62"/>
        <v>ON</v>
      </c>
      <c r="N143" s="1" t="str">
        <f t="shared" ca="1" si="63"/>
        <v>ON</v>
      </c>
      <c r="O143" s="1" t="str">
        <f t="shared" ca="1" si="64"/>
        <v>OFF</v>
      </c>
      <c r="P143" s="1" t="str">
        <f t="shared" ca="1" si="65"/>
        <v>ON</v>
      </c>
      <c r="Q143" s="1"/>
      <c r="R143" s="20" t="str">
        <f t="shared" ca="1" si="66"/>
        <v>ON</v>
      </c>
      <c r="S143" s="20" t="str">
        <f t="shared" ca="1" si="66"/>
        <v>ON</v>
      </c>
      <c r="T143" s="1" t="str">
        <f t="shared" ca="1" si="67"/>
        <v>ON</v>
      </c>
      <c r="U143" s="1" t="str">
        <f t="shared" ca="1" si="68"/>
        <v>ON</v>
      </c>
      <c r="V143" s="1" t="str">
        <f t="shared" ca="1" si="69"/>
        <v>ON</v>
      </c>
      <c r="W143" s="1" t="str">
        <f t="shared" ca="1" si="70"/>
        <v>ON</v>
      </c>
      <c r="X143" s="1"/>
      <c r="Y143" s="20" t="str">
        <f t="shared" ca="1" si="71"/>
        <v>ON</v>
      </c>
      <c r="Z143" s="20" t="str">
        <f t="shared" ca="1" si="71"/>
        <v>ON</v>
      </c>
      <c r="AA143" s="1" t="str">
        <f t="shared" ca="1" si="72"/>
        <v>ON</v>
      </c>
      <c r="AB143" s="1" t="str">
        <f t="shared" ca="1" si="73"/>
        <v>ON</v>
      </c>
      <c r="AC143" s="1" t="str">
        <f t="shared" ca="1" si="74"/>
        <v>OFF</v>
      </c>
      <c r="AD143" s="1" t="str">
        <f t="shared" ca="1" si="75"/>
        <v>ON</v>
      </c>
      <c r="AE143" s="1"/>
      <c r="AF143" s="20" t="str">
        <f t="shared" ca="1" si="76"/>
        <v>ON</v>
      </c>
      <c r="AG143" s="20" t="str">
        <f t="shared" ca="1" si="76"/>
        <v>ON</v>
      </c>
      <c r="AH143" s="1" t="str">
        <f t="shared" ca="1" si="77"/>
        <v>ON</v>
      </c>
      <c r="AI143" s="1" t="str">
        <f t="shared" ca="1" si="78"/>
        <v>ON</v>
      </c>
      <c r="AJ143" s="1" t="str">
        <f t="shared" ca="1" si="79"/>
        <v>ON</v>
      </c>
      <c r="AK143" s="1" t="str">
        <f t="shared" ca="1" si="80"/>
        <v>ON</v>
      </c>
      <c r="AL143" s="1"/>
      <c r="AM143" s="20" t="str">
        <f t="shared" si="81"/>
        <v>ON</v>
      </c>
      <c r="AN143" s="20" t="str">
        <f t="shared" si="81"/>
        <v>ON</v>
      </c>
      <c r="AO143" s="20" t="str">
        <f t="shared" si="82"/>
        <v>ON</v>
      </c>
    </row>
    <row r="144" spans="1:41">
      <c r="A144" t="str">
        <f t="shared" ca="1" si="56"/>
        <v>Ogun</v>
      </c>
      <c r="B144" t="str">
        <f t="shared" ca="1" si="57"/>
        <v>E</v>
      </c>
      <c r="C144" t="str">
        <f t="shared" ca="1" si="58"/>
        <v>A1</v>
      </c>
      <c r="D144" t="s">
        <v>9</v>
      </c>
      <c r="E144">
        <f t="shared" ca="1" si="59"/>
        <v>25</v>
      </c>
      <c r="F144">
        <f t="shared" ca="1" si="60"/>
        <v>2</v>
      </c>
      <c r="G144" t="str">
        <v>D</v>
      </c>
      <c r="H144" t="str">
        <v>D</v>
      </c>
      <c r="I144" t="str">
        <f ca="1">IF($A144="","",IF(COUNTA($R$2:$W$2)=6,"WK "&amp;_xlfn.ISOWEEKNUM($R$2)))</f>
        <v>WK 19</v>
      </c>
      <c r="J144" t="str">
        <f ca="1">IF($A144="","",IF(COUNTA($AF$2:$AK$2)=6,"WK "&amp;_xlfn.ISOWEEKNUM($AF$2)))</f>
        <v>WK 21</v>
      </c>
      <c r="K144" s="20" t="str">
        <f t="shared" ca="1" si="61"/>
        <v>ON</v>
      </c>
      <c r="L144" s="20" t="str">
        <f t="shared" ca="1" si="61"/>
        <v>ON</v>
      </c>
      <c r="M144" s="1" t="str">
        <f t="shared" ca="1" si="62"/>
        <v>ON</v>
      </c>
      <c r="N144" s="1" t="str">
        <f t="shared" ca="1" si="63"/>
        <v>ON</v>
      </c>
      <c r="O144" s="1" t="str">
        <f t="shared" ca="1" si="64"/>
        <v>ON</v>
      </c>
      <c r="P144" s="1" t="str">
        <f t="shared" ca="1" si="65"/>
        <v>ON</v>
      </c>
      <c r="Q144" s="1"/>
      <c r="R144" s="20" t="str">
        <f t="shared" ca="1" si="66"/>
        <v>ON</v>
      </c>
      <c r="S144" s="20" t="str">
        <f t="shared" ca="1" si="66"/>
        <v>ON</v>
      </c>
      <c r="T144" s="1" t="str">
        <f t="shared" ca="1" si="67"/>
        <v>ON</v>
      </c>
      <c r="U144" s="1" t="str">
        <f t="shared" ca="1" si="68"/>
        <v>ON</v>
      </c>
      <c r="V144" s="1" t="str">
        <f t="shared" ca="1" si="69"/>
        <v>ON</v>
      </c>
      <c r="W144" s="1" t="str">
        <f t="shared" ca="1" si="70"/>
        <v>OFF</v>
      </c>
      <c r="X144" s="1"/>
      <c r="Y144" s="20" t="str">
        <f t="shared" ca="1" si="71"/>
        <v>ON</v>
      </c>
      <c r="Z144" s="20" t="str">
        <f t="shared" ca="1" si="71"/>
        <v>ON</v>
      </c>
      <c r="AA144" s="1" t="str">
        <f t="shared" ca="1" si="72"/>
        <v>ON</v>
      </c>
      <c r="AB144" s="1" t="str">
        <f t="shared" ca="1" si="73"/>
        <v>ON</v>
      </c>
      <c r="AC144" s="1" t="str">
        <f t="shared" ca="1" si="74"/>
        <v>ON</v>
      </c>
      <c r="AD144" s="1" t="str">
        <f t="shared" ca="1" si="75"/>
        <v>ON</v>
      </c>
      <c r="AE144" s="1"/>
      <c r="AF144" s="20" t="str">
        <f t="shared" ca="1" si="76"/>
        <v>ON</v>
      </c>
      <c r="AG144" s="20" t="str">
        <f t="shared" ca="1" si="76"/>
        <v>ON</v>
      </c>
      <c r="AH144" s="1" t="str">
        <f t="shared" ca="1" si="77"/>
        <v>ON</v>
      </c>
      <c r="AI144" s="1" t="str">
        <f t="shared" ca="1" si="78"/>
        <v>ON</v>
      </c>
      <c r="AJ144" s="1" t="str">
        <f t="shared" ca="1" si="79"/>
        <v>ON</v>
      </c>
      <c r="AK144" s="1" t="str">
        <f t="shared" ca="1" si="80"/>
        <v>OFF</v>
      </c>
      <c r="AL144" s="1"/>
      <c r="AM144" s="20" t="str">
        <f t="shared" si="81"/>
        <v>ON</v>
      </c>
      <c r="AN144" s="20" t="str">
        <f t="shared" si="81"/>
        <v>ON</v>
      </c>
      <c r="AO144" s="20" t="str">
        <f t="shared" si="82"/>
        <v>ON</v>
      </c>
    </row>
    <row r="145" spans="1:41">
      <c r="A145" t="str">
        <f t="shared" ca="1" si="56"/>
        <v>Ogun</v>
      </c>
      <c r="B145" t="str">
        <f t="shared" ca="1" si="57"/>
        <v>D</v>
      </c>
      <c r="C145" t="str">
        <f t="shared" ca="1" si="58"/>
        <v>D1</v>
      </c>
      <c r="D145" t="s">
        <v>5</v>
      </c>
      <c r="E145">
        <f t="shared" ca="1" si="59"/>
        <v>25</v>
      </c>
      <c r="F145">
        <f t="shared" ca="1" si="60"/>
        <v>2</v>
      </c>
      <c r="G145" t="str" cm="1">
        <f t="array" ref="G145:G148">IF($G$5:$G$8={"A";"B";"C";"D"},{"D";"C";"B";"A"},{"A";"B";"C";"D"})</f>
        <v>D</v>
      </c>
      <c r="H145" t="str" cm="1">
        <f t="array" ref="H145:H148">IF($H$5:$H$8={"A";"B";"C";"D"},{"D";"C";"B";"A"},{"A";"B";"C";"D"})</f>
        <v>D</v>
      </c>
      <c r="I145" t="str">
        <f ca="1">IF($A145="","",IF(COUNTA($K$2:$P$2)=6,"WK "&amp;_xlfn.ISOWEEKNUM($K$2)))</f>
        <v>WK 18</v>
      </c>
      <c r="J145" t="str">
        <f ca="1">IF($A145="","",IF(COUNTA($Y$2:$AD$2)=6,"WK "&amp;_xlfn.ISOWEEKNUM($Y$2)))</f>
        <v>WK 20</v>
      </c>
      <c r="K145" s="20" t="str">
        <f t="shared" ca="1" si="61"/>
        <v>ON</v>
      </c>
      <c r="L145" s="20" t="str">
        <f t="shared" ca="1" si="61"/>
        <v>ON</v>
      </c>
      <c r="M145" s="1" t="str">
        <f t="shared" ca="1" si="62"/>
        <v>ON</v>
      </c>
      <c r="N145" s="1" t="str">
        <f t="shared" ca="1" si="63"/>
        <v>ON</v>
      </c>
      <c r="O145" s="1" t="str">
        <f t="shared" ca="1" si="64"/>
        <v>ON</v>
      </c>
      <c r="P145" s="1" t="str">
        <f t="shared" ca="1" si="65"/>
        <v>OFF</v>
      </c>
      <c r="Q145" s="1"/>
      <c r="R145" s="20" t="str">
        <f t="shared" ca="1" si="66"/>
        <v>ON</v>
      </c>
      <c r="S145" s="20" t="str">
        <f t="shared" ca="1" si="66"/>
        <v>ON</v>
      </c>
      <c r="T145" s="1" t="str">
        <f t="shared" ca="1" si="67"/>
        <v>ON</v>
      </c>
      <c r="U145" s="1" t="str">
        <f t="shared" ca="1" si="68"/>
        <v>ON</v>
      </c>
      <c r="V145" s="1" t="str">
        <f t="shared" ca="1" si="69"/>
        <v>ON</v>
      </c>
      <c r="W145" s="1" t="str">
        <f t="shared" ca="1" si="70"/>
        <v>ON</v>
      </c>
      <c r="X145" s="1"/>
      <c r="Y145" s="20" t="str">
        <f t="shared" ca="1" si="71"/>
        <v>ON</v>
      </c>
      <c r="Z145" s="20" t="str">
        <f t="shared" ca="1" si="71"/>
        <v>ON</v>
      </c>
      <c r="AA145" s="1" t="str">
        <f t="shared" ca="1" si="72"/>
        <v>ON</v>
      </c>
      <c r="AB145" s="1" t="str">
        <f t="shared" ca="1" si="73"/>
        <v>ON</v>
      </c>
      <c r="AC145" s="1" t="str">
        <f t="shared" ca="1" si="74"/>
        <v>ON</v>
      </c>
      <c r="AD145" s="1" t="str">
        <f t="shared" ca="1" si="75"/>
        <v>OFF</v>
      </c>
      <c r="AE145" s="1"/>
      <c r="AF145" s="20" t="str">
        <f t="shared" ca="1" si="76"/>
        <v>ON</v>
      </c>
      <c r="AG145" s="20" t="str">
        <f t="shared" ca="1" si="76"/>
        <v>ON</v>
      </c>
      <c r="AH145" s="1" t="str">
        <f t="shared" ca="1" si="77"/>
        <v>ON</v>
      </c>
      <c r="AI145" s="1" t="str">
        <f t="shared" ca="1" si="78"/>
        <v>ON</v>
      </c>
      <c r="AJ145" s="1" t="str">
        <f t="shared" ca="1" si="79"/>
        <v>ON</v>
      </c>
      <c r="AK145" s="1" t="str">
        <f t="shared" ca="1" si="80"/>
        <v>ON</v>
      </c>
      <c r="AL145" s="1"/>
      <c r="AM145" s="20" t="str">
        <f t="shared" si="81"/>
        <v>ON</v>
      </c>
      <c r="AN145" s="20" t="str">
        <f t="shared" si="81"/>
        <v>ON</v>
      </c>
      <c r="AO145" s="20" t="str">
        <f t="shared" si="82"/>
        <v>ON</v>
      </c>
    </row>
    <row r="146" spans="1:41">
      <c r="A146" t="str">
        <f t="shared" ca="1" si="56"/>
        <v>Lagos</v>
      </c>
      <c r="B146" t="str">
        <f t="shared" ca="1" si="57"/>
        <v>B</v>
      </c>
      <c r="C146" t="str">
        <f t="shared" ca="1" si="58"/>
        <v>D1</v>
      </c>
      <c r="D146" t="s">
        <v>5</v>
      </c>
      <c r="E146">
        <f t="shared" ca="1" si="59"/>
        <v>25</v>
      </c>
      <c r="F146">
        <f t="shared" ca="1" si="60"/>
        <v>2</v>
      </c>
      <c r="G146" t="str">
        <v>C</v>
      </c>
      <c r="H146" t="str">
        <v>C</v>
      </c>
      <c r="I146" t="str">
        <f ca="1">IF($A146="","",IF(COUNTA($R$2:$W$2)=6,"WK "&amp;_xlfn.ISOWEEKNUM($R$2)))</f>
        <v>WK 19</v>
      </c>
      <c r="J146" t="str">
        <f ca="1">IF($A146="","",IF(COUNTA($AF$2:$AK$2)=6,"WK "&amp;_xlfn.ISOWEEKNUM($AF$2)))</f>
        <v>WK 21</v>
      </c>
      <c r="K146" s="20" t="str">
        <f t="shared" ca="1" si="61"/>
        <v>ON</v>
      </c>
      <c r="L146" s="20" t="str">
        <f t="shared" ca="1" si="61"/>
        <v>ON</v>
      </c>
      <c r="M146" s="1" t="str">
        <f t="shared" ca="1" si="62"/>
        <v>ON</v>
      </c>
      <c r="N146" s="1" t="str">
        <f t="shared" ca="1" si="63"/>
        <v>ON</v>
      </c>
      <c r="O146" s="1" t="str">
        <f t="shared" ca="1" si="64"/>
        <v>ON</v>
      </c>
      <c r="P146" s="1" t="str">
        <f t="shared" ca="1" si="65"/>
        <v>ON</v>
      </c>
      <c r="Q146" s="1"/>
      <c r="R146" s="20" t="str">
        <f t="shared" ca="1" si="66"/>
        <v>ON</v>
      </c>
      <c r="S146" s="20" t="str">
        <f t="shared" ca="1" si="66"/>
        <v>ON</v>
      </c>
      <c r="T146" s="1" t="str">
        <f t="shared" ca="1" si="67"/>
        <v>ON</v>
      </c>
      <c r="U146" s="1" t="str">
        <f t="shared" ca="1" si="68"/>
        <v>ON</v>
      </c>
      <c r="V146" s="1" t="str">
        <f t="shared" ca="1" si="69"/>
        <v>OFF</v>
      </c>
      <c r="W146" s="1" t="str">
        <f t="shared" ca="1" si="70"/>
        <v>ON</v>
      </c>
      <c r="X146" s="1"/>
      <c r="Y146" s="20" t="str">
        <f t="shared" ca="1" si="71"/>
        <v>ON</v>
      </c>
      <c r="Z146" s="20" t="str">
        <f t="shared" ca="1" si="71"/>
        <v>ON</v>
      </c>
      <c r="AA146" s="1" t="str">
        <f t="shared" ca="1" si="72"/>
        <v>ON</v>
      </c>
      <c r="AB146" s="1" t="str">
        <f t="shared" ca="1" si="73"/>
        <v>ON</v>
      </c>
      <c r="AC146" s="1" t="str">
        <f t="shared" ca="1" si="74"/>
        <v>ON</v>
      </c>
      <c r="AD146" s="1" t="str">
        <f t="shared" ca="1" si="75"/>
        <v>ON</v>
      </c>
      <c r="AE146" s="1"/>
      <c r="AF146" s="20" t="str">
        <f t="shared" ca="1" si="76"/>
        <v>ON</v>
      </c>
      <c r="AG146" s="20" t="str">
        <f t="shared" ca="1" si="76"/>
        <v>ON</v>
      </c>
      <c r="AH146" s="1" t="str">
        <f t="shared" ca="1" si="77"/>
        <v>ON</v>
      </c>
      <c r="AI146" s="1" t="str">
        <f t="shared" ca="1" si="78"/>
        <v>ON</v>
      </c>
      <c r="AJ146" s="1" t="str">
        <f t="shared" ca="1" si="79"/>
        <v>OFF</v>
      </c>
      <c r="AK146" s="1" t="str">
        <f t="shared" ca="1" si="80"/>
        <v>ON</v>
      </c>
      <c r="AL146" s="1"/>
      <c r="AM146" s="20" t="str">
        <f t="shared" si="81"/>
        <v>ON</v>
      </c>
      <c r="AN146" s="20" t="str">
        <f t="shared" si="81"/>
        <v>ON</v>
      </c>
      <c r="AO146" s="20" t="str">
        <f t="shared" si="82"/>
        <v>ON</v>
      </c>
    </row>
    <row r="147" spans="1:41">
      <c r="A147" t="str">
        <f t="shared" ca="1" si="56"/>
        <v>Lagos</v>
      </c>
      <c r="B147" t="str">
        <f t="shared" ca="1" si="57"/>
        <v>C</v>
      </c>
      <c r="C147" t="str">
        <f t="shared" ca="1" si="58"/>
        <v>C1</v>
      </c>
      <c r="D147" t="s">
        <v>5</v>
      </c>
      <c r="E147">
        <f t="shared" ca="1" si="59"/>
        <v>25</v>
      </c>
      <c r="F147">
        <f t="shared" ca="1" si="60"/>
        <v>2</v>
      </c>
      <c r="G147" t="str">
        <v>B</v>
      </c>
      <c r="H147" t="str">
        <v>B</v>
      </c>
      <c r="I147" t="str">
        <f ca="1">IF($A147="","",IF(COUNTA($K$2:$P$2)=6,"WK "&amp;_xlfn.ISOWEEKNUM($K$2)))</f>
        <v>WK 18</v>
      </c>
      <c r="J147" t="str">
        <f ca="1">IF($A147="","",IF(COUNTA($Y$2:$AD$2)=6,"WK "&amp;_xlfn.ISOWEEKNUM($Y$2)))</f>
        <v>WK 20</v>
      </c>
      <c r="K147" s="20" t="str">
        <f t="shared" ca="1" si="61"/>
        <v>ON</v>
      </c>
      <c r="L147" s="20" t="str">
        <f t="shared" ca="1" si="61"/>
        <v>ON</v>
      </c>
      <c r="M147" s="1" t="str">
        <f t="shared" ca="1" si="62"/>
        <v>ON</v>
      </c>
      <c r="N147" s="1" t="str">
        <f t="shared" ca="1" si="63"/>
        <v>OFF</v>
      </c>
      <c r="O147" s="1" t="str">
        <f t="shared" ca="1" si="64"/>
        <v>ON</v>
      </c>
      <c r="P147" s="1" t="str">
        <f t="shared" ca="1" si="65"/>
        <v>ON</v>
      </c>
      <c r="Q147" s="1"/>
      <c r="R147" s="20" t="str">
        <f t="shared" ca="1" si="66"/>
        <v>ON</v>
      </c>
      <c r="S147" s="20" t="str">
        <f t="shared" ca="1" si="66"/>
        <v>ON</v>
      </c>
      <c r="T147" s="1" t="str">
        <f t="shared" ca="1" si="67"/>
        <v>ON</v>
      </c>
      <c r="U147" s="1" t="str">
        <f t="shared" ca="1" si="68"/>
        <v>ON</v>
      </c>
      <c r="V147" s="1" t="str">
        <f t="shared" ca="1" si="69"/>
        <v>ON</v>
      </c>
      <c r="W147" s="1" t="str">
        <f t="shared" ca="1" si="70"/>
        <v>ON</v>
      </c>
      <c r="X147" s="1"/>
      <c r="Y147" s="20" t="str">
        <f t="shared" ca="1" si="71"/>
        <v>ON</v>
      </c>
      <c r="Z147" s="20" t="str">
        <f t="shared" ca="1" si="71"/>
        <v>ON</v>
      </c>
      <c r="AA147" s="1" t="str">
        <f t="shared" ca="1" si="72"/>
        <v>ON</v>
      </c>
      <c r="AB147" s="1" t="str">
        <f t="shared" ca="1" si="73"/>
        <v>OFF</v>
      </c>
      <c r="AC147" s="1" t="str">
        <f t="shared" ca="1" si="74"/>
        <v>ON</v>
      </c>
      <c r="AD147" s="1" t="str">
        <f t="shared" ca="1" si="75"/>
        <v>ON</v>
      </c>
      <c r="AE147" s="1"/>
      <c r="AF147" s="20" t="str">
        <f t="shared" ca="1" si="76"/>
        <v>ON</v>
      </c>
      <c r="AG147" s="20" t="str">
        <f t="shared" ca="1" si="76"/>
        <v>ON</v>
      </c>
      <c r="AH147" s="1" t="str">
        <f t="shared" ca="1" si="77"/>
        <v>ON</v>
      </c>
      <c r="AI147" s="1" t="str">
        <f t="shared" ca="1" si="78"/>
        <v>ON</v>
      </c>
      <c r="AJ147" s="1" t="str">
        <f t="shared" ca="1" si="79"/>
        <v>ON</v>
      </c>
      <c r="AK147" s="1" t="str">
        <f t="shared" ca="1" si="80"/>
        <v>ON</v>
      </c>
      <c r="AL147" s="1"/>
      <c r="AM147" s="20" t="str">
        <f t="shared" si="81"/>
        <v>ON</v>
      </c>
      <c r="AN147" s="20" t="str">
        <f t="shared" si="81"/>
        <v>ON</v>
      </c>
      <c r="AO147" s="20" t="str">
        <f t="shared" si="82"/>
        <v>ON</v>
      </c>
    </row>
    <row r="148" spans="1:41">
      <c r="A148" t="str">
        <f t="shared" ca="1" si="56"/>
        <v>Lagos</v>
      </c>
      <c r="B148" t="str">
        <f t="shared" ca="1" si="57"/>
        <v>B</v>
      </c>
      <c r="C148" t="str">
        <f t="shared" ca="1" si="58"/>
        <v>A1</v>
      </c>
      <c r="D148" t="s">
        <v>8</v>
      </c>
      <c r="E148">
        <f t="shared" ca="1" si="59"/>
        <v>25</v>
      </c>
      <c r="F148">
        <f t="shared" ca="1" si="60"/>
        <v>2</v>
      </c>
      <c r="G148" t="str">
        <v>A</v>
      </c>
      <c r="H148" t="str">
        <v>A</v>
      </c>
      <c r="I148" t="str">
        <f ca="1">IF($A148="","",IF(COUNTA($R$2:$W$2)=6,"WK "&amp;_xlfn.ISOWEEKNUM($R$2)))</f>
        <v>WK 19</v>
      </c>
      <c r="J148" t="str">
        <f ca="1">IF($A148="","",IF(COUNTA($AF$2:$AK$2)=6,"WK "&amp;_xlfn.ISOWEEKNUM($AF$2)))</f>
        <v>WK 21</v>
      </c>
      <c r="K148" s="20" t="str">
        <f t="shared" ca="1" si="61"/>
        <v>ON</v>
      </c>
      <c r="L148" s="20" t="str">
        <f t="shared" ca="1" si="61"/>
        <v>ON</v>
      </c>
      <c r="M148" s="1" t="str">
        <f t="shared" ca="1" si="62"/>
        <v>ON</v>
      </c>
      <c r="N148" s="1" t="str">
        <f t="shared" ca="1" si="63"/>
        <v>ON</v>
      </c>
      <c r="O148" s="1" t="str">
        <f t="shared" ca="1" si="64"/>
        <v>ON</v>
      </c>
      <c r="P148" s="1" t="str">
        <f t="shared" ca="1" si="65"/>
        <v>ON</v>
      </c>
      <c r="Q148" s="1"/>
      <c r="R148" s="20" t="str">
        <f t="shared" ca="1" si="66"/>
        <v>ON</v>
      </c>
      <c r="S148" s="20" t="str">
        <f t="shared" ca="1" si="66"/>
        <v>ON</v>
      </c>
      <c r="T148" s="1" t="str">
        <f t="shared" ca="1" si="67"/>
        <v>OFF</v>
      </c>
      <c r="U148" s="1" t="str">
        <f t="shared" ca="1" si="68"/>
        <v>ON</v>
      </c>
      <c r="V148" s="1" t="str">
        <f t="shared" ca="1" si="69"/>
        <v>ON</v>
      </c>
      <c r="W148" s="1" t="str">
        <f t="shared" ca="1" si="70"/>
        <v>ON</v>
      </c>
      <c r="X148" s="1"/>
      <c r="Y148" s="20" t="str">
        <f t="shared" ca="1" si="71"/>
        <v>ON</v>
      </c>
      <c r="Z148" s="20" t="str">
        <f t="shared" ca="1" si="71"/>
        <v>ON</v>
      </c>
      <c r="AA148" s="1" t="str">
        <f t="shared" ca="1" si="72"/>
        <v>ON</v>
      </c>
      <c r="AB148" s="1" t="str">
        <f t="shared" ca="1" si="73"/>
        <v>ON</v>
      </c>
      <c r="AC148" s="1" t="str">
        <f t="shared" ca="1" si="74"/>
        <v>ON</v>
      </c>
      <c r="AD148" s="1" t="str">
        <f t="shared" ca="1" si="75"/>
        <v>ON</v>
      </c>
      <c r="AE148" s="1"/>
      <c r="AF148" s="20" t="str">
        <f t="shared" ca="1" si="76"/>
        <v>ON</v>
      </c>
      <c r="AG148" s="20" t="str">
        <f t="shared" ca="1" si="76"/>
        <v>ON</v>
      </c>
      <c r="AH148" s="1" t="str">
        <f t="shared" ca="1" si="77"/>
        <v>OFF</v>
      </c>
      <c r="AI148" s="1" t="str">
        <f t="shared" ca="1" si="78"/>
        <v>ON</v>
      </c>
      <c r="AJ148" s="1" t="str">
        <f t="shared" ca="1" si="79"/>
        <v>ON</v>
      </c>
      <c r="AK148" s="1" t="str">
        <f t="shared" ca="1" si="80"/>
        <v>ON</v>
      </c>
      <c r="AL148" s="1"/>
      <c r="AM148" s="20" t="str">
        <f t="shared" si="81"/>
        <v>ON</v>
      </c>
      <c r="AN148" s="20" t="str">
        <f t="shared" si="81"/>
        <v>ON</v>
      </c>
      <c r="AO148" s="20" t="str">
        <f t="shared" si="82"/>
        <v>ON</v>
      </c>
    </row>
    <row r="149" spans="1:41">
      <c r="A149" t="str">
        <f t="shared" ca="1" si="56"/>
        <v>Ondo</v>
      </c>
      <c r="B149" t="str">
        <f t="shared" ca="1" si="57"/>
        <v>A</v>
      </c>
      <c r="C149" t="str">
        <f t="shared" ca="1" si="58"/>
        <v>B1</v>
      </c>
      <c r="D149" t="s">
        <v>7</v>
      </c>
      <c r="E149">
        <f t="shared" ca="1" si="59"/>
        <v>25</v>
      </c>
      <c r="F149">
        <f t="shared" ca="1" si="60"/>
        <v>2</v>
      </c>
      <c r="G149" t="str" cm="1">
        <f t="array" ref="G149:G152">Groups!$B$2:$B$5</f>
        <v>A</v>
      </c>
      <c r="H149" t="str" cm="1">
        <f t="array" ref="H149:H152">Groups!$B$2:$B$5</f>
        <v>A</v>
      </c>
      <c r="I149" t="str">
        <f ca="1">IF($A149="","",IF(COUNTA($K$2:$P$2)=6,"WK "&amp;_xlfn.ISOWEEKNUM($K$2)))</f>
        <v>WK 18</v>
      </c>
      <c r="J149" t="str">
        <f ca="1">IF($A149="","",IF(COUNTA($Y$2:$AD$2)=6,"WK "&amp;_xlfn.ISOWEEKNUM($Y$2)))</f>
        <v>WK 20</v>
      </c>
      <c r="K149" s="20" t="str">
        <f t="shared" ca="1" si="61"/>
        <v>ON</v>
      </c>
      <c r="L149" s="20" t="str">
        <f t="shared" ca="1" si="61"/>
        <v>ON</v>
      </c>
      <c r="M149" s="1" t="str">
        <f t="shared" ca="1" si="62"/>
        <v>OFF</v>
      </c>
      <c r="N149" s="1" t="str">
        <f t="shared" ca="1" si="63"/>
        <v>ON</v>
      </c>
      <c r="O149" s="1" t="str">
        <f t="shared" ca="1" si="64"/>
        <v>ON</v>
      </c>
      <c r="P149" s="1" t="str">
        <f t="shared" ca="1" si="65"/>
        <v>ON</v>
      </c>
      <c r="Q149" s="1"/>
      <c r="R149" s="20" t="str">
        <f t="shared" ca="1" si="66"/>
        <v>ON</v>
      </c>
      <c r="S149" s="20" t="str">
        <f t="shared" ca="1" si="66"/>
        <v>ON</v>
      </c>
      <c r="T149" s="1" t="str">
        <f t="shared" ca="1" si="67"/>
        <v>ON</v>
      </c>
      <c r="U149" s="1" t="str">
        <f t="shared" ca="1" si="68"/>
        <v>ON</v>
      </c>
      <c r="V149" s="1" t="str">
        <f t="shared" ca="1" si="69"/>
        <v>ON</v>
      </c>
      <c r="W149" s="1" t="str">
        <f t="shared" ca="1" si="70"/>
        <v>ON</v>
      </c>
      <c r="X149" s="1"/>
      <c r="Y149" s="20" t="str">
        <f t="shared" ca="1" si="71"/>
        <v>ON</v>
      </c>
      <c r="Z149" s="20" t="str">
        <f t="shared" ca="1" si="71"/>
        <v>ON</v>
      </c>
      <c r="AA149" s="1" t="str">
        <f t="shared" ca="1" si="72"/>
        <v>OFF</v>
      </c>
      <c r="AB149" s="1" t="str">
        <f t="shared" ca="1" si="73"/>
        <v>ON</v>
      </c>
      <c r="AC149" s="1" t="str">
        <f t="shared" ca="1" si="74"/>
        <v>ON</v>
      </c>
      <c r="AD149" s="1" t="str">
        <f t="shared" ca="1" si="75"/>
        <v>ON</v>
      </c>
      <c r="AE149" s="1"/>
      <c r="AF149" s="20" t="str">
        <f t="shared" ca="1" si="76"/>
        <v>ON</v>
      </c>
      <c r="AG149" s="20" t="str">
        <f t="shared" ca="1" si="76"/>
        <v>ON</v>
      </c>
      <c r="AH149" s="1" t="str">
        <f t="shared" ca="1" si="77"/>
        <v>ON</v>
      </c>
      <c r="AI149" s="1" t="str">
        <f t="shared" ca="1" si="78"/>
        <v>ON</v>
      </c>
      <c r="AJ149" s="1" t="str">
        <f t="shared" ca="1" si="79"/>
        <v>ON</v>
      </c>
      <c r="AK149" s="1" t="str">
        <f t="shared" ca="1" si="80"/>
        <v>ON</v>
      </c>
      <c r="AL149" s="1"/>
      <c r="AM149" s="20" t="str">
        <f t="shared" si="81"/>
        <v>ON</v>
      </c>
      <c r="AN149" s="20" t="str">
        <f t="shared" si="81"/>
        <v>ON</v>
      </c>
      <c r="AO149" s="20" t="str">
        <f t="shared" si="82"/>
        <v>ON</v>
      </c>
    </row>
    <row r="150" spans="1:41">
      <c r="A150" t="str">
        <f t="shared" ca="1" si="56"/>
        <v>Ondo</v>
      </c>
      <c r="B150" t="str">
        <f t="shared" ca="1" si="57"/>
        <v>E</v>
      </c>
      <c r="C150" t="str">
        <f t="shared" ca="1" si="58"/>
        <v>C1</v>
      </c>
      <c r="D150" t="s">
        <v>7</v>
      </c>
      <c r="E150">
        <f t="shared" ca="1" si="59"/>
        <v>25</v>
      </c>
      <c r="F150">
        <f t="shared" ca="1" si="60"/>
        <v>2</v>
      </c>
      <c r="G150" t="str">
        <v>B</v>
      </c>
      <c r="H150" t="str">
        <v>B</v>
      </c>
      <c r="I150" t="str">
        <f ca="1">IF($A150="","",IF(COUNTA($R$2:$W$2)=6,"WK "&amp;_xlfn.ISOWEEKNUM($R$2)))</f>
        <v>WK 19</v>
      </c>
      <c r="J150" t="str">
        <f ca="1">IF($A150="","",IF(COUNTA($AF$2:$AK$2)=6,"WK "&amp;_xlfn.ISOWEEKNUM($AF$2)))</f>
        <v>WK 21</v>
      </c>
      <c r="K150" s="20" t="str">
        <f t="shared" ca="1" si="61"/>
        <v>ON</v>
      </c>
      <c r="L150" s="20" t="str">
        <f t="shared" ca="1" si="61"/>
        <v>ON</v>
      </c>
      <c r="M150" s="1" t="str">
        <f t="shared" ca="1" si="62"/>
        <v>ON</v>
      </c>
      <c r="N150" s="1" t="str">
        <f t="shared" ca="1" si="63"/>
        <v>ON</v>
      </c>
      <c r="O150" s="1" t="str">
        <f t="shared" ca="1" si="64"/>
        <v>ON</v>
      </c>
      <c r="P150" s="1" t="str">
        <f t="shared" ca="1" si="65"/>
        <v>ON</v>
      </c>
      <c r="Q150" s="1"/>
      <c r="R150" s="20" t="str">
        <f t="shared" ca="1" si="66"/>
        <v>ON</v>
      </c>
      <c r="S150" s="20" t="str">
        <f t="shared" ca="1" si="66"/>
        <v>ON</v>
      </c>
      <c r="T150" s="1" t="str">
        <f t="shared" ca="1" si="67"/>
        <v>ON</v>
      </c>
      <c r="U150" s="1" t="str">
        <f t="shared" ca="1" si="68"/>
        <v>OFF</v>
      </c>
      <c r="V150" s="1" t="str">
        <f t="shared" ca="1" si="69"/>
        <v>ON</v>
      </c>
      <c r="W150" s="1" t="str">
        <f t="shared" ca="1" si="70"/>
        <v>ON</v>
      </c>
      <c r="X150" s="1"/>
      <c r="Y150" s="20" t="str">
        <f t="shared" ca="1" si="71"/>
        <v>ON</v>
      </c>
      <c r="Z150" s="20" t="str">
        <f t="shared" ca="1" si="71"/>
        <v>ON</v>
      </c>
      <c r="AA150" s="1" t="str">
        <f t="shared" ca="1" si="72"/>
        <v>ON</v>
      </c>
      <c r="AB150" s="1" t="str">
        <f t="shared" ca="1" si="73"/>
        <v>ON</v>
      </c>
      <c r="AC150" s="1" t="str">
        <f t="shared" ca="1" si="74"/>
        <v>ON</v>
      </c>
      <c r="AD150" s="1" t="str">
        <f t="shared" ca="1" si="75"/>
        <v>ON</v>
      </c>
      <c r="AE150" s="1"/>
      <c r="AF150" s="20" t="str">
        <f t="shared" ca="1" si="76"/>
        <v>ON</v>
      </c>
      <c r="AG150" s="20" t="str">
        <f t="shared" ca="1" si="76"/>
        <v>ON</v>
      </c>
      <c r="AH150" s="1" t="str">
        <f t="shared" ca="1" si="77"/>
        <v>ON</v>
      </c>
      <c r="AI150" s="1" t="str">
        <f t="shared" ca="1" si="78"/>
        <v>OFF</v>
      </c>
      <c r="AJ150" s="1" t="str">
        <f t="shared" ca="1" si="79"/>
        <v>ON</v>
      </c>
      <c r="AK150" s="1" t="str">
        <f t="shared" ca="1" si="80"/>
        <v>ON</v>
      </c>
      <c r="AL150" s="1"/>
      <c r="AM150" s="20" t="str">
        <f t="shared" si="81"/>
        <v>ON</v>
      </c>
      <c r="AN150" s="20" t="str">
        <f t="shared" si="81"/>
        <v>ON</v>
      </c>
      <c r="AO150" s="20" t="str">
        <f t="shared" si="82"/>
        <v>ON</v>
      </c>
    </row>
    <row r="151" spans="1:41">
      <c r="A151" t="str">
        <f t="shared" ca="1" si="56"/>
        <v>Oyo</v>
      </c>
      <c r="B151" t="str">
        <f t="shared" ca="1" si="57"/>
        <v>B</v>
      </c>
      <c r="C151" t="str">
        <f t="shared" ca="1" si="58"/>
        <v>A1</v>
      </c>
      <c r="D151" t="s">
        <v>7</v>
      </c>
      <c r="E151">
        <f t="shared" ca="1" si="59"/>
        <v>25</v>
      </c>
      <c r="F151">
        <f t="shared" ca="1" si="60"/>
        <v>2</v>
      </c>
      <c r="G151" t="str">
        <v>C</v>
      </c>
      <c r="H151" t="str">
        <v>C</v>
      </c>
      <c r="I151" t="str">
        <f ca="1">IF($A151="","",IF(COUNTA($K$2:$P$2)=6,"WK "&amp;_xlfn.ISOWEEKNUM($K$2)))</f>
        <v>WK 18</v>
      </c>
      <c r="J151" t="str">
        <f ca="1">IF($A151="","",IF(COUNTA($Y$2:$AD$2)=6,"WK "&amp;_xlfn.ISOWEEKNUM($Y$2)))</f>
        <v>WK 20</v>
      </c>
      <c r="K151" s="20" t="str">
        <f t="shared" ca="1" si="61"/>
        <v>ON</v>
      </c>
      <c r="L151" s="20" t="str">
        <f t="shared" ca="1" si="61"/>
        <v>ON</v>
      </c>
      <c r="M151" s="1" t="str">
        <f t="shared" ca="1" si="62"/>
        <v>ON</v>
      </c>
      <c r="N151" s="1" t="str">
        <f t="shared" ca="1" si="63"/>
        <v>ON</v>
      </c>
      <c r="O151" s="1" t="str">
        <f t="shared" ca="1" si="64"/>
        <v>OFF</v>
      </c>
      <c r="P151" s="1" t="str">
        <f t="shared" ca="1" si="65"/>
        <v>ON</v>
      </c>
      <c r="Q151" s="1"/>
      <c r="R151" s="20" t="str">
        <f t="shared" ca="1" si="66"/>
        <v>ON</v>
      </c>
      <c r="S151" s="20" t="str">
        <f t="shared" ca="1" si="66"/>
        <v>ON</v>
      </c>
      <c r="T151" s="1" t="str">
        <f t="shared" ca="1" si="67"/>
        <v>ON</v>
      </c>
      <c r="U151" s="1" t="str">
        <f t="shared" ca="1" si="68"/>
        <v>ON</v>
      </c>
      <c r="V151" s="1" t="str">
        <f t="shared" ca="1" si="69"/>
        <v>ON</v>
      </c>
      <c r="W151" s="1" t="str">
        <f t="shared" ca="1" si="70"/>
        <v>ON</v>
      </c>
      <c r="X151" s="1"/>
      <c r="Y151" s="20" t="str">
        <f t="shared" ca="1" si="71"/>
        <v>ON</v>
      </c>
      <c r="Z151" s="20" t="str">
        <f t="shared" ca="1" si="71"/>
        <v>ON</v>
      </c>
      <c r="AA151" s="1" t="str">
        <f t="shared" ca="1" si="72"/>
        <v>ON</v>
      </c>
      <c r="AB151" s="1" t="str">
        <f t="shared" ca="1" si="73"/>
        <v>ON</v>
      </c>
      <c r="AC151" s="1" t="str">
        <f t="shared" ca="1" si="74"/>
        <v>OFF</v>
      </c>
      <c r="AD151" s="1" t="str">
        <f t="shared" ca="1" si="75"/>
        <v>ON</v>
      </c>
      <c r="AE151" s="1"/>
      <c r="AF151" s="20" t="str">
        <f t="shared" ca="1" si="76"/>
        <v>ON</v>
      </c>
      <c r="AG151" s="20" t="str">
        <f t="shared" ca="1" si="76"/>
        <v>ON</v>
      </c>
      <c r="AH151" s="1" t="str">
        <f t="shared" ca="1" si="77"/>
        <v>ON</v>
      </c>
      <c r="AI151" s="1" t="str">
        <f t="shared" ca="1" si="78"/>
        <v>ON</v>
      </c>
      <c r="AJ151" s="1" t="str">
        <f t="shared" ca="1" si="79"/>
        <v>ON</v>
      </c>
      <c r="AK151" s="1" t="str">
        <f t="shared" ca="1" si="80"/>
        <v>ON</v>
      </c>
      <c r="AL151" s="1"/>
      <c r="AM151" s="20" t="str">
        <f t="shared" si="81"/>
        <v>ON</v>
      </c>
      <c r="AN151" s="20" t="str">
        <f t="shared" si="81"/>
        <v>ON</v>
      </c>
      <c r="AO151" s="20" t="str">
        <f t="shared" si="82"/>
        <v>ON</v>
      </c>
    </row>
    <row r="152" spans="1:41">
      <c r="A152" t="str">
        <f t="shared" ca="1" si="56"/>
        <v>Lagos</v>
      </c>
      <c r="B152" t="str">
        <f t="shared" ca="1" si="57"/>
        <v>E</v>
      </c>
      <c r="C152" t="str">
        <f t="shared" ca="1" si="58"/>
        <v>D1</v>
      </c>
      <c r="D152" t="s">
        <v>4</v>
      </c>
      <c r="E152">
        <f t="shared" ca="1" si="59"/>
        <v>25</v>
      </c>
      <c r="F152">
        <f t="shared" ca="1" si="60"/>
        <v>2</v>
      </c>
      <c r="G152" t="str">
        <v>D</v>
      </c>
      <c r="H152" t="str">
        <v>D</v>
      </c>
      <c r="I152" t="str">
        <f ca="1">IF($A152="","",IF(COUNTA($R$2:$W$2)=6,"WK "&amp;_xlfn.ISOWEEKNUM($R$2)))</f>
        <v>WK 19</v>
      </c>
      <c r="J152" t="str">
        <f ca="1">IF($A152="","",IF(COUNTA($AF$2:$AK$2)=6,"WK "&amp;_xlfn.ISOWEEKNUM($AF$2)))</f>
        <v>WK 21</v>
      </c>
      <c r="K152" s="20" t="str">
        <f t="shared" ca="1" si="61"/>
        <v>ON</v>
      </c>
      <c r="L152" s="20" t="str">
        <f t="shared" ca="1" si="61"/>
        <v>ON</v>
      </c>
      <c r="M152" s="1" t="str">
        <f t="shared" ca="1" si="62"/>
        <v>ON</v>
      </c>
      <c r="N152" s="1" t="str">
        <f t="shared" ca="1" si="63"/>
        <v>ON</v>
      </c>
      <c r="O152" s="1" t="str">
        <f t="shared" ca="1" si="64"/>
        <v>ON</v>
      </c>
      <c r="P152" s="1" t="str">
        <f t="shared" ca="1" si="65"/>
        <v>ON</v>
      </c>
      <c r="Q152" s="1"/>
      <c r="R152" s="20" t="str">
        <f t="shared" ca="1" si="66"/>
        <v>ON</v>
      </c>
      <c r="S152" s="20" t="str">
        <f t="shared" ca="1" si="66"/>
        <v>ON</v>
      </c>
      <c r="T152" s="1" t="str">
        <f t="shared" ca="1" si="67"/>
        <v>ON</v>
      </c>
      <c r="U152" s="1" t="str">
        <f t="shared" ca="1" si="68"/>
        <v>ON</v>
      </c>
      <c r="V152" s="1" t="str">
        <f t="shared" ca="1" si="69"/>
        <v>ON</v>
      </c>
      <c r="W152" s="1" t="str">
        <f t="shared" ca="1" si="70"/>
        <v>OFF</v>
      </c>
      <c r="X152" s="1"/>
      <c r="Y152" s="20" t="str">
        <f t="shared" ca="1" si="71"/>
        <v>ON</v>
      </c>
      <c r="Z152" s="20" t="str">
        <f t="shared" ca="1" si="71"/>
        <v>ON</v>
      </c>
      <c r="AA152" s="1" t="str">
        <f t="shared" ca="1" si="72"/>
        <v>ON</v>
      </c>
      <c r="AB152" s="1" t="str">
        <f t="shared" ca="1" si="73"/>
        <v>ON</v>
      </c>
      <c r="AC152" s="1" t="str">
        <f t="shared" ca="1" si="74"/>
        <v>ON</v>
      </c>
      <c r="AD152" s="1" t="str">
        <f t="shared" ca="1" si="75"/>
        <v>ON</v>
      </c>
      <c r="AE152" s="1"/>
      <c r="AF152" s="20" t="str">
        <f t="shared" ca="1" si="76"/>
        <v>ON</v>
      </c>
      <c r="AG152" s="20" t="str">
        <f t="shared" ca="1" si="76"/>
        <v>ON</v>
      </c>
      <c r="AH152" s="1" t="str">
        <f t="shared" ca="1" si="77"/>
        <v>ON</v>
      </c>
      <c r="AI152" s="1" t="str">
        <f t="shared" ca="1" si="78"/>
        <v>ON</v>
      </c>
      <c r="AJ152" s="1" t="str">
        <f t="shared" ca="1" si="79"/>
        <v>ON</v>
      </c>
      <c r="AK152" s="1" t="str">
        <f t="shared" ca="1" si="80"/>
        <v>OFF</v>
      </c>
      <c r="AL152" s="1"/>
      <c r="AM152" s="20" t="str">
        <f t="shared" si="81"/>
        <v>ON</v>
      </c>
      <c r="AN152" s="20" t="str">
        <f t="shared" si="81"/>
        <v>ON</v>
      </c>
      <c r="AO152" s="20" t="str">
        <f t="shared" si="82"/>
        <v>ON</v>
      </c>
    </row>
    <row r="153" spans="1:41">
      <c r="A153" t="str">
        <f t="shared" ca="1" si="56"/>
        <v>Ogun</v>
      </c>
      <c r="B153" t="str">
        <f t="shared" ca="1" si="57"/>
        <v>A</v>
      </c>
      <c r="C153" t="str">
        <f t="shared" ca="1" si="58"/>
        <v>B1</v>
      </c>
      <c r="D153" t="s">
        <v>5</v>
      </c>
      <c r="E153">
        <f t="shared" ca="1" si="59"/>
        <v>25</v>
      </c>
      <c r="F153">
        <f t="shared" ca="1" si="60"/>
        <v>2</v>
      </c>
      <c r="G153" t="str" cm="1">
        <f t="array" ref="G153:G156">IF($G$5:$G$8={"A";"B";"C";"D"},{"D";"C";"B";"A"},{"A";"B";"C";"D"})</f>
        <v>D</v>
      </c>
      <c r="H153" t="str" cm="1">
        <f t="array" ref="H153:H156">IF($H$5:$H$8={"A";"B";"C";"D"},{"D";"C";"B";"A"},{"A";"B";"C";"D"})</f>
        <v>D</v>
      </c>
      <c r="I153" t="str">
        <f ca="1">IF($A153="","",IF(COUNTA($K$2:$P$2)=6,"WK "&amp;_xlfn.ISOWEEKNUM($K$2)))</f>
        <v>WK 18</v>
      </c>
      <c r="J153" t="str">
        <f ca="1">IF($A153="","",IF(COUNTA($Y$2:$AD$2)=6,"WK "&amp;_xlfn.ISOWEEKNUM($Y$2)))</f>
        <v>WK 20</v>
      </c>
      <c r="K153" s="20" t="str">
        <f t="shared" ca="1" si="61"/>
        <v>ON</v>
      </c>
      <c r="L153" s="20" t="str">
        <f t="shared" ca="1" si="61"/>
        <v>ON</v>
      </c>
      <c r="M153" s="1" t="str">
        <f t="shared" ca="1" si="62"/>
        <v>ON</v>
      </c>
      <c r="N153" s="1" t="str">
        <f t="shared" ca="1" si="63"/>
        <v>ON</v>
      </c>
      <c r="O153" s="1" t="str">
        <f t="shared" ca="1" si="64"/>
        <v>ON</v>
      </c>
      <c r="P153" s="1" t="str">
        <f t="shared" ca="1" si="65"/>
        <v>OFF</v>
      </c>
      <c r="Q153" s="1"/>
      <c r="R153" s="20" t="str">
        <f t="shared" ca="1" si="66"/>
        <v>ON</v>
      </c>
      <c r="S153" s="20" t="str">
        <f t="shared" ca="1" si="66"/>
        <v>ON</v>
      </c>
      <c r="T153" s="1" t="str">
        <f t="shared" ca="1" si="67"/>
        <v>ON</v>
      </c>
      <c r="U153" s="1" t="str">
        <f t="shared" ca="1" si="68"/>
        <v>ON</v>
      </c>
      <c r="V153" s="1" t="str">
        <f t="shared" ca="1" si="69"/>
        <v>ON</v>
      </c>
      <c r="W153" s="1" t="str">
        <f t="shared" ca="1" si="70"/>
        <v>ON</v>
      </c>
      <c r="X153" s="1"/>
      <c r="Y153" s="20" t="str">
        <f t="shared" ca="1" si="71"/>
        <v>ON</v>
      </c>
      <c r="Z153" s="20" t="str">
        <f t="shared" ca="1" si="71"/>
        <v>ON</v>
      </c>
      <c r="AA153" s="1" t="str">
        <f t="shared" ca="1" si="72"/>
        <v>ON</v>
      </c>
      <c r="AB153" s="1" t="str">
        <f t="shared" ca="1" si="73"/>
        <v>ON</v>
      </c>
      <c r="AC153" s="1" t="str">
        <f t="shared" ca="1" si="74"/>
        <v>ON</v>
      </c>
      <c r="AD153" s="1" t="str">
        <f t="shared" ca="1" si="75"/>
        <v>OFF</v>
      </c>
      <c r="AE153" s="1"/>
      <c r="AF153" s="20" t="str">
        <f t="shared" ca="1" si="76"/>
        <v>ON</v>
      </c>
      <c r="AG153" s="20" t="str">
        <f t="shared" ca="1" si="76"/>
        <v>ON</v>
      </c>
      <c r="AH153" s="1" t="str">
        <f t="shared" ca="1" si="77"/>
        <v>ON</v>
      </c>
      <c r="AI153" s="1" t="str">
        <f t="shared" ca="1" si="78"/>
        <v>ON</v>
      </c>
      <c r="AJ153" s="1" t="str">
        <f t="shared" ca="1" si="79"/>
        <v>ON</v>
      </c>
      <c r="AK153" s="1" t="str">
        <f t="shared" ca="1" si="80"/>
        <v>ON</v>
      </c>
      <c r="AL153" s="1"/>
      <c r="AM153" s="20" t="str">
        <f t="shared" si="81"/>
        <v>ON</v>
      </c>
      <c r="AN153" s="20" t="str">
        <f t="shared" si="81"/>
        <v>ON</v>
      </c>
      <c r="AO153" s="20" t="str">
        <f t="shared" si="82"/>
        <v>ON</v>
      </c>
    </row>
    <row r="154" spans="1:41">
      <c r="A154" t="str">
        <f t="shared" ca="1" si="56"/>
        <v>Ekiti</v>
      </c>
      <c r="B154" t="str">
        <f t="shared" ca="1" si="57"/>
        <v>A</v>
      </c>
      <c r="C154" t="str">
        <f t="shared" ca="1" si="58"/>
        <v>D1</v>
      </c>
      <c r="D154" t="s">
        <v>5</v>
      </c>
      <c r="E154">
        <f t="shared" ca="1" si="59"/>
        <v>25</v>
      </c>
      <c r="F154">
        <f t="shared" ca="1" si="60"/>
        <v>2</v>
      </c>
      <c r="G154" t="str">
        <v>C</v>
      </c>
      <c r="H154" t="str">
        <v>C</v>
      </c>
      <c r="I154" t="str">
        <f ca="1">IF($A154="","",IF(COUNTA($R$2:$W$2)=6,"WK "&amp;_xlfn.ISOWEEKNUM($R$2)))</f>
        <v>WK 19</v>
      </c>
      <c r="J154" t="str">
        <f ca="1">IF($A154="","",IF(COUNTA($AF$2:$AK$2)=6,"WK "&amp;_xlfn.ISOWEEKNUM($AF$2)))</f>
        <v>WK 21</v>
      </c>
      <c r="K154" s="20" t="str">
        <f t="shared" ca="1" si="61"/>
        <v>ON</v>
      </c>
      <c r="L154" s="20" t="str">
        <f t="shared" ca="1" si="61"/>
        <v>ON</v>
      </c>
      <c r="M154" s="1" t="str">
        <f t="shared" ca="1" si="62"/>
        <v>ON</v>
      </c>
      <c r="N154" s="1" t="str">
        <f t="shared" ca="1" si="63"/>
        <v>ON</v>
      </c>
      <c r="O154" s="1" t="str">
        <f t="shared" ca="1" si="64"/>
        <v>ON</v>
      </c>
      <c r="P154" s="1" t="str">
        <f t="shared" ca="1" si="65"/>
        <v>ON</v>
      </c>
      <c r="Q154" s="1"/>
      <c r="R154" s="20" t="str">
        <f t="shared" ca="1" si="66"/>
        <v>ON</v>
      </c>
      <c r="S154" s="20" t="str">
        <f t="shared" ca="1" si="66"/>
        <v>ON</v>
      </c>
      <c r="T154" s="1" t="str">
        <f t="shared" ca="1" si="67"/>
        <v>ON</v>
      </c>
      <c r="U154" s="1" t="str">
        <f t="shared" ca="1" si="68"/>
        <v>ON</v>
      </c>
      <c r="V154" s="1" t="str">
        <f t="shared" ca="1" si="69"/>
        <v>OFF</v>
      </c>
      <c r="W154" s="1" t="str">
        <f t="shared" ca="1" si="70"/>
        <v>ON</v>
      </c>
      <c r="X154" s="1"/>
      <c r="Y154" s="20" t="str">
        <f t="shared" ca="1" si="71"/>
        <v>ON</v>
      </c>
      <c r="Z154" s="20" t="str">
        <f t="shared" ca="1" si="71"/>
        <v>ON</v>
      </c>
      <c r="AA154" s="1" t="str">
        <f t="shared" ca="1" si="72"/>
        <v>ON</v>
      </c>
      <c r="AB154" s="1" t="str">
        <f t="shared" ca="1" si="73"/>
        <v>ON</v>
      </c>
      <c r="AC154" s="1" t="str">
        <f t="shared" ca="1" si="74"/>
        <v>ON</v>
      </c>
      <c r="AD154" s="1" t="str">
        <f t="shared" ca="1" si="75"/>
        <v>ON</v>
      </c>
      <c r="AE154" s="1"/>
      <c r="AF154" s="20" t="str">
        <f t="shared" ca="1" si="76"/>
        <v>ON</v>
      </c>
      <c r="AG154" s="20" t="str">
        <f t="shared" ca="1" si="76"/>
        <v>ON</v>
      </c>
      <c r="AH154" s="1" t="str">
        <f t="shared" ca="1" si="77"/>
        <v>ON</v>
      </c>
      <c r="AI154" s="1" t="str">
        <f t="shared" ca="1" si="78"/>
        <v>ON</v>
      </c>
      <c r="AJ154" s="1" t="str">
        <f t="shared" ca="1" si="79"/>
        <v>OFF</v>
      </c>
      <c r="AK154" s="1" t="str">
        <f t="shared" ca="1" si="80"/>
        <v>ON</v>
      </c>
      <c r="AL154" s="1"/>
      <c r="AM154" s="20" t="str">
        <f t="shared" si="81"/>
        <v>ON</v>
      </c>
      <c r="AN154" s="20" t="str">
        <f t="shared" si="81"/>
        <v>ON</v>
      </c>
      <c r="AO154" s="20" t="str">
        <f t="shared" si="82"/>
        <v>ON</v>
      </c>
    </row>
    <row r="155" spans="1:41">
      <c r="A155" t="str">
        <f t="shared" ca="1" si="56"/>
        <v>Ekiti</v>
      </c>
      <c r="B155" t="str">
        <f t="shared" ca="1" si="57"/>
        <v>C</v>
      </c>
      <c r="C155" t="str">
        <f t="shared" ca="1" si="58"/>
        <v>A1</v>
      </c>
      <c r="D155" t="s">
        <v>8</v>
      </c>
      <c r="E155">
        <f t="shared" ca="1" si="59"/>
        <v>25</v>
      </c>
      <c r="F155">
        <f t="shared" ca="1" si="60"/>
        <v>2</v>
      </c>
      <c r="G155" t="str">
        <v>B</v>
      </c>
      <c r="H155" t="str">
        <v>B</v>
      </c>
      <c r="I155" t="str">
        <f ca="1">IF($A155="","",IF(COUNTA($K$2:$P$2)=6,"WK "&amp;_xlfn.ISOWEEKNUM($K$2)))</f>
        <v>WK 18</v>
      </c>
      <c r="J155" t="str">
        <f ca="1">IF($A155="","",IF(COUNTA($Y$2:$AD$2)=6,"WK "&amp;_xlfn.ISOWEEKNUM($Y$2)))</f>
        <v>WK 20</v>
      </c>
      <c r="K155" s="20" t="str">
        <f t="shared" ca="1" si="61"/>
        <v>ON</v>
      </c>
      <c r="L155" s="20" t="str">
        <f t="shared" ca="1" si="61"/>
        <v>ON</v>
      </c>
      <c r="M155" s="1" t="str">
        <f t="shared" ca="1" si="62"/>
        <v>ON</v>
      </c>
      <c r="N155" s="1" t="str">
        <f t="shared" ca="1" si="63"/>
        <v>OFF</v>
      </c>
      <c r="O155" s="1" t="str">
        <f t="shared" ca="1" si="64"/>
        <v>ON</v>
      </c>
      <c r="P155" s="1" t="str">
        <f t="shared" ca="1" si="65"/>
        <v>ON</v>
      </c>
      <c r="Q155" s="1"/>
      <c r="R155" s="20" t="str">
        <f t="shared" ca="1" si="66"/>
        <v>ON</v>
      </c>
      <c r="S155" s="20" t="str">
        <f t="shared" ca="1" si="66"/>
        <v>ON</v>
      </c>
      <c r="T155" s="1" t="str">
        <f t="shared" ca="1" si="67"/>
        <v>ON</v>
      </c>
      <c r="U155" s="1" t="str">
        <f t="shared" ca="1" si="68"/>
        <v>ON</v>
      </c>
      <c r="V155" s="1" t="str">
        <f t="shared" ca="1" si="69"/>
        <v>ON</v>
      </c>
      <c r="W155" s="1" t="str">
        <f t="shared" ca="1" si="70"/>
        <v>ON</v>
      </c>
      <c r="X155" s="1"/>
      <c r="Y155" s="20" t="str">
        <f t="shared" ca="1" si="71"/>
        <v>ON</v>
      </c>
      <c r="Z155" s="20" t="str">
        <f t="shared" ca="1" si="71"/>
        <v>ON</v>
      </c>
      <c r="AA155" s="1" t="str">
        <f t="shared" ca="1" si="72"/>
        <v>ON</v>
      </c>
      <c r="AB155" s="1" t="str">
        <f t="shared" ca="1" si="73"/>
        <v>OFF</v>
      </c>
      <c r="AC155" s="1" t="str">
        <f t="shared" ca="1" si="74"/>
        <v>ON</v>
      </c>
      <c r="AD155" s="1" t="str">
        <f t="shared" ca="1" si="75"/>
        <v>ON</v>
      </c>
      <c r="AE155" s="1"/>
      <c r="AF155" s="20" t="str">
        <f t="shared" ca="1" si="76"/>
        <v>ON</v>
      </c>
      <c r="AG155" s="20" t="str">
        <f t="shared" ca="1" si="76"/>
        <v>ON</v>
      </c>
      <c r="AH155" s="1" t="str">
        <f t="shared" ca="1" si="77"/>
        <v>ON</v>
      </c>
      <c r="AI155" s="1" t="str">
        <f t="shared" ca="1" si="78"/>
        <v>ON</v>
      </c>
      <c r="AJ155" s="1" t="str">
        <f t="shared" ca="1" si="79"/>
        <v>ON</v>
      </c>
      <c r="AK155" s="1" t="str">
        <f t="shared" ca="1" si="80"/>
        <v>ON</v>
      </c>
      <c r="AL155" s="1"/>
      <c r="AM155" s="20" t="str">
        <f t="shared" si="81"/>
        <v>ON</v>
      </c>
      <c r="AN155" s="20" t="str">
        <f t="shared" si="81"/>
        <v>ON</v>
      </c>
      <c r="AO155" s="20" t="str">
        <f t="shared" si="82"/>
        <v>ON</v>
      </c>
    </row>
    <row r="156" spans="1:41">
      <c r="A156" t="str">
        <f t="shared" ca="1" si="56"/>
        <v>Oyo</v>
      </c>
      <c r="B156" t="str">
        <f t="shared" ca="1" si="57"/>
        <v>A</v>
      </c>
      <c r="C156" t="str">
        <f t="shared" ca="1" si="58"/>
        <v>C1</v>
      </c>
      <c r="D156" t="s">
        <v>7</v>
      </c>
      <c r="E156">
        <f t="shared" ca="1" si="59"/>
        <v>25</v>
      </c>
      <c r="F156">
        <f t="shared" ca="1" si="60"/>
        <v>2</v>
      </c>
      <c r="G156" t="str">
        <v>A</v>
      </c>
      <c r="H156" t="str">
        <v>A</v>
      </c>
      <c r="I156" t="str">
        <f ca="1">IF($A156="","",IF(COUNTA($R$2:$W$2)=6,"WK "&amp;_xlfn.ISOWEEKNUM($R$2)))</f>
        <v>WK 19</v>
      </c>
      <c r="J156" t="str">
        <f ca="1">IF($A156="","",IF(COUNTA($AF$2:$AK$2)=6,"WK "&amp;_xlfn.ISOWEEKNUM($AF$2)))</f>
        <v>WK 21</v>
      </c>
      <c r="K156" s="20" t="str">
        <f t="shared" ca="1" si="61"/>
        <v>ON</v>
      </c>
      <c r="L156" s="20" t="str">
        <f t="shared" ca="1" si="61"/>
        <v>ON</v>
      </c>
      <c r="M156" s="1" t="str">
        <f t="shared" ca="1" si="62"/>
        <v>ON</v>
      </c>
      <c r="N156" s="1" t="str">
        <f t="shared" ca="1" si="63"/>
        <v>ON</v>
      </c>
      <c r="O156" s="1" t="str">
        <f t="shared" ca="1" si="64"/>
        <v>ON</v>
      </c>
      <c r="P156" s="1" t="str">
        <f t="shared" ca="1" si="65"/>
        <v>ON</v>
      </c>
      <c r="Q156" s="1"/>
      <c r="R156" s="20" t="str">
        <f t="shared" ca="1" si="66"/>
        <v>ON</v>
      </c>
      <c r="S156" s="20" t="str">
        <f t="shared" ca="1" si="66"/>
        <v>ON</v>
      </c>
      <c r="T156" s="1" t="str">
        <f t="shared" ca="1" si="67"/>
        <v>OFF</v>
      </c>
      <c r="U156" s="1" t="str">
        <f t="shared" ca="1" si="68"/>
        <v>ON</v>
      </c>
      <c r="V156" s="1" t="str">
        <f t="shared" ca="1" si="69"/>
        <v>ON</v>
      </c>
      <c r="W156" s="1" t="str">
        <f t="shared" ca="1" si="70"/>
        <v>ON</v>
      </c>
      <c r="X156" s="1"/>
      <c r="Y156" s="20" t="str">
        <f t="shared" ca="1" si="71"/>
        <v>ON</v>
      </c>
      <c r="Z156" s="20" t="str">
        <f t="shared" ca="1" si="71"/>
        <v>ON</v>
      </c>
      <c r="AA156" s="1" t="str">
        <f t="shared" ca="1" si="72"/>
        <v>ON</v>
      </c>
      <c r="AB156" s="1" t="str">
        <f t="shared" ca="1" si="73"/>
        <v>ON</v>
      </c>
      <c r="AC156" s="1" t="str">
        <f t="shared" ca="1" si="74"/>
        <v>ON</v>
      </c>
      <c r="AD156" s="1" t="str">
        <f t="shared" ca="1" si="75"/>
        <v>ON</v>
      </c>
      <c r="AE156" s="1"/>
      <c r="AF156" s="20" t="str">
        <f t="shared" ca="1" si="76"/>
        <v>ON</v>
      </c>
      <c r="AG156" s="20" t="str">
        <f t="shared" ca="1" si="76"/>
        <v>ON</v>
      </c>
      <c r="AH156" s="1" t="str">
        <f t="shared" ca="1" si="77"/>
        <v>OFF</v>
      </c>
      <c r="AI156" s="1" t="str">
        <f t="shared" ca="1" si="78"/>
        <v>ON</v>
      </c>
      <c r="AJ156" s="1" t="str">
        <f t="shared" ca="1" si="79"/>
        <v>ON</v>
      </c>
      <c r="AK156" s="1" t="str">
        <f t="shared" ca="1" si="80"/>
        <v>ON</v>
      </c>
      <c r="AL156" s="1"/>
      <c r="AM156" s="20" t="str">
        <f t="shared" si="81"/>
        <v>ON</v>
      </c>
      <c r="AN156" s="20" t="str">
        <f t="shared" si="81"/>
        <v>ON</v>
      </c>
      <c r="AO156" s="20" t="str">
        <f t="shared" si="82"/>
        <v>ON</v>
      </c>
    </row>
    <row r="157" spans="1:41">
      <c r="A157" t="str">
        <f t="shared" ca="1" si="56"/>
        <v>Ogun</v>
      </c>
      <c r="B157" t="str">
        <f t="shared" ca="1" si="57"/>
        <v>E</v>
      </c>
      <c r="C157" t="str">
        <f t="shared" ca="1" si="58"/>
        <v>D1</v>
      </c>
      <c r="D157" t="s">
        <v>4</v>
      </c>
      <c r="E157">
        <f t="shared" ca="1" si="59"/>
        <v>25</v>
      </c>
      <c r="F157">
        <f t="shared" ca="1" si="60"/>
        <v>2</v>
      </c>
      <c r="G157" t="str" cm="1">
        <f t="array" ref="G157:G160">Groups!$B$2:$B$5</f>
        <v>A</v>
      </c>
      <c r="H157" t="str" cm="1">
        <f t="array" ref="H157:H160">Groups!$B$2:$B$5</f>
        <v>A</v>
      </c>
      <c r="I157" t="str">
        <f ca="1">IF($A157="","",IF(COUNTA($K$2:$P$2)=6,"WK "&amp;_xlfn.ISOWEEKNUM($K$2)))</f>
        <v>WK 18</v>
      </c>
      <c r="J157" t="str">
        <f ca="1">IF($A157="","",IF(COUNTA($Y$2:$AD$2)=6,"WK "&amp;_xlfn.ISOWEEKNUM($Y$2)))</f>
        <v>WK 20</v>
      </c>
      <c r="K157" s="20" t="str">
        <f t="shared" ca="1" si="61"/>
        <v>ON</v>
      </c>
      <c r="L157" s="20" t="str">
        <f t="shared" ca="1" si="61"/>
        <v>ON</v>
      </c>
      <c r="M157" s="1" t="str">
        <f t="shared" ca="1" si="62"/>
        <v>OFF</v>
      </c>
      <c r="N157" s="1" t="str">
        <f t="shared" ca="1" si="63"/>
        <v>ON</v>
      </c>
      <c r="O157" s="1" t="str">
        <f t="shared" ca="1" si="64"/>
        <v>ON</v>
      </c>
      <c r="P157" s="1" t="str">
        <f t="shared" ca="1" si="65"/>
        <v>ON</v>
      </c>
      <c r="Q157" s="1"/>
      <c r="R157" s="20" t="str">
        <f t="shared" ca="1" si="66"/>
        <v>ON</v>
      </c>
      <c r="S157" s="20" t="str">
        <f t="shared" ca="1" si="66"/>
        <v>ON</v>
      </c>
      <c r="T157" s="1" t="str">
        <f t="shared" ca="1" si="67"/>
        <v>ON</v>
      </c>
      <c r="U157" s="1" t="str">
        <f t="shared" ca="1" si="68"/>
        <v>ON</v>
      </c>
      <c r="V157" s="1" t="str">
        <f t="shared" ca="1" si="69"/>
        <v>ON</v>
      </c>
      <c r="W157" s="1" t="str">
        <f t="shared" ca="1" si="70"/>
        <v>ON</v>
      </c>
      <c r="X157" s="1"/>
      <c r="Y157" s="20" t="str">
        <f t="shared" ca="1" si="71"/>
        <v>ON</v>
      </c>
      <c r="Z157" s="20" t="str">
        <f t="shared" ca="1" si="71"/>
        <v>ON</v>
      </c>
      <c r="AA157" s="1" t="str">
        <f t="shared" ca="1" si="72"/>
        <v>OFF</v>
      </c>
      <c r="AB157" s="1" t="str">
        <f t="shared" ca="1" si="73"/>
        <v>ON</v>
      </c>
      <c r="AC157" s="1" t="str">
        <f t="shared" ca="1" si="74"/>
        <v>ON</v>
      </c>
      <c r="AD157" s="1" t="str">
        <f t="shared" ca="1" si="75"/>
        <v>ON</v>
      </c>
      <c r="AE157" s="1"/>
      <c r="AF157" s="20" t="str">
        <f t="shared" ca="1" si="76"/>
        <v>ON</v>
      </c>
      <c r="AG157" s="20" t="str">
        <f t="shared" ca="1" si="76"/>
        <v>ON</v>
      </c>
      <c r="AH157" s="1" t="str">
        <f t="shared" ca="1" si="77"/>
        <v>ON</v>
      </c>
      <c r="AI157" s="1" t="str">
        <f t="shared" ca="1" si="78"/>
        <v>ON</v>
      </c>
      <c r="AJ157" s="1" t="str">
        <f t="shared" ca="1" si="79"/>
        <v>ON</v>
      </c>
      <c r="AK157" s="1" t="str">
        <f t="shared" ca="1" si="80"/>
        <v>ON</v>
      </c>
      <c r="AL157" s="1"/>
      <c r="AM157" s="20" t="str">
        <f t="shared" si="81"/>
        <v>ON</v>
      </c>
      <c r="AN157" s="20" t="str">
        <f t="shared" si="81"/>
        <v>ON</v>
      </c>
      <c r="AO157" s="20" t="str">
        <f t="shared" si="82"/>
        <v>ON</v>
      </c>
    </row>
    <row r="158" spans="1:41">
      <c r="A158" t="str">
        <f t="shared" ca="1" si="56"/>
        <v>Ekiti</v>
      </c>
      <c r="B158" t="str">
        <f t="shared" ca="1" si="57"/>
        <v>B</v>
      </c>
      <c r="C158" t="str">
        <f t="shared" ca="1" si="58"/>
        <v>D1</v>
      </c>
      <c r="D158" t="s">
        <v>4</v>
      </c>
      <c r="E158">
        <f t="shared" ca="1" si="59"/>
        <v>25</v>
      </c>
      <c r="F158">
        <f t="shared" ca="1" si="60"/>
        <v>2</v>
      </c>
      <c r="G158" t="str">
        <v>B</v>
      </c>
      <c r="H158" t="str">
        <v>B</v>
      </c>
      <c r="I158" t="str">
        <f ca="1">IF($A158="","",IF(COUNTA($R$2:$W$2)=6,"WK "&amp;_xlfn.ISOWEEKNUM($R$2)))</f>
        <v>WK 19</v>
      </c>
      <c r="J158" t="str">
        <f ca="1">IF($A158="","",IF(COUNTA($AF$2:$AK$2)=6,"WK "&amp;_xlfn.ISOWEEKNUM($AF$2)))</f>
        <v>WK 21</v>
      </c>
      <c r="K158" s="20" t="str">
        <f t="shared" ca="1" si="61"/>
        <v>ON</v>
      </c>
      <c r="L158" s="20" t="str">
        <f t="shared" ca="1" si="61"/>
        <v>ON</v>
      </c>
      <c r="M158" s="1" t="str">
        <f t="shared" ca="1" si="62"/>
        <v>ON</v>
      </c>
      <c r="N158" s="1" t="str">
        <f t="shared" ca="1" si="63"/>
        <v>ON</v>
      </c>
      <c r="O158" s="1" t="str">
        <f t="shared" ca="1" si="64"/>
        <v>ON</v>
      </c>
      <c r="P158" s="1" t="str">
        <f t="shared" ca="1" si="65"/>
        <v>ON</v>
      </c>
      <c r="Q158" s="1"/>
      <c r="R158" s="20" t="str">
        <f t="shared" ca="1" si="66"/>
        <v>ON</v>
      </c>
      <c r="S158" s="20" t="str">
        <f t="shared" ca="1" si="66"/>
        <v>ON</v>
      </c>
      <c r="T158" s="1" t="str">
        <f t="shared" ca="1" si="67"/>
        <v>ON</v>
      </c>
      <c r="U158" s="1" t="str">
        <f t="shared" ca="1" si="68"/>
        <v>OFF</v>
      </c>
      <c r="V158" s="1" t="str">
        <f t="shared" ca="1" si="69"/>
        <v>ON</v>
      </c>
      <c r="W158" s="1" t="str">
        <f t="shared" ca="1" si="70"/>
        <v>ON</v>
      </c>
      <c r="X158" s="1"/>
      <c r="Y158" s="20" t="str">
        <f t="shared" ca="1" si="71"/>
        <v>ON</v>
      </c>
      <c r="Z158" s="20" t="str">
        <f t="shared" ca="1" si="71"/>
        <v>ON</v>
      </c>
      <c r="AA158" s="1" t="str">
        <f t="shared" ca="1" si="72"/>
        <v>ON</v>
      </c>
      <c r="AB158" s="1" t="str">
        <f t="shared" ca="1" si="73"/>
        <v>ON</v>
      </c>
      <c r="AC158" s="1" t="str">
        <f t="shared" ca="1" si="74"/>
        <v>ON</v>
      </c>
      <c r="AD158" s="1" t="str">
        <f t="shared" ca="1" si="75"/>
        <v>ON</v>
      </c>
      <c r="AE158" s="1"/>
      <c r="AF158" s="20" t="str">
        <f t="shared" ca="1" si="76"/>
        <v>ON</v>
      </c>
      <c r="AG158" s="20" t="str">
        <f t="shared" ca="1" si="76"/>
        <v>ON</v>
      </c>
      <c r="AH158" s="1" t="str">
        <f t="shared" ca="1" si="77"/>
        <v>ON</v>
      </c>
      <c r="AI158" s="1" t="str">
        <f t="shared" ca="1" si="78"/>
        <v>OFF</v>
      </c>
      <c r="AJ158" s="1" t="str">
        <f t="shared" ca="1" si="79"/>
        <v>ON</v>
      </c>
      <c r="AK158" s="1" t="str">
        <f t="shared" ca="1" si="80"/>
        <v>ON</v>
      </c>
      <c r="AL158" s="1"/>
      <c r="AM158" s="20" t="str">
        <f t="shared" si="81"/>
        <v>ON</v>
      </c>
      <c r="AN158" s="20" t="str">
        <f t="shared" si="81"/>
        <v>ON</v>
      </c>
      <c r="AO158" s="20" t="str">
        <f t="shared" si="82"/>
        <v>ON</v>
      </c>
    </row>
    <row r="159" spans="1:41">
      <c r="A159" t="str">
        <f t="shared" ca="1" si="56"/>
        <v>Ogun</v>
      </c>
      <c r="B159" t="str">
        <f t="shared" ca="1" si="57"/>
        <v>E</v>
      </c>
      <c r="C159" t="str">
        <f t="shared" ca="1" si="58"/>
        <v>B1</v>
      </c>
      <c r="D159" t="s">
        <v>4</v>
      </c>
      <c r="E159">
        <f t="shared" ca="1" si="59"/>
        <v>25</v>
      </c>
      <c r="F159">
        <f t="shared" ca="1" si="60"/>
        <v>2</v>
      </c>
      <c r="G159" t="str">
        <v>C</v>
      </c>
      <c r="H159" t="str">
        <v>C</v>
      </c>
      <c r="I159" t="str">
        <f ca="1">IF($A159="","",IF(COUNTA($K$2:$P$2)=6,"WK "&amp;_xlfn.ISOWEEKNUM($K$2)))</f>
        <v>WK 18</v>
      </c>
      <c r="J159" t="str">
        <f ca="1">IF($A159="","",IF(COUNTA($Y$2:$AD$2)=6,"WK "&amp;_xlfn.ISOWEEKNUM($Y$2)))</f>
        <v>WK 20</v>
      </c>
      <c r="K159" s="20" t="str">
        <f t="shared" ca="1" si="61"/>
        <v>ON</v>
      </c>
      <c r="L159" s="20" t="str">
        <f t="shared" ca="1" si="61"/>
        <v>ON</v>
      </c>
      <c r="M159" s="1" t="str">
        <f t="shared" ca="1" si="62"/>
        <v>ON</v>
      </c>
      <c r="N159" s="1" t="str">
        <f t="shared" ca="1" si="63"/>
        <v>ON</v>
      </c>
      <c r="O159" s="1" t="str">
        <f t="shared" ca="1" si="64"/>
        <v>OFF</v>
      </c>
      <c r="P159" s="1" t="str">
        <f t="shared" ca="1" si="65"/>
        <v>ON</v>
      </c>
      <c r="Q159" s="1"/>
      <c r="R159" s="20" t="str">
        <f t="shared" ca="1" si="66"/>
        <v>ON</v>
      </c>
      <c r="S159" s="20" t="str">
        <f t="shared" ca="1" si="66"/>
        <v>ON</v>
      </c>
      <c r="T159" s="1" t="str">
        <f t="shared" ca="1" si="67"/>
        <v>ON</v>
      </c>
      <c r="U159" s="1" t="str">
        <f t="shared" ca="1" si="68"/>
        <v>ON</v>
      </c>
      <c r="V159" s="1" t="str">
        <f t="shared" ca="1" si="69"/>
        <v>ON</v>
      </c>
      <c r="W159" s="1" t="str">
        <f t="shared" ca="1" si="70"/>
        <v>ON</v>
      </c>
      <c r="X159" s="1"/>
      <c r="Y159" s="20" t="str">
        <f t="shared" ca="1" si="71"/>
        <v>ON</v>
      </c>
      <c r="Z159" s="20" t="str">
        <f t="shared" ca="1" si="71"/>
        <v>ON</v>
      </c>
      <c r="AA159" s="1" t="str">
        <f t="shared" ca="1" si="72"/>
        <v>ON</v>
      </c>
      <c r="AB159" s="1" t="str">
        <f t="shared" ca="1" si="73"/>
        <v>ON</v>
      </c>
      <c r="AC159" s="1" t="str">
        <f t="shared" ca="1" si="74"/>
        <v>OFF</v>
      </c>
      <c r="AD159" s="1" t="str">
        <f t="shared" ca="1" si="75"/>
        <v>ON</v>
      </c>
      <c r="AE159" s="1"/>
      <c r="AF159" s="20" t="str">
        <f t="shared" ca="1" si="76"/>
        <v>ON</v>
      </c>
      <c r="AG159" s="20" t="str">
        <f t="shared" ca="1" si="76"/>
        <v>ON</v>
      </c>
      <c r="AH159" s="1" t="str">
        <f t="shared" ca="1" si="77"/>
        <v>ON</v>
      </c>
      <c r="AI159" s="1" t="str">
        <f t="shared" ca="1" si="78"/>
        <v>ON</v>
      </c>
      <c r="AJ159" s="1" t="str">
        <f t="shared" ca="1" si="79"/>
        <v>ON</v>
      </c>
      <c r="AK159" s="1" t="str">
        <f t="shared" ca="1" si="80"/>
        <v>ON</v>
      </c>
      <c r="AL159" s="1"/>
      <c r="AM159" s="20" t="str">
        <f t="shared" si="81"/>
        <v>ON</v>
      </c>
      <c r="AN159" s="20" t="str">
        <f t="shared" si="81"/>
        <v>ON</v>
      </c>
      <c r="AO159" s="20" t="str">
        <f t="shared" si="82"/>
        <v>ON</v>
      </c>
    </row>
    <row r="160" spans="1:41">
      <c r="A160" t="str">
        <f t="shared" ca="1" si="56"/>
        <v>Oyo</v>
      </c>
      <c r="B160" t="str">
        <f t="shared" ca="1" si="57"/>
        <v>A</v>
      </c>
      <c r="C160" t="str">
        <f t="shared" ca="1" si="58"/>
        <v>D1</v>
      </c>
      <c r="D160" t="s">
        <v>4</v>
      </c>
      <c r="E160">
        <f t="shared" ca="1" si="59"/>
        <v>25</v>
      </c>
      <c r="F160">
        <f t="shared" ca="1" si="60"/>
        <v>2</v>
      </c>
      <c r="G160" t="str">
        <v>D</v>
      </c>
      <c r="H160" t="str">
        <v>D</v>
      </c>
      <c r="I160" t="str">
        <f ca="1">IF($A160="","",IF(COUNTA($R$2:$W$2)=6,"WK "&amp;_xlfn.ISOWEEKNUM($R$2)))</f>
        <v>WK 19</v>
      </c>
      <c r="J160" t="str">
        <f ca="1">IF($A160="","",IF(COUNTA($AF$2:$AK$2)=6,"WK "&amp;_xlfn.ISOWEEKNUM($AF$2)))</f>
        <v>WK 21</v>
      </c>
      <c r="K160" s="20" t="str">
        <f t="shared" ca="1" si="61"/>
        <v>ON</v>
      </c>
      <c r="L160" s="20" t="str">
        <f t="shared" ca="1" si="61"/>
        <v>ON</v>
      </c>
      <c r="M160" s="1" t="str">
        <f t="shared" ca="1" si="62"/>
        <v>ON</v>
      </c>
      <c r="N160" s="1" t="str">
        <f t="shared" ca="1" si="63"/>
        <v>ON</v>
      </c>
      <c r="O160" s="1" t="str">
        <f t="shared" ca="1" si="64"/>
        <v>ON</v>
      </c>
      <c r="P160" s="1" t="str">
        <f t="shared" ca="1" si="65"/>
        <v>ON</v>
      </c>
      <c r="Q160" s="1"/>
      <c r="R160" s="20" t="str">
        <f t="shared" ca="1" si="66"/>
        <v>ON</v>
      </c>
      <c r="S160" s="20" t="str">
        <f t="shared" ca="1" si="66"/>
        <v>ON</v>
      </c>
      <c r="T160" s="1" t="str">
        <f t="shared" ca="1" si="67"/>
        <v>ON</v>
      </c>
      <c r="U160" s="1" t="str">
        <f t="shared" ca="1" si="68"/>
        <v>ON</v>
      </c>
      <c r="V160" s="1" t="str">
        <f t="shared" ca="1" si="69"/>
        <v>ON</v>
      </c>
      <c r="W160" s="1" t="str">
        <f t="shared" ca="1" si="70"/>
        <v>OFF</v>
      </c>
      <c r="X160" s="1"/>
      <c r="Y160" s="20" t="str">
        <f t="shared" ca="1" si="71"/>
        <v>ON</v>
      </c>
      <c r="Z160" s="20" t="str">
        <f t="shared" ca="1" si="71"/>
        <v>ON</v>
      </c>
      <c r="AA160" s="1" t="str">
        <f t="shared" ca="1" si="72"/>
        <v>ON</v>
      </c>
      <c r="AB160" s="1" t="str">
        <f t="shared" ca="1" si="73"/>
        <v>ON</v>
      </c>
      <c r="AC160" s="1" t="str">
        <f t="shared" ca="1" si="74"/>
        <v>ON</v>
      </c>
      <c r="AD160" s="1" t="str">
        <f t="shared" ca="1" si="75"/>
        <v>ON</v>
      </c>
      <c r="AE160" s="1"/>
      <c r="AF160" s="20" t="str">
        <f t="shared" ca="1" si="76"/>
        <v>ON</v>
      </c>
      <c r="AG160" s="20" t="str">
        <f t="shared" ca="1" si="76"/>
        <v>ON</v>
      </c>
      <c r="AH160" s="1" t="str">
        <f t="shared" ca="1" si="77"/>
        <v>ON</v>
      </c>
      <c r="AI160" s="1" t="str">
        <f t="shared" ca="1" si="78"/>
        <v>ON</v>
      </c>
      <c r="AJ160" s="1" t="str">
        <f t="shared" ca="1" si="79"/>
        <v>ON</v>
      </c>
      <c r="AK160" s="1" t="str">
        <f t="shared" ca="1" si="80"/>
        <v>OFF</v>
      </c>
      <c r="AL160" s="1"/>
      <c r="AM160" s="20" t="str">
        <f t="shared" si="81"/>
        <v>ON</v>
      </c>
      <c r="AN160" s="20" t="str">
        <f t="shared" si="81"/>
        <v>ON</v>
      </c>
      <c r="AO160" s="20" t="str">
        <f t="shared" si="82"/>
        <v>ON</v>
      </c>
    </row>
    <row r="161" spans="1:41">
      <c r="A161" t="str">
        <f t="shared" ca="1" si="56"/>
        <v>Ondo</v>
      </c>
      <c r="B161" t="str">
        <f t="shared" ca="1" si="57"/>
        <v>D</v>
      </c>
      <c r="C161" t="str">
        <f t="shared" ca="1" si="58"/>
        <v>B1</v>
      </c>
      <c r="D161" t="s">
        <v>4</v>
      </c>
      <c r="E161">
        <f t="shared" ca="1" si="59"/>
        <v>25</v>
      </c>
      <c r="F161">
        <f t="shared" ca="1" si="60"/>
        <v>2</v>
      </c>
      <c r="G161" t="str" cm="1">
        <f t="array" ref="G161:G164">IF($G$5:$G$8={"A";"B";"C";"D"},{"D";"C";"B";"A"},{"A";"B";"C";"D"})</f>
        <v>D</v>
      </c>
      <c r="H161" t="str" cm="1">
        <f t="array" ref="H161:H164">IF($H$5:$H$8={"A";"B";"C";"D"},{"D";"C";"B";"A"},{"A";"B";"C";"D"})</f>
        <v>D</v>
      </c>
      <c r="I161" t="str">
        <f ca="1">IF($A161="","",IF(COUNTA($K$2:$P$2)=6,"WK "&amp;_xlfn.ISOWEEKNUM($K$2)))</f>
        <v>WK 18</v>
      </c>
      <c r="J161" t="str">
        <f ca="1">IF($A161="","",IF(COUNTA($Y$2:$AD$2)=6,"WK "&amp;_xlfn.ISOWEEKNUM($Y$2)))</f>
        <v>WK 20</v>
      </c>
      <c r="K161" s="20" t="str">
        <f t="shared" ca="1" si="61"/>
        <v>ON</v>
      </c>
      <c r="L161" s="20" t="str">
        <f t="shared" ca="1" si="61"/>
        <v>ON</v>
      </c>
      <c r="M161" s="1" t="str">
        <f t="shared" ca="1" si="62"/>
        <v>ON</v>
      </c>
      <c r="N161" s="1" t="str">
        <f t="shared" ca="1" si="63"/>
        <v>ON</v>
      </c>
      <c r="O161" s="1" t="str">
        <f t="shared" ca="1" si="64"/>
        <v>ON</v>
      </c>
      <c r="P161" s="1" t="str">
        <f t="shared" ca="1" si="65"/>
        <v>OFF</v>
      </c>
      <c r="Q161" s="1"/>
      <c r="R161" s="20" t="str">
        <f t="shared" ca="1" si="66"/>
        <v>ON</v>
      </c>
      <c r="S161" s="20" t="str">
        <f t="shared" ca="1" si="66"/>
        <v>ON</v>
      </c>
      <c r="T161" s="1" t="str">
        <f t="shared" ca="1" si="67"/>
        <v>ON</v>
      </c>
      <c r="U161" s="1" t="str">
        <f t="shared" ca="1" si="68"/>
        <v>ON</v>
      </c>
      <c r="V161" s="1" t="str">
        <f t="shared" ca="1" si="69"/>
        <v>ON</v>
      </c>
      <c r="W161" s="1" t="str">
        <f t="shared" ca="1" si="70"/>
        <v>ON</v>
      </c>
      <c r="X161" s="1"/>
      <c r="Y161" s="20" t="str">
        <f t="shared" ca="1" si="71"/>
        <v>ON</v>
      </c>
      <c r="Z161" s="20" t="str">
        <f t="shared" ca="1" si="71"/>
        <v>ON</v>
      </c>
      <c r="AA161" s="1" t="str">
        <f t="shared" ca="1" si="72"/>
        <v>ON</v>
      </c>
      <c r="AB161" s="1" t="str">
        <f t="shared" ca="1" si="73"/>
        <v>ON</v>
      </c>
      <c r="AC161" s="1" t="str">
        <f t="shared" ca="1" si="74"/>
        <v>ON</v>
      </c>
      <c r="AD161" s="1" t="str">
        <f t="shared" ca="1" si="75"/>
        <v>OFF</v>
      </c>
      <c r="AE161" s="1"/>
      <c r="AF161" s="20" t="str">
        <f t="shared" ca="1" si="76"/>
        <v>ON</v>
      </c>
      <c r="AG161" s="20" t="str">
        <f t="shared" ca="1" si="76"/>
        <v>ON</v>
      </c>
      <c r="AH161" s="1" t="str">
        <f t="shared" ca="1" si="77"/>
        <v>ON</v>
      </c>
      <c r="AI161" s="1" t="str">
        <f t="shared" ca="1" si="78"/>
        <v>ON</v>
      </c>
      <c r="AJ161" s="1" t="str">
        <f t="shared" ca="1" si="79"/>
        <v>ON</v>
      </c>
      <c r="AK161" s="1" t="str">
        <f t="shared" ca="1" si="80"/>
        <v>ON</v>
      </c>
      <c r="AL161" s="1"/>
      <c r="AM161" s="20" t="str">
        <f t="shared" si="81"/>
        <v>ON</v>
      </c>
      <c r="AN161" s="20" t="str">
        <f t="shared" si="81"/>
        <v>ON</v>
      </c>
      <c r="AO161" s="20" t="str">
        <f t="shared" si="82"/>
        <v>ON</v>
      </c>
    </row>
    <row r="162" spans="1:41">
      <c r="A162" t="str">
        <f t="shared" ca="1" si="56"/>
        <v>Oyo</v>
      </c>
      <c r="B162" t="str">
        <f t="shared" ca="1" si="57"/>
        <v>A</v>
      </c>
      <c r="C162" t="str">
        <f t="shared" ca="1" si="58"/>
        <v>A1</v>
      </c>
      <c r="D162" t="s">
        <v>5</v>
      </c>
      <c r="E162">
        <f t="shared" ca="1" si="59"/>
        <v>25</v>
      </c>
      <c r="F162">
        <f t="shared" ca="1" si="60"/>
        <v>2</v>
      </c>
      <c r="G162" t="str">
        <v>C</v>
      </c>
      <c r="H162" t="str">
        <v>C</v>
      </c>
      <c r="I162" t="str">
        <f ca="1">IF($A162="","",IF(COUNTA($R$2:$W$2)=6,"WK "&amp;_xlfn.ISOWEEKNUM($R$2)))</f>
        <v>WK 19</v>
      </c>
      <c r="J162" t="str">
        <f ca="1">IF($A162="","",IF(COUNTA($AF$2:$AK$2)=6,"WK "&amp;_xlfn.ISOWEEKNUM($AF$2)))</f>
        <v>WK 21</v>
      </c>
      <c r="K162" s="20" t="str">
        <f t="shared" ca="1" si="61"/>
        <v>ON</v>
      </c>
      <c r="L162" s="20" t="str">
        <f t="shared" ca="1" si="61"/>
        <v>ON</v>
      </c>
      <c r="M162" s="1" t="str">
        <f t="shared" ca="1" si="62"/>
        <v>ON</v>
      </c>
      <c r="N162" s="1" t="str">
        <f t="shared" ca="1" si="63"/>
        <v>ON</v>
      </c>
      <c r="O162" s="1" t="str">
        <f t="shared" ca="1" si="64"/>
        <v>ON</v>
      </c>
      <c r="P162" s="1" t="str">
        <f t="shared" ca="1" si="65"/>
        <v>ON</v>
      </c>
      <c r="Q162" s="1"/>
      <c r="R162" s="20" t="str">
        <f t="shared" ca="1" si="66"/>
        <v>ON</v>
      </c>
      <c r="S162" s="20" t="str">
        <f t="shared" ca="1" si="66"/>
        <v>ON</v>
      </c>
      <c r="T162" s="1" t="str">
        <f t="shared" ca="1" si="67"/>
        <v>ON</v>
      </c>
      <c r="U162" s="1" t="str">
        <f t="shared" ca="1" si="68"/>
        <v>ON</v>
      </c>
      <c r="V162" s="1" t="str">
        <f t="shared" ca="1" si="69"/>
        <v>OFF</v>
      </c>
      <c r="W162" s="1" t="str">
        <f t="shared" ca="1" si="70"/>
        <v>ON</v>
      </c>
      <c r="X162" s="1"/>
      <c r="Y162" s="20" t="str">
        <f t="shared" ca="1" si="71"/>
        <v>ON</v>
      </c>
      <c r="Z162" s="20" t="str">
        <f t="shared" ca="1" si="71"/>
        <v>ON</v>
      </c>
      <c r="AA162" s="1" t="str">
        <f t="shared" ca="1" si="72"/>
        <v>ON</v>
      </c>
      <c r="AB162" s="1" t="str">
        <f t="shared" ca="1" si="73"/>
        <v>ON</v>
      </c>
      <c r="AC162" s="1" t="str">
        <f t="shared" ca="1" si="74"/>
        <v>ON</v>
      </c>
      <c r="AD162" s="1" t="str">
        <f t="shared" ca="1" si="75"/>
        <v>ON</v>
      </c>
      <c r="AE162" s="1"/>
      <c r="AF162" s="20" t="str">
        <f t="shared" ca="1" si="76"/>
        <v>ON</v>
      </c>
      <c r="AG162" s="20" t="str">
        <f t="shared" ca="1" si="76"/>
        <v>ON</v>
      </c>
      <c r="AH162" s="1" t="str">
        <f t="shared" ca="1" si="77"/>
        <v>ON</v>
      </c>
      <c r="AI162" s="1" t="str">
        <f t="shared" ca="1" si="78"/>
        <v>ON</v>
      </c>
      <c r="AJ162" s="1" t="str">
        <f t="shared" ca="1" si="79"/>
        <v>OFF</v>
      </c>
      <c r="AK162" s="1" t="str">
        <f t="shared" ca="1" si="80"/>
        <v>ON</v>
      </c>
      <c r="AL162" s="1"/>
      <c r="AM162" s="20" t="str">
        <f t="shared" si="81"/>
        <v>ON</v>
      </c>
      <c r="AN162" s="20" t="str">
        <f t="shared" si="81"/>
        <v>ON</v>
      </c>
      <c r="AO162" s="20" t="str">
        <f t="shared" si="82"/>
        <v>ON</v>
      </c>
    </row>
    <row r="163" spans="1:41">
      <c r="A163" t="str">
        <f t="shared" ca="1" si="56"/>
        <v>Ekiti</v>
      </c>
      <c r="B163" t="str">
        <f t="shared" ca="1" si="57"/>
        <v>E</v>
      </c>
      <c r="C163" t="str">
        <f t="shared" ca="1" si="58"/>
        <v>C1</v>
      </c>
      <c r="D163" t="s">
        <v>5</v>
      </c>
      <c r="E163">
        <f t="shared" ca="1" si="59"/>
        <v>25</v>
      </c>
      <c r="F163">
        <f t="shared" ca="1" si="60"/>
        <v>2</v>
      </c>
      <c r="G163" t="str">
        <v>B</v>
      </c>
      <c r="H163" t="str">
        <v>B</v>
      </c>
      <c r="I163" t="str">
        <f ca="1">IF($A163="","",IF(COUNTA($K$2:$P$2)=6,"WK "&amp;_xlfn.ISOWEEKNUM($K$2)))</f>
        <v>WK 18</v>
      </c>
      <c r="J163" t="str">
        <f ca="1">IF($A163="","",IF(COUNTA($Y$2:$AD$2)=6,"WK "&amp;_xlfn.ISOWEEKNUM($Y$2)))</f>
        <v>WK 20</v>
      </c>
      <c r="K163" s="20" t="str">
        <f t="shared" ca="1" si="61"/>
        <v>ON</v>
      </c>
      <c r="L163" s="20" t="str">
        <f t="shared" ca="1" si="61"/>
        <v>ON</v>
      </c>
      <c r="M163" s="1" t="str">
        <f t="shared" ca="1" si="62"/>
        <v>ON</v>
      </c>
      <c r="N163" s="1" t="str">
        <f t="shared" ca="1" si="63"/>
        <v>OFF</v>
      </c>
      <c r="O163" s="1" t="str">
        <f t="shared" ca="1" si="64"/>
        <v>ON</v>
      </c>
      <c r="P163" s="1" t="str">
        <f t="shared" ca="1" si="65"/>
        <v>ON</v>
      </c>
      <c r="Q163" s="1"/>
      <c r="R163" s="20" t="str">
        <f t="shared" ca="1" si="66"/>
        <v>ON</v>
      </c>
      <c r="S163" s="20" t="str">
        <f t="shared" ca="1" si="66"/>
        <v>ON</v>
      </c>
      <c r="T163" s="1" t="str">
        <f t="shared" ca="1" si="67"/>
        <v>ON</v>
      </c>
      <c r="U163" s="1" t="str">
        <f t="shared" ca="1" si="68"/>
        <v>ON</v>
      </c>
      <c r="V163" s="1" t="str">
        <f t="shared" ca="1" si="69"/>
        <v>ON</v>
      </c>
      <c r="W163" s="1" t="str">
        <f t="shared" ca="1" si="70"/>
        <v>ON</v>
      </c>
      <c r="X163" s="1"/>
      <c r="Y163" s="20" t="str">
        <f t="shared" ca="1" si="71"/>
        <v>ON</v>
      </c>
      <c r="Z163" s="20" t="str">
        <f t="shared" ca="1" si="71"/>
        <v>ON</v>
      </c>
      <c r="AA163" s="1" t="str">
        <f t="shared" ca="1" si="72"/>
        <v>ON</v>
      </c>
      <c r="AB163" s="1" t="str">
        <f t="shared" ca="1" si="73"/>
        <v>OFF</v>
      </c>
      <c r="AC163" s="1" t="str">
        <f t="shared" ca="1" si="74"/>
        <v>ON</v>
      </c>
      <c r="AD163" s="1" t="str">
        <f t="shared" ca="1" si="75"/>
        <v>ON</v>
      </c>
      <c r="AE163" s="1"/>
      <c r="AF163" s="20" t="str">
        <f t="shared" ca="1" si="76"/>
        <v>ON</v>
      </c>
      <c r="AG163" s="20" t="str">
        <f t="shared" ca="1" si="76"/>
        <v>ON</v>
      </c>
      <c r="AH163" s="1" t="str">
        <f t="shared" ca="1" si="77"/>
        <v>ON</v>
      </c>
      <c r="AI163" s="1" t="str">
        <f t="shared" ca="1" si="78"/>
        <v>ON</v>
      </c>
      <c r="AJ163" s="1" t="str">
        <f t="shared" ca="1" si="79"/>
        <v>ON</v>
      </c>
      <c r="AK163" s="1" t="str">
        <f t="shared" ca="1" si="80"/>
        <v>ON</v>
      </c>
      <c r="AL163" s="1"/>
      <c r="AM163" s="20" t="str">
        <f t="shared" si="81"/>
        <v>ON</v>
      </c>
      <c r="AN163" s="20" t="str">
        <f t="shared" si="81"/>
        <v>ON</v>
      </c>
      <c r="AO163" s="20" t="str">
        <f t="shared" si="82"/>
        <v>ON</v>
      </c>
    </row>
    <row r="164" spans="1:41">
      <c r="A164" t="str">
        <f t="shared" ca="1" si="56"/>
        <v>Lagos</v>
      </c>
      <c r="B164" t="str">
        <f t="shared" ca="1" si="57"/>
        <v>D</v>
      </c>
      <c r="C164" t="str">
        <f t="shared" ca="1" si="58"/>
        <v>E1</v>
      </c>
      <c r="D164" t="s">
        <v>5</v>
      </c>
      <c r="E164">
        <f t="shared" ca="1" si="59"/>
        <v>25</v>
      </c>
      <c r="F164">
        <f t="shared" ca="1" si="60"/>
        <v>2</v>
      </c>
      <c r="G164" t="str">
        <v>A</v>
      </c>
      <c r="H164" t="str">
        <v>A</v>
      </c>
      <c r="I164" t="str">
        <f ca="1">IF($A164="","",IF(COUNTA($R$2:$W$2)=6,"WK "&amp;_xlfn.ISOWEEKNUM($R$2)))</f>
        <v>WK 19</v>
      </c>
      <c r="J164" t="str">
        <f ca="1">IF($A164="","",IF(COUNTA($AF$2:$AK$2)=6,"WK "&amp;_xlfn.ISOWEEKNUM($AF$2)))</f>
        <v>WK 21</v>
      </c>
      <c r="K164" s="20" t="str">
        <f t="shared" ca="1" si="61"/>
        <v>ON</v>
      </c>
      <c r="L164" s="20" t="str">
        <f t="shared" ca="1" si="61"/>
        <v>ON</v>
      </c>
      <c r="M164" s="1" t="str">
        <f t="shared" ca="1" si="62"/>
        <v>ON</v>
      </c>
      <c r="N164" s="1" t="str">
        <f t="shared" ca="1" si="63"/>
        <v>ON</v>
      </c>
      <c r="O164" s="1" t="str">
        <f t="shared" ca="1" si="64"/>
        <v>ON</v>
      </c>
      <c r="P164" s="1" t="str">
        <f t="shared" ca="1" si="65"/>
        <v>ON</v>
      </c>
      <c r="Q164" s="1"/>
      <c r="R164" s="20" t="str">
        <f t="shared" ca="1" si="66"/>
        <v>ON</v>
      </c>
      <c r="S164" s="20" t="str">
        <f t="shared" ca="1" si="66"/>
        <v>ON</v>
      </c>
      <c r="T164" s="1" t="str">
        <f t="shared" ca="1" si="67"/>
        <v>OFF</v>
      </c>
      <c r="U164" s="1" t="str">
        <f t="shared" ca="1" si="68"/>
        <v>ON</v>
      </c>
      <c r="V164" s="1" t="str">
        <f t="shared" ca="1" si="69"/>
        <v>ON</v>
      </c>
      <c r="W164" s="1" t="str">
        <f t="shared" ca="1" si="70"/>
        <v>ON</v>
      </c>
      <c r="X164" s="1"/>
      <c r="Y164" s="20" t="str">
        <f t="shared" ca="1" si="71"/>
        <v>ON</v>
      </c>
      <c r="Z164" s="20" t="str">
        <f t="shared" ca="1" si="71"/>
        <v>ON</v>
      </c>
      <c r="AA164" s="1" t="str">
        <f t="shared" ca="1" si="72"/>
        <v>ON</v>
      </c>
      <c r="AB164" s="1" t="str">
        <f t="shared" ca="1" si="73"/>
        <v>ON</v>
      </c>
      <c r="AC164" s="1" t="str">
        <f t="shared" ca="1" si="74"/>
        <v>ON</v>
      </c>
      <c r="AD164" s="1" t="str">
        <f t="shared" ca="1" si="75"/>
        <v>ON</v>
      </c>
      <c r="AE164" s="1"/>
      <c r="AF164" s="20" t="str">
        <f t="shared" ca="1" si="76"/>
        <v>ON</v>
      </c>
      <c r="AG164" s="20" t="str">
        <f t="shared" ca="1" si="76"/>
        <v>ON</v>
      </c>
      <c r="AH164" s="1" t="str">
        <f t="shared" ca="1" si="77"/>
        <v>OFF</v>
      </c>
      <c r="AI164" s="1" t="str">
        <f t="shared" ca="1" si="78"/>
        <v>ON</v>
      </c>
      <c r="AJ164" s="1" t="str">
        <f t="shared" ca="1" si="79"/>
        <v>ON</v>
      </c>
      <c r="AK164" s="1" t="str">
        <f t="shared" ca="1" si="80"/>
        <v>ON</v>
      </c>
      <c r="AL164" s="1"/>
      <c r="AM164" s="20" t="str">
        <f t="shared" si="81"/>
        <v>ON</v>
      </c>
      <c r="AN164" s="20" t="str">
        <f t="shared" si="81"/>
        <v>ON</v>
      </c>
      <c r="AO164" s="20" t="str">
        <f t="shared" si="82"/>
        <v>ON</v>
      </c>
    </row>
    <row r="165" spans="1:41">
      <c r="A165" t="str">
        <f t="shared" ca="1" si="56"/>
        <v>Lagos</v>
      </c>
      <c r="B165" t="str">
        <f t="shared" ca="1" si="57"/>
        <v>B</v>
      </c>
      <c r="C165" t="str">
        <f t="shared" ca="1" si="58"/>
        <v>D1</v>
      </c>
      <c r="D165" t="s">
        <v>5</v>
      </c>
      <c r="E165">
        <f t="shared" ca="1" si="59"/>
        <v>25</v>
      </c>
      <c r="F165">
        <f t="shared" ca="1" si="60"/>
        <v>2</v>
      </c>
      <c r="G165" t="str" cm="1">
        <f t="array" ref="G165:G168">Groups!$B$2:$B$5</f>
        <v>A</v>
      </c>
      <c r="H165" t="str" cm="1">
        <f t="array" ref="H165:H168">Groups!$B$2:$B$5</f>
        <v>A</v>
      </c>
      <c r="I165" t="str">
        <f ca="1">IF($A165="","",IF(COUNTA($K$2:$P$2)=6,"WK "&amp;_xlfn.ISOWEEKNUM($K$2)))</f>
        <v>WK 18</v>
      </c>
      <c r="J165" t="str">
        <f ca="1">IF($A165="","",IF(COUNTA($Y$2:$AD$2)=6,"WK "&amp;_xlfn.ISOWEEKNUM($Y$2)))</f>
        <v>WK 20</v>
      </c>
      <c r="K165" s="20" t="str">
        <f t="shared" ca="1" si="61"/>
        <v>ON</v>
      </c>
      <c r="L165" s="20" t="str">
        <f t="shared" ca="1" si="61"/>
        <v>ON</v>
      </c>
      <c r="M165" s="1" t="str">
        <f t="shared" ca="1" si="62"/>
        <v>OFF</v>
      </c>
      <c r="N165" s="1" t="str">
        <f t="shared" ca="1" si="63"/>
        <v>ON</v>
      </c>
      <c r="O165" s="1" t="str">
        <f t="shared" ca="1" si="64"/>
        <v>ON</v>
      </c>
      <c r="P165" s="1" t="str">
        <f t="shared" ca="1" si="65"/>
        <v>ON</v>
      </c>
      <c r="Q165" s="1"/>
      <c r="R165" s="20" t="str">
        <f t="shared" ca="1" si="66"/>
        <v>ON</v>
      </c>
      <c r="S165" s="20" t="str">
        <f t="shared" ca="1" si="66"/>
        <v>ON</v>
      </c>
      <c r="T165" s="1" t="str">
        <f t="shared" ca="1" si="67"/>
        <v>ON</v>
      </c>
      <c r="U165" s="1" t="str">
        <f t="shared" ca="1" si="68"/>
        <v>ON</v>
      </c>
      <c r="V165" s="1" t="str">
        <f t="shared" ca="1" si="69"/>
        <v>ON</v>
      </c>
      <c r="W165" s="1" t="str">
        <f t="shared" ca="1" si="70"/>
        <v>ON</v>
      </c>
      <c r="X165" s="1"/>
      <c r="Y165" s="20" t="str">
        <f t="shared" ca="1" si="71"/>
        <v>ON</v>
      </c>
      <c r="Z165" s="20" t="str">
        <f t="shared" ca="1" si="71"/>
        <v>ON</v>
      </c>
      <c r="AA165" s="1" t="str">
        <f t="shared" ca="1" si="72"/>
        <v>OFF</v>
      </c>
      <c r="AB165" s="1" t="str">
        <f t="shared" ca="1" si="73"/>
        <v>ON</v>
      </c>
      <c r="AC165" s="1" t="str">
        <f t="shared" ca="1" si="74"/>
        <v>ON</v>
      </c>
      <c r="AD165" s="1" t="str">
        <f t="shared" ca="1" si="75"/>
        <v>ON</v>
      </c>
      <c r="AE165" s="1"/>
      <c r="AF165" s="20" t="str">
        <f t="shared" ca="1" si="76"/>
        <v>ON</v>
      </c>
      <c r="AG165" s="20" t="str">
        <f t="shared" ca="1" si="76"/>
        <v>ON</v>
      </c>
      <c r="AH165" s="1" t="str">
        <f t="shared" ca="1" si="77"/>
        <v>ON</v>
      </c>
      <c r="AI165" s="1" t="str">
        <f t="shared" ca="1" si="78"/>
        <v>ON</v>
      </c>
      <c r="AJ165" s="1" t="str">
        <f t="shared" ca="1" si="79"/>
        <v>ON</v>
      </c>
      <c r="AK165" s="1" t="str">
        <f t="shared" ca="1" si="80"/>
        <v>ON</v>
      </c>
      <c r="AL165" s="1"/>
      <c r="AM165" s="20" t="str">
        <f t="shared" si="81"/>
        <v>ON</v>
      </c>
      <c r="AN165" s="20" t="str">
        <f t="shared" si="81"/>
        <v>ON</v>
      </c>
      <c r="AO165" s="20" t="str">
        <f t="shared" si="82"/>
        <v>ON</v>
      </c>
    </row>
    <row r="166" spans="1:41">
      <c r="A166" t="str">
        <f t="shared" ca="1" si="56"/>
        <v>Lagos</v>
      </c>
      <c r="B166" t="str">
        <f t="shared" ca="1" si="57"/>
        <v>C</v>
      </c>
      <c r="C166" t="str">
        <f t="shared" ca="1" si="58"/>
        <v>B1</v>
      </c>
      <c r="D166" t="s">
        <v>5</v>
      </c>
      <c r="E166">
        <f t="shared" ca="1" si="59"/>
        <v>25</v>
      </c>
      <c r="F166">
        <f t="shared" ca="1" si="60"/>
        <v>2</v>
      </c>
      <c r="G166" t="str">
        <v>B</v>
      </c>
      <c r="H166" t="str">
        <v>B</v>
      </c>
      <c r="I166" t="str">
        <f ca="1">IF($A166="","",IF(COUNTA($R$2:$W$2)=6,"WK "&amp;_xlfn.ISOWEEKNUM($R$2)))</f>
        <v>WK 19</v>
      </c>
      <c r="J166" t="str">
        <f ca="1">IF($A166="","",IF(COUNTA($AF$2:$AK$2)=6,"WK "&amp;_xlfn.ISOWEEKNUM($AF$2)))</f>
        <v>WK 21</v>
      </c>
      <c r="K166" s="20" t="str">
        <f t="shared" ca="1" si="61"/>
        <v>ON</v>
      </c>
      <c r="L166" s="20" t="str">
        <f t="shared" ca="1" si="61"/>
        <v>ON</v>
      </c>
      <c r="M166" s="1" t="str">
        <f t="shared" ca="1" si="62"/>
        <v>ON</v>
      </c>
      <c r="N166" s="1" t="str">
        <f t="shared" ca="1" si="63"/>
        <v>ON</v>
      </c>
      <c r="O166" s="1" t="str">
        <f t="shared" ca="1" si="64"/>
        <v>ON</v>
      </c>
      <c r="P166" s="1" t="str">
        <f t="shared" ca="1" si="65"/>
        <v>ON</v>
      </c>
      <c r="Q166" s="1"/>
      <c r="R166" s="20" t="str">
        <f t="shared" ca="1" si="66"/>
        <v>ON</v>
      </c>
      <c r="S166" s="20" t="str">
        <f t="shared" ca="1" si="66"/>
        <v>ON</v>
      </c>
      <c r="T166" s="1" t="str">
        <f t="shared" ca="1" si="67"/>
        <v>ON</v>
      </c>
      <c r="U166" s="1" t="str">
        <f t="shared" ca="1" si="68"/>
        <v>OFF</v>
      </c>
      <c r="V166" s="1" t="str">
        <f t="shared" ca="1" si="69"/>
        <v>ON</v>
      </c>
      <c r="W166" s="1" t="str">
        <f t="shared" ca="1" si="70"/>
        <v>ON</v>
      </c>
      <c r="X166" s="1"/>
      <c r="Y166" s="20" t="str">
        <f t="shared" ca="1" si="71"/>
        <v>ON</v>
      </c>
      <c r="Z166" s="20" t="str">
        <f t="shared" ca="1" si="71"/>
        <v>ON</v>
      </c>
      <c r="AA166" s="1" t="str">
        <f t="shared" ca="1" si="72"/>
        <v>ON</v>
      </c>
      <c r="AB166" s="1" t="str">
        <f t="shared" ca="1" si="73"/>
        <v>ON</v>
      </c>
      <c r="AC166" s="1" t="str">
        <f t="shared" ca="1" si="74"/>
        <v>ON</v>
      </c>
      <c r="AD166" s="1" t="str">
        <f t="shared" ca="1" si="75"/>
        <v>ON</v>
      </c>
      <c r="AE166" s="1"/>
      <c r="AF166" s="20" t="str">
        <f t="shared" ca="1" si="76"/>
        <v>ON</v>
      </c>
      <c r="AG166" s="20" t="str">
        <f t="shared" ca="1" si="76"/>
        <v>ON</v>
      </c>
      <c r="AH166" s="1" t="str">
        <f t="shared" ca="1" si="77"/>
        <v>ON</v>
      </c>
      <c r="AI166" s="1" t="str">
        <f t="shared" ca="1" si="78"/>
        <v>OFF</v>
      </c>
      <c r="AJ166" s="1" t="str">
        <f t="shared" ca="1" si="79"/>
        <v>ON</v>
      </c>
      <c r="AK166" s="1" t="str">
        <f t="shared" ca="1" si="80"/>
        <v>ON</v>
      </c>
      <c r="AL166" s="1"/>
      <c r="AM166" s="20" t="str">
        <f t="shared" si="81"/>
        <v>ON</v>
      </c>
      <c r="AN166" s="20" t="str">
        <f t="shared" si="81"/>
        <v>ON</v>
      </c>
      <c r="AO166" s="20" t="str">
        <f t="shared" si="82"/>
        <v>ON</v>
      </c>
    </row>
    <row r="167" spans="1:41">
      <c r="A167" t="str">
        <f t="shared" ca="1" si="56"/>
        <v>Ondo</v>
      </c>
      <c r="B167" t="str">
        <f t="shared" ca="1" si="57"/>
        <v>D</v>
      </c>
      <c r="C167" t="str">
        <f t="shared" ca="1" si="58"/>
        <v>A1</v>
      </c>
      <c r="D167" t="s">
        <v>5</v>
      </c>
      <c r="E167">
        <f t="shared" ca="1" si="59"/>
        <v>25</v>
      </c>
      <c r="F167">
        <f t="shared" ca="1" si="60"/>
        <v>2</v>
      </c>
      <c r="G167" t="str">
        <v>C</v>
      </c>
      <c r="H167" t="str">
        <v>C</v>
      </c>
      <c r="I167" t="str">
        <f ca="1">IF($A167="","",IF(COUNTA($K$2:$P$2)=6,"WK "&amp;_xlfn.ISOWEEKNUM($K$2)))</f>
        <v>WK 18</v>
      </c>
      <c r="J167" t="str">
        <f ca="1">IF($A167="","",IF(COUNTA($Y$2:$AD$2)=6,"WK "&amp;_xlfn.ISOWEEKNUM($Y$2)))</f>
        <v>WK 20</v>
      </c>
      <c r="K167" s="20" t="str">
        <f t="shared" ca="1" si="61"/>
        <v>ON</v>
      </c>
      <c r="L167" s="20" t="str">
        <f t="shared" ca="1" si="61"/>
        <v>ON</v>
      </c>
      <c r="M167" s="1" t="str">
        <f t="shared" ca="1" si="62"/>
        <v>ON</v>
      </c>
      <c r="N167" s="1" t="str">
        <f t="shared" ca="1" si="63"/>
        <v>ON</v>
      </c>
      <c r="O167" s="1" t="str">
        <f t="shared" ca="1" si="64"/>
        <v>OFF</v>
      </c>
      <c r="P167" s="1" t="str">
        <f t="shared" ca="1" si="65"/>
        <v>ON</v>
      </c>
      <c r="Q167" s="1"/>
      <c r="R167" s="20" t="str">
        <f t="shared" ca="1" si="66"/>
        <v>ON</v>
      </c>
      <c r="S167" s="20" t="str">
        <f t="shared" ca="1" si="66"/>
        <v>ON</v>
      </c>
      <c r="T167" s="1" t="str">
        <f t="shared" ca="1" si="67"/>
        <v>ON</v>
      </c>
      <c r="U167" s="1" t="str">
        <f t="shared" ca="1" si="68"/>
        <v>ON</v>
      </c>
      <c r="V167" s="1" t="str">
        <f t="shared" ca="1" si="69"/>
        <v>ON</v>
      </c>
      <c r="W167" s="1" t="str">
        <f t="shared" ca="1" si="70"/>
        <v>ON</v>
      </c>
      <c r="X167" s="1"/>
      <c r="Y167" s="20" t="str">
        <f t="shared" ca="1" si="71"/>
        <v>ON</v>
      </c>
      <c r="Z167" s="20" t="str">
        <f t="shared" ca="1" si="71"/>
        <v>ON</v>
      </c>
      <c r="AA167" s="1" t="str">
        <f t="shared" ca="1" si="72"/>
        <v>ON</v>
      </c>
      <c r="AB167" s="1" t="str">
        <f t="shared" ca="1" si="73"/>
        <v>ON</v>
      </c>
      <c r="AC167" s="1" t="str">
        <f t="shared" ca="1" si="74"/>
        <v>OFF</v>
      </c>
      <c r="AD167" s="1" t="str">
        <f t="shared" ca="1" si="75"/>
        <v>ON</v>
      </c>
      <c r="AE167" s="1"/>
      <c r="AF167" s="20" t="str">
        <f t="shared" ca="1" si="76"/>
        <v>ON</v>
      </c>
      <c r="AG167" s="20" t="str">
        <f t="shared" ca="1" si="76"/>
        <v>ON</v>
      </c>
      <c r="AH167" s="1" t="str">
        <f t="shared" ca="1" si="77"/>
        <v>ON</v>
      </c>
      <c r="AI167" s="1" t="str">
        <f t="shared" ca="1" si="78"/>
        <v>ON</v>
      </c>
      <c r="AJ167" s="1" t="str">
        <f t="shared" ca="1" si="79"/>
        <v>ON</v>
      </c>
      <c r="AK167" s="1" t="str">
        <f t="shared" ca="1" si="80"/>
        <v>ON</v>
      </c>
      <c r="AL167" s="1"/>
      <c r="AM167" s="20" t="str">
        <f t="shared" si="81"/>
        <v>ON</v>
      </c>
      <c r="AN167" s="20" t="str">
        <f t="shared" si="81"/>
        <v>ON</v>
      </c>
      <c r="AO167" s="20" t="str">
        <f t="shared" si="82"/>
        <v>ON</v>
      </c>
    </row>
    <row r="168" spans="1:41">
      <c r="A168" t="str">
        <f t="shared" ca="1" si="56"/>
        <v>Lagos</v>
      </c>
      <c r="B168" t="str">
        <f t="shared" ca="1" si="57"/>
        <v>E</v>
      </c>
      <c r="C168" t="str">
        <f t="shared" ca="1" si="58"/>
        <v>B1</v>
      </c>
      <c r="D168" t="s">
        <v>5</v>
      </c>
      <c r="E168">
        <f t="shared" ca="1" si="59"/>
        <v>25</v>
      </c>
      <c r="F168">
        <f t="shared" ca="1" si="60"/>
        <v>2</v>
      </c>
      <c r="G168" t="str">
        <v>D</v>
      </c>
      <c r="H168" t="str">
        <v>D</v>
      </c>
      <c r="I168" t="str">
        <f ca="1">IF($A168="","",IF(COUNTA($R$2:$W$2)=6,"WK "&amp;_xlfn.ISOWEEKNUM($R$2)))</f>
        <v>WK 19</v>
      </c>
      <c r="J168" t="str">
        <f ca="1">IF($A168="","",IF(COUNTA($AF$2:$AK$2)=6,"WK "&amp;_xlfn.ISOWEEKNUM($AF$2)))</f>
        <v>WK 21</v>
      </c>
      <c r="K168" s="20" t="str">
        <f t="shared" ca="1" si="61"/>
        <v>ON</v>
      </c>
      <c r="L168" s="20" t="str">
        <f t="shared" ca="1" si="61"/>
        <v>ON</v>
      </c>
      <c r="M168" s="1" t="str">
        <f t="shared" ca="1" si="62"/>
        <v>ON</v>
      </c>
      <c r="N168" s="1" t="str">
        <f t="shared" ca="1" si="63"/>
        <v>ON</v>
      </c>
      <c r="O168" s="1" t="str">
        <f t="shared" ca="1" si="64"/>
        <v>ON</v>
      </c>
      <c r="P168" s="1" t="str">
        <f t="shared" ca="1" si="65"/>
        <v>ON</v>
      </c>
      <c r="Q168" s="1"/>
      <c r="R168" s="20" t="str">
        <f t="shared" ca="1" si="66"/>
        <v>ON</v>
      </c>
      <c r="S168" s="20" t="str">
        <f t="shared" ca="1" si="66"/>
        <v>ON</v>
      </c>
      <c r="T168" s="1" t="str">
        <f t="shared" ca="1" si="67"/>
        <v>ON</v>
      </c>
      <c r="U168" s="1" t="str">
        <f t="shared" ca="1" si="68"/>
        <v>ON</v>
      </c>
      <c r="V168" s="1" t="str">
        <f t="shared" ca="1" si="69"/>
        <v>ON</v>
      </c>
      <c r="W168" s="1" t="str">
        <f t="shared" ca="1" si="70"/>
        <v>OFF</v>
      </c>
      <c r="X168" s="1"/>
      <c r="Y168" s="20" t="str">
        <f t="shared" ca="1" si="71"/>
        <v>ON</v>
      </c>
      <c r="Z168" s="20" t="str">
        <f t="shared" ca="1" si="71"/>
        <v>ON</v>
      </c>
      <c r="AA168" s="1" t="str">
        <f t="shared" ca="1" si="72"/>
        <v>ON</v>
      </c>
      <c r="AB168" s="1" t="str">
        <f t="shared" ca="1" si="73"/>
        <v>ON</v>
      </c>
      <c r="AC168" s="1" t="str">
        <f t="shared" ca="1" si="74"/>
        <v>ON</v>
      </c>
      <c r="AD168" s="1" t="str">
        <f t="shared" ca="1" si="75"/>
        <v>ON</v>
      </c>
      <c r="AE168" s="1"/>
      <c r="AF168" s="20" t="str">
        <f t="shared" ca="1" si="76"/>
        <v>ON</v>
      </c>
      <c r="AG168" s="20" t="str">
        <f t="shared" ca="1" si="76"/>
        <v>ON</v>
      </c>
      <c r="AH168" s="1" t="str">
        <f t="shared" ca="1" si="77"/>
        <v>ON</v>
      </c>
      <c r="AI168" s="1" t="str">
        <f t="shared" ca="1" si="78"/>
        <v>ON</v>
      </c>
      <c r="AJ168" s="1" t="str">
        <f t="shared" ca="1" si="79"/>
        <v>ON</v>
      </c>
      <c r="AK168" s="1" t="str">
        <f t="shared" ca="1" si="80"/>
        <v>OFF</v>
      </c>
      <c r="AL168" s="1"/>
      <c r="AM168" s="20" t="str">
        <f t="shared" si="81"/>
        <v>ON</v>
      </c>
      <c r="AN168" s="20" t="str">
        <f t="shared" si="81"/>
        <v>ON</v>
      </c>
      <c r="AO168" s="20" t="str">
        <f t="shared" si="82"/>
        <v>ON</v>
      </c>
    </row>
    <row r="169" spans="1:41">
      <c r="A169" t="str">
        <f t="shared" ca="1" si="56"/>
        <v>Lagos</v>
      </c>
      <c r="B169" t="str">
        <f t="shared" ca="1" si="57"/>
        <v>C</v>
      </c>
      <c r="C169" t="str">
        <f t="shared" ca="1" si="58"/>
        <v>D1</v>
      </c>
      <c r="D169" t="s">
        <v>5</v>
      </c>
      <c r="E169">
        <f t="shared" ca="1" si="59"/>
        <v>25</v>
      </c>
      <c r="F169">
        <f t="shared" ca="1" si="60"/>
        <v>2</v>
      </c>
      <c r="G169" t="str" cm="1">
        <f t="array" ref="G169:G172">IF($G$5:$G$8={"A";"B";"C";"D"},{"D";"C";"B";"A"},{"A";"B";"C";"D"})</f>
        <v>D</v>
      </c>
      <c r="H169" t="str" cm="1">
        <f t="array" ref="H169:H172">IF($H$5:$H$8={"A";"B";"C";"D"},{"D";"C";"B";"A"},{"A";"B";"C";"D"})</f>
        <v>D</v>
      </c>
      <c r="I169" t="str">
        <f ca="1">IF($A169="","",IF(COUNTA($K$2:$P$2)=6,"WK "&amp;_xlfn.ISOWEEKNUM($K$2)))</f>
        <v>WK 18</v>
      </c>
      <c r="J169" t="str">
        <f ca="1">IF($A169="","",IF(COUNTA($Y$2:$AD$2)=6,"WK "&amp;_xlfn.ISOWEEKNUM($Y$2)))</f>
        <v>WK 20</v>
      </c>
      <c r="K169" s="20" t="str">
        <f t="shared" ca="1" si="61"/>
        <v>ON</v>
      </c>
      <c r="L169" s="20" t="str">
        <f t="shared" ca="1" si="61"/>
        <v>ON</v>
      </c>
      <c r="M169" s="1" t="str">
        <f t="shared" ca="1" si="62"/>
        <v>ON</v>
      </c>
      <c r="N169" s="1" t="str">
        <f t="shared" ca="1" si="63"/>
        <v>ON</v>
      </c>
      <c r="O169" s="1" t="str">
        <f t="shared" ca="1" si="64"/>
        <v>ON</v>
      </c>
      <c r="P169" s="1" t="str">
        <f t="shared" ca="1" si="65"/>
        <v>OFF</v>
      </c>
      <c r="Q169" s="1"/>
      <c r="R169" s="20" t="str">
        <f t="shared" ca="1" si="66"/>
        <v>ON</v>
      </c>
      <c r="S169" s="20" t="str">
        <f t="shared" ca="1" si="66"/>
        <v>ON</v>
      </c>
      <c r="T169" s="1" t="str">
        <f t="shared" ca="1" si="67"/>
        <v>ON</v>
      </c>
      <c r="U169" s="1" t="str">
        <f t="shared" ca="1" si="68"/>
        <v>ON</v>
      </c>
      <c r="V169" s="1" t="str">
        <f t="shared" ca="1" si="69"/>
        <v>ON</v>
      </c>
      <c r="W169" s="1" t="str">
        <f t="shared" ca="1" si="70"/>
        <v>ON</v>
      </c>
      <c r="X169" s="1"/>
      <c r="Y169" s="20" t="str">
        <f t="shared" ca="1" si="71"/>
        <v>ON</v>
      </c>
      <c r="Z169" s="20" t="str">
        <f t="shared" ca="1" si="71"/>
        <v>ON</v>
      </c>
      <c r="AA169" s="1" t="str">
        <f t="shared" ca="1" si="72"/>
        <v>ON</v>
      </c>
      <c r="AB169" s="1" t="str">
        <f t="shared" ca="1" si="73"/>
        <v>ON</v>
      </c>
      <c r="AC169" s="1" t="str">
        <f t="shared" ca="1" si="74"/>
        <v>ON</v>
      </c>
      <c r="AD169" s="1" t="str">
        <f t="shared" ca="1" si="75"/>
        <v>OFF</v>
      </c>
      <c r="AE169" s="1"/>
      <c r="AF169" s="20" t="str">
        <f t="shared" ca="1" si="76"/>
        <v>ON</v>
      </c>
      <c r="AG169" s="20" t="str">
        <f t="shared" ca="1" si="76"/>
        <v>ON</v>
      </c>
      <c r="AH169" s="1" t="str">
        <f t="shared" ca="1" si="77"/>
        <v>ON</v>
      </c>
      <c r="AI169" s="1" t="str">
        <f t="shared" ca="1" si="78"/>
        <v>ON</v>
      </c>
      <c r="AJ169" s="1" t="str">
        <f t="shared" ca="1" si="79"/>
        <v>ON</v>
      </c>
      <c r="AK169" s="1" t="str">
        <f t="shared" ca="1" si="80"/>
        <v>ON</v>
      </c>
      <c r="AL169" s="1"/>
      <c r="AM169" s="20" t="str">
        <f t="shared" si="81"/>
        <v>ON</v>
      </c>
      <c r="AN169" s="20" t="str">
        <f t="shared" si="81"/>
        <v>ON</v>
      </c>
      <c r="AO169" s="20" t="str">
        <f t="shared" si="82"/>
        <v>ON</v>
      </c>
    </row>
    <row r="170" spans="1:41">
      <c r="A170" t="str">
        <f t="shared" ca="1" si="56"/>
        <v>Lagos</v>
      </c>
      <c r="B170" t="str">
        <f t="shared" ca="1" si="57"/>
        <v>A</v>
      </c>
      <c r="C170" t="str">
        <f t="shared" ca="1" si="58"/>
        <v>C1</v>
      </c>
      <c r="D170" t="s">
        <v>5</v>
      </c>
      <c r="E170">
        <f t="shared" ca="1" si="59"/>
        <v>25</v>
      </c>
      <c r="F170">
        <f t="shared" ca="1" si="60"/>
        <v>2</v>
      </c>
      <c r="G170" t="str">
        <v>C</v>
      </c>
      <c r="H170" t="str">
        <v>C</v>
      </c>
      <c r="I170" t="str">
        <f ca="1">IF($A170="","",IF(COUNTA($R$2:$W$2)=6,"WK "&amp;_xlfn.ISOWEEKNUM($R$2)))</f>
        <v>WK 19</v>
      </c>
      <c r="J170" t="str">
        <f ca="1">IF($A170="","",IF(COUNTA($AF$2:$AK$2)=6,"WK "&amp;_xlfn.ISOWEEKNUM($AF$2)))</f>
        <v>WK 21</v>
      </c>
      <c r="K170" s="20" t="str">
        <f t="shared" ca="1" si="61"/>
        <v>ON</v>
      </c>
      <c r="L170" s="20" t="str">
        <f t="shared" ca="1" si="61"/>
        <v>ON</v>
      </c>
      <c r="M170" s="1" t="str">
        <f t="shared" ca="1" si="62"/>
        <v>ON</v>
      </c>
      <c r="N170" s="1" t="str">
        <f t="shared" ca="1" si="63"/>
        <v>ON</v>
      </c>
      <c r="O170" s="1" t="str">
        <f t="shared" ca="1" si="64"/>
        <v>ON</v>
      </c>
      <c r="P170" s="1" t="str">
        <f t="shared" ca="1" si="65"/>
        <v>ON</v>
      </c>
      <c r="Q170" s="1"/>
      <c r="R170" s="20" t="str">
        <f t="shared" ca="1" si="66"/>
        <v>ON</v>
      </c>
      <c r="S170" s="20" t="str">
        <f t="shared" ca="1" si="66"/>
        <v>ON</v>
      </c>
      <c r="T170" s="1" t="str">
        <f t="shared" ca="1" si="67"/>
        <v>ON</v>
      </c>
      <c r="U170" s="1" t="str">
        <f t="shared" ca="1" si="68"/>
        <v>ON</v>
      </c>
      <c r="V170" s="1" t="str">
        <f t="shared" ca="1" si="69"/>
        <v>OFF</v>
      </c>
      <c r="W170" s="1" t="str">
        <f t="shared" ca="1" si="70"/>
        <v>ON</v>
      </c>
      <c r="X170" s="1"/>
      <c r="Y170" s="20" t="str">
        <f t="shared" ca="1" si="71"/>
        <v>ON</v>
      </c>
      <c r="Z170" s="20" t="str">
        <f t="shared" ca="1" si="71"/>
        <v>ON</v>
      </c>
      <c r="AA170" s="1" t="str">
        <f t="shared" ca="1" si="72"/>
        <v>ON</v>
      </c>
      <c r="AB170" s="1" t="str">
        <f t="shared" ca="1" si="73"/>
        <v>ON</v>
      </c>
      <c r="AC170" s="1" t="str">
        <f t="shared" ca="1" si="74"/>
        <v>ON</v>
      </c>
      <c r="AD170" s="1" t="str">
        <f t="shared" ca="1" si="75"/>
        <v>ON</v>
      </c>
      <c r="AE170" s="1"/>
      <c r="AF170" s="20" t="str">
        <f t="shared" ca="1" si="76"/>
        <v>ON</v>
      </c>
      <c r="AG170" s="20" t="str">
        <f t="shared" ca="1" si="76"/>
        <v>ON</v>
      </c>
      <c r="AH170" s="1" t="str">
        <f t="shared" ca="1" si="77"/>
        <v>ON</v>
      </c>
      <c r="AI170" s="1" t="str">
        <f t="shared" ca="1" si="78"/>
        <v>ON</v>
      </c>
      <c r="AJ170" s="1" t="str">
        <f t="shared" ca="1" si="79"/>
        <v>OFF</v>
      </c>
      <c r="AK170" s="1" t="str">
        <f t="shared" ca="1" si="80"/>
        <v>ON</v>
      </c>
      <c r="AL170" s="1"/>
      <c r="AM170" s="20" t="str">
        <f t="shared" si="81"/>
        <v>ON</v>
      </c>
      <c r="AN170" s="20" t="str">
        <f t="shared" si="81"/>
        <v>ON</v>
      </c>
      <c r="AO170" s="20" t="str">
        <f t="shared" si="82"/>
        <v>ON</v>
      </c>
    </row>
    <row r="171" spans="1:41">
      <c r="A171" t="str">
        <f t="shared" ca="1" si="56"/>
        <v>Ekiti</v>
      </c>
      <c r="B171" t="str">
        <f t="shared" ca="1" si="57"/>
        <v>B</v>
      </c>
      <c r="C171" t="str">
        <f t="shared" ca="1" si="58"/>
        <v>E1</v>
      </c>
      <c r="D171" t="s">
        <v>7</v>
      </c>
      <c r="E171">
        <f t="shared" ca="1" si="59"/>
        <v>25</v>
      </c>
      <c r="F171">
        <f t="shared" ca="1" si="60"/>
        <v>2</v>
      </c>
      <c r="G171" t="str">
        <v>B</v>
      </c>
      <c r="H171" t="str">
        <v>B</v>
      </c>
      <c r="I171" t="str">
        <f ca="1">IF($A171="","",IF(COUNTA($K$2:$P$2)=6,"WK "&amp;_xlfn.ISOWEEKNUM($K$2)))</f>
        <v>WK 18</v>
      </c>
      <c r="J171" t="str">
        <f ca="1">IF($A171="","",IF(COUNTA($Y$2:$AD$2)=6,"WK "&amp;_xlfn.ISOWEEKNUM($Y$2)))</f>
        <v>WK 20</v>
      </c>
      <c r="K171" s="20" t="str">
        <f t="shared" ca="1" si="61"/>
        <v>ON</v>
      </c>
      <c r="L171" s="20" t="str">
        <f t="shared" ca="1" si="61"/>
        <v>ON</v>
      </c>
      <c r="M171" s="1" t="str">
        <f t="shared" ca="1" si="62"/>
        <v>ON</v>
      </c>
      <c r="N171" s="1" t="str">
        <f t="shared" ca="1" si="63"/>
        <v>OFF</v>
      </c>
      <c r="O171" s="1" t="str">
        <f t="shared" ca="1" si="64"/>
        <v>ON</v>
      </c>
      <c r="P171" s="1" t="str">
        <f t="shared" ca="1" si="65"/>
        <v>ON</v>
      </c>
      <c r="Q171" s="1"/>
      <c r="R171" s="20" t="str">
        <f t="shared" ca="1" si="66"/>
        <v>ON</v>
      </c>
      <c r="S171" s="20" t="str">
        <f t="shared" ca="1" si="66"/>
        <v>ON</v>
      </c>
      <c r="T171" s="1" t="str">
        <f t="shared" ca="1" si="67"/>
        <v>ON</v>
      </c>
      <c r="U171" s="1" t="str">
        <f t="shared" ca="1" si="68"/>
        <v>ON</v>
      </c>
      <c r="V171" s="1" t="str">
        <f t="shared" ca="1" si="69"/>
        <v>ON</v>
      </c>
      <c r="W171" s="1" t="str">
        <f t="shared" ca="1" si="70"/>
        <v>ON</v>
      </c>
      <c r="X171" s="1"/>
      <c r="Y171" s="20" t="str">
        <f t="shared" ca="1" si="71"/>
        <v>ON</v>
      </c>
      <c r="Z171" s="20" t="str">
        <f t="shared" ca="1" si="71"/>
        <v>ON</v>
      </c>
      <c r="AA171" s="1" t="str">
        <f t="shared" ca="1" si="72"/>
        <v>ON</v>
      </c>
      <c r="AB171" s="1" t="str">
        <f t="shared" ca="1" si="73"/>
        <v>OFF</v>
      </c>
      <c r="AC171" s="1" t="str">
        <f t="shared" ca="1" si="74"/>
        <v>ON</v>
      </c>
      <c r="AD171" s="1" t="str">
        <f t="shared" ca="1" si="75"/>
        <v>ON</v>
      </c>
      <c r="AE171" s="1"/>
      <c r="AF171" s="20" t="str">
        <f t="shared" ca="1" si="76"/>
        <v>ON</v>
      </c>
      <c r="AG171" s="20" t="str">
        <f t="shared" ca="1" si="76"/>
        <v>ON</v>
      </c>
      <c r="AH171" s="1" t="str">
        <f t="shared" ca="1" si="77"/>
        <v>ON</v>
      </c>
      <c r="AI171" s="1" t="str">
        <f t="shared" ca="1" si="78"/>
        <v>ON</v>
      </c>
      <c r="AJ171" s="1" t="str">
        <f t="shared" ca="1" si="79"/>
        <v>ON</v>
      </c>
      <c r="AK171" s="1" t="str">
        <f t="shared" ca="1" si="80"/>
        <v>ON</v>
      </c>
      <c r="AL171" s="1"/>
      <c r="AM171" s="20" t="str">
        <f t="shared" si="81"/>
        <v>ON</v>
      </c>
      <c r="AN171" s="20" t="str">
        <f t="shared" si="81"/>
        <v>ON</v>
      </c>
      <c r="AO171" s="20" t="str">
        <f t="shared" si="82"/>
        <v>ON</v>
      </c>
    </row>
    <row r="172" spans="1:41">
      <c r="A172" t="str">
        <f t="shared" ca="1" si="56"/>
        <v>Ogun</v>
      </c>
      <c r="B172" t="str">
        <f t="shared" ca="1" si="57"/>
        <v>A</v>
      </c>
      <c r="C172" t="str">
        <f t="shared" ca="1" si="58"/>
        <v>E1</v>
      </c>
      <c r="D172" t="s">
        <v>7</v>
      </c>
      <c r="E172">
        <f t="shared" ca="1" si="59"/>
        <v>25</v>
      </c>
      <c r="F172">
        <f t="shared" ca="1" si="60"/>
        <v>2</v>
      </c>
      <c r="G172" t="str">
        <v>A</v>
      </c>
      <c r="H172" t="str">
        <v>A</v>
      </c>
      <c r="I172" t="str">
        <f ca="1">IF($A172="","",IF(COUNTA($R$2:$W$2)=6,"WK "&amp;_xlfn.ISOWEEKNUM($R$2)))</f>
        <v>WK 19</v>
      </c>
      <c r="J172" t="str">
        <f ca="1">IF($A172="","",IF(COUNTA($AF$2:$AK$2)=6,"WK "&amp;_xlfn.ISOWEEKNUM($AF$2)))</f>
        <v>WK 21</v>
      </c>
      <c r="K172" s="20" t="str">
        <f t="shared" ca="1" si="61"/>
        <v>ON</v>
      </c>
      <c r="L172" s="20" t="str">
        <f t="shared" ca="1" si="61"/>
        <v>ON</v>
      </c>
      <c r="M172" s="1" t="str">
        <f t="shared" ca="1" si="62"/>
        <v>ON</v>
      </c>
      <c r="N172" s="1" t="str">
        <f t="shared" ca="1" si="63"/>
        <v>ON</v>
      </c>
      <c r="O172" s="1" t="str">
        <f t="shared" ca="1" si="64"/>
        <v>ON</v>
      </c>
      <c r="P172" s="1" t="str">
        <f t="shared" ca="1" si="65"/>
        <v>ON</v>
      </c>
      <c r="Q172" s="1"/>
      <c r="R172" s="20" t="str">
        <f t="shared" ca="1" si="66"/>
        <v>ON</v>
      </c>
      <c r="S172" s="20" t="str">
        <f t="shared" ca="1" si="66"/>
        <v>ON</v>
      </c>
      <c r="T172" s="1" t="str">
        <f t="shared" ca="1" si="67"/>
        <v>OFF</v>
      </c>
      <c r="U172" s="1" t="str">
        <f t="shared" ca="1" si="68"/>
        <v>ON</v>
      </c>
      <c r="V172" s="1" t="str">
        <f t="shared" ca="1" si="69"/>
        <v>ON</v>
      </c>
      <c r="W172" s="1" t="str">
        <f t="shared" ca="1" si="70"/>
        <v>ON</v>
      </c>
      <c r="X172" s="1"/>
      <c r="Y172" s="20" t="str">
        <f t="shared" ca="1" si="71"/>
        <v>ON</v>
      </c>
      <c r="Z172" s="20" t="str">
        <f t="shared" ca="1" si="71"/>
        <v>ON</v>
      </c>
      <c r="AA172" s="1" t="str">
        <f t="shared" ca="1" si="72"/>
        <v>ON</v>
      </c>
      <c r="AB172" s="1" t="str">
        <f t="shared" ca="1" si="73"/>
        <v>ON</v>
      </c>
      <c r="AC172" s="1" t="str">
        <f t="shared" ca="1" si="74"/>
        <v>ON</v>
      </c>
      <c r="AD172" s="1" t="str">
        <f t="shared" ca="1" si="75"/>
        <v>ON</v>
      </c>
      <c r="AE172" s="1"/>
      <c r="AF172" s="20" t="str">
        <f t="shared" ca="1" si="76"/>
        <v>ON</v>
      </c>
      <c r="AG172" s="20" t="str">
        <f t="shared" ca="1" si="76"/>
        <v>ON</v>
      </c>
      <c r="AH172" s="1" t="str">
        <f t="shared" ca="1" si="77"/>
        <v>OFF</v>
      </c>
      <c r="AI172" s="1" t="str">
        <f t="shared" ca="1" si="78"/>
        <v>ON</v>
      </c>
      <c r="AJ172" s="1" t="str">
        <f t="shared" ca="1" si="79"/>
        <v>ON</v>
      </c>
      <c r="AK172" s="1" t="str">
        <f t="shared" ca="1" si="80"/>
        <v>ON</v>
      </c>
      <c r="AL172" s="1"/>
      <c r="AM172" s="20" t="str">
        <f t="shared" si="81"/>
        <v>ON</v>
      </c>
      <c r="AN172" s="20" t="str">
        <f t="shared" si="81"/>
        <v>ON</v>
      </c>
      <c r="AO172" s="20" t="str">
        <f t="shared" si="82"/>
        <v>ON</v>
      </c>
    </row>
    <row r="173" spans="1:41">
      <c r="A173" t="str">
        <f t="shared" ca="1" si="56"/>
        <v>Ogun</v>
      </c>
      <c r="B173" t="str">
        <f t="shared" ca="1" si="57"/>
        <v>E</v>
      </c>
      <c r="C173" t="str">
        <f t="shared" ca="1" si="58"/>
        <v>B1</v>
      </c>
      <c r="D173" t="s">
        <v>7</v>
      </c>
      <c r="E173">
        <f t="shared" ca="1" si="59"/>
        <v>25</v>
      </c>
      <c r="F173">
        <f t="shared" ca="1" si="60"/>
        <v>2</v>
      </c>
      <c r="G173" t="str" cm="1">
        <f t="array" ref="G173:G176">Groups!$B$2:$B$5</f>
        <v>A</v>
      </c>
      <c r="H173" t="str" cm="1">
        <f t="array" ref="H173:H176">Groups!$B$2:$B$5</f>
        <v>A</v>
      </c>
      <c r="I173" t="str">
        <f ca="1">IF($A173="","",IF(COUNTA($K$2:$P$2)=6,"WK "&amp;_xlfn.ISOWEEKNUM($K$2)))</f>
        <v>WK 18</v>
      </c>
      <c r="J173" t="str">
        <f ca="1">IF($A173="","",IF(COUNTA($Y$2:$AD$2)=6,"WK "&amp;_xlfn.ISOWEEKNUM($Y$2)))</f>
        <v>WK 20</v>
      </c>
      <c r="K173" s="20" t="str">
        <f t="shared" ca="1" si="61"/>
        <v>ON</v>
      </c>
      <c r="L173" s="20" t="str">
        <f t="shared" ca="1" si="61"/>
        <v>ON</v>
      </c>
      <c r="M173" s="1" t="str">
        <f t="shared" ca="1" si="62"/>
        <v>OFF</v>
      </c>
      <c r="N173" s="1" t="str">
        <f t="shared" ca="1" si="63"/>
        <v>ON</v>
      </c>
      <c r="O173" s="1" t="str">
        <f t="shared" ca="1" si="64"/>
        <v>ON</v>
      </c>
      <c r="P173" s="1" t="str">
        <f t="shared" ca="1" si="65"/>
        <v>ON</v>
      </c>
      <c r="Q173" s="1"/>
      <c r="R173" s="20" t="str">
        <f t="shared" ca="1" si="66"/>
        <v>ON</v>
      </c>
      <c r="S173" s="20" t="str">
        <f t="shared" ca="1" si="66"/>
        <v>ON</v>
      </c>
      <c r="T173" s="1" t="str">
        <f t="shared" ca="1" si="67"/>
        <v>ON</v>
      </c>
      <c r="U173" s="1" t="str">
        <f t="shared" ca="1" si="68"/>
        <v>ON</v>
      </c>
      <c r="V173" s="1" t="str">
        <f t="shared" ca="1" si="69"/>
        <v>ON</v>
      </c>
      <c r="W173" s="1" t="str">
        <f t="shared" ca="1" si="70"/>
        <v>ON</v>
      </c>
      <c r="X173" s="1"/>
      <c r="Y173" s="20" t="str">
        <f t="shared" ca="1" si="71"/>
        <v>ON</v>
      </c>
      <c r="Z173" s="20" t="str">
        <f t="shared" ca="1" si="71"/>
        <v>ON</v>
      </c>
      <c r="AA173" s="1" t="str">
        <f t="shared" ca="1" si="72"/>
        <v>OFF</v>
      </c>
      <c r="AB173" s="1" t="str">
        <f t="shared" ca="1" si="73"/>
        <v>ON</v>
      </c>
      <c r="AC173" s="1" t="str">
        <f t="shared" ca="1" si="74"/>
        <v>ON</v>
      </c>
      <c r="AD173" s="1" t="str">
        <f t="shared" ca="1" si="75"/>
        <v>ON</v>
      </c>
      <c r="AE173" s="1"/>
      <c r="AF173" s="20" t="str">
        <f t="shared" ca="1" si="76"/>
        <v>ON</v>
      </c>
      <c r="AG173" s="20" t="str">
        <f t="shared" ca="1" si="76"/>
        <v>ON</v>
      </c>
      <c r="AH173" s="1" t="str">
        <f t="shared" ca="1" si="77"/>
        <v>ON</v>
      </c>
      <c r="AI173" s="1" t="str">
        <f t="shared" ca="1" si="78"/>
        <v>ON</v>
      </c>
      <c r="AJ173" s="1" t="str">
        <f t="shared" ca="1" si="79"/>
        <v>ON</v>
      </c>
      <c r="AK173" s="1" t="str">
        <f t="shared" ca="1" si="80"/>
        <v>ON</v>
      </c>
      <c r="AL173" s="1"/>
      <c r="AM173" s="20" t="str">
        <f t="shared" si="81"/>
        <v>ON</v>
      </c>
      <c r="AN173" s="20" t="str">
        <f t="shared" si="81"/>
        <v>ON</v>
      </c>
      <c r="AO173" s="20" t="str">
        <f t="shared" si="82"/>
        <v>ON</v>
      </c>
    </row>
    <row r="174" spans="1:41">
      <c r="A174" t="str">
        <f t="shared" ca="1" si="56"/>
        <v>Oyo</v>
      </c>
      <c r="B174" t="str">
        <f t="shared" ca="1" si="57"/>
        <v>D</v>
      </c>
      <c r="C174" t="str">
        <f t="shared" ca="1" si="58"/>
        <v>D1</v>
      </c>
      <c r="D174" t="s">
        <v>7</v>
      </c>
      <c r="E174">
        <f t="shared" ca="1" si="59"/>
        <v>25</v>
      </c>
      <c r="F174">
        <f t="shared" ca="1" si="60"/>
        <v>2</v>
      </c>
      <c r="G174" t="str">
        <v>B</v>
      </c>
      <c r="H174" t="str">
        <v>B</v>
      </c>
      <c r="I174" t="str">
        <f ca="1">IF($A174="","",IF(COUNTA($R$2:$W$2)=6,"WK "&amp;_xlfn.ISOWEEKNUM($R$2)))</f>
        <v>WK 19</v>
      </c>
      <c r="J174" t="str">
        <f ca="1">IF($A174="","",IF(COUNTA($AF$2:$AK$2)=6,"WK "&amp;_xlfn.ISOWEEKNUM($AF$2)))</f>
        <v>WK 21</v>
      </c>
      <c r="K174" s="20" t="str">
        <f t="shared" ca="1" si="61"/>
        <v>ON</v>
      </c>
      <c r="L174" s="20" t="str">
        <f t="shared" ca="1" si="61"/>
        <v>ON</v>
      </c>
      <c r="M174" s="1" t="str">
        <f t="shared" ca="1" si="62"/>
        <v>ON</v>
      </c>
      <c r="N174" s="1" t="str">
        <f t="shared" ca="1" si="63"/>
        <v>ON</v>
      </c>
      <c r="O174" s="1" t="str">
        <f t="shared" ca="1" si="64"/>
        <v>ON</v>
      </c>
      <c r="P174" s="1" t="str">
        <f t="shared" ca="1" si="65"/>
        <v>ON</v>
      </c>
      <c r="Q174" s="1"/>
      <c r="R174" s="20" t="str">
        <f t="shared" ca="1" si="66"/>
        <v>ON</v>
      </c>
      <c r="S174" s="20" t="str">
        <f t="shared" ca="1" si="66"/>
        <v>ON</v>
      </c>
      <c r="T174" s="1" t="str">
        <f t="shared" ca="1" si="67"/>
        <v>ON</v>
      </c>
      <c r="U174" s="1" t="str">
        <f t="shared" ca="1" si="68"/>
        <v>OFF</v>
      </c>
      <c r="V174" s="1" t="str">
        <f t="shared" ca="1" si="69"/>
        <v>ON</v>
      </c>
      <c r="W174" s="1" t="str">
        <f t="shared" ca="1" si="70"/>
        <v>ON</v>
      </c>
      <c r="X174" s="1"/>
      <c r="Y174" s="20" t="str">
        <f t="shared" ca="1" si="71"/>
        <v>ON</v>
      </c>
      <c r="Z174" s="20" t="str">
        <f t="shared" ca="1" si="71"/>
        <v>ON</v>
      </c>
      <c r="AA174" s="1" t="str">
        <f t="shared" ca="1" si="72"/>
        <v>ON</v>
      </c>
      <c r="AB174" s="1" t="str">
        <f t="shared" ca="1" si="73"/>
        <v>ON</v>
      </c>
      <c r="AC174" s="1" t="str">
        <f t="shared" ca="1" si="74"/>
        <v>ON</v>
      </c>
      <c r="AD174" s="1" t="str">
        <f t="shared" ca="1" si="75"/>
        <v>ON</v>
      </c>
      <c r="AE174" s="1"/>
      <c r="AF174" s="20" t="str">
        <f t="shared" ca="1" si="76"/>
        <v>ON</v>
      </c>
      <c r="AG174" s="20" t="str">
        <f t="shared" ca="1" si="76"/>
        <v>ON</v>
      </c>
      <c r="AH174" s="1" t="str">
        <f t="shared" ca="1" si="77"/>
        <v>ON</v>
      </c>
      <c r="AI174" s="1" t="str">
        <f t="shared" ca="1" si="78"/>
        <v>OFF</v>
      </c>
      <c r="AJ174" s="1" t="str">
        <f t="shared" ca="1" si="79"/>
        <v>ON</v>
      </c>
      <c r="AK174" s="1" t="str">
        <f t="shared" ca="1" si="80"/>
        <v>ON</v>
      </c>
      <c r="AL174" s="1"/>
      <c r="AM174" s="20" t="str">
        <f t="shared" si="81"/>
        <v>ON</v>
      </c>
      <c r="AN174" s="20" t="str">
        <f t="shared" si="81"/>
        <v>ON</v>
      </c>
      <c r="AO174" s="20" t="str">
        <f t="shared" si="82"/>
        <v>ON</v>
      </c>
    </row>
    <row r="175" spans="1:41">
      <c r="A175" t="str">
        <f t="shared" ca="1" si="56"/>
        <v>Oyo</v>
      </c>
      <c r="B175" t="str">
        <f t="shared" ca="1" si="57"/>
        <v>A</v>
      </c>
      <c r="C175" t="str">
        <f t="shared" ca="1" si="58"/>
        <v>C1</v>
      </c>
      <c r="D175" t="s">
        <v>7</v>
      </c>
      <c r="E175">
        <f t="shared" ca="1" si="59"/>
        <v>25</v>
      </c>
      <c r="F175">
        <f t="shared" ca="1" si="60"/>
        <v>2</v>
      </c>
      <c r="G175" t="str">
        <v>C</v>
      </c>
      <c r="H175" t="str">
        <v>C</v>
      </c>
      <c r="I175" t="str">
        <f ca="1">IF($A175="","",IF(COUNTA($K$2:$P$2)=6,"WK "&amp;_xlfn.ISOWEEKNUM($K$2)))</f>
        <v>WK 18</v>
      </c>
      <c r="J175" t="str">
        <f ca="1">IF($A175="","",IF(COUNTA($Y$2:$AD$2)=6,"WK "&amp;_xlfn.ISOWEEKNUM($Y$2)))</f>
        <v>WK 20</v>
      </c>
      <c r="K175" s="20" t="str">
        <f t="shared" ca="1" si="61"/>
        <v>ON</v>
      </c>
      <c r="L175" s="20" t="str">
        <f t="shared" ca="1" si="61"/>
        <v>ON</v>
      </c>
      <c r="M175" s="1" t="str">
        <f t="shared" ca="1" si="62"/>
        <v>ON</v>
      </c>
      <c r="N175" s="1" t="str">
        <f t="shared" ca="1" si="63"/>
        <v>ON</v>
      </c>
      <c r="O175" s="1" t="str">
        <f t="shared" ca="1" si="64"/>
        <v>OFF</v>
      </c>
      <c r="P175" s="1" t="str">
        <f t="shared" ca="1" si="65"/>
        <v>ON</v>
      </c>
      <c r="Q175" s="1"/>
      <c r="R175" s="20" t="str">
        <f t="shared" ca="1" si="66"/>
        <v>ON</v>
      </c>
      <c r="S175" s="20" t="str">
        <f t="shared" ca="1" si="66"/>
        <v>ON</v>
      </c>
      <c r="T175" s="1" t="str">
        <f t="shared" ca="1" si="67"/>
        <v>ON</v>
      </c>
      <c r="U175" s="1" t="str">
        <f t="shared" ca="1" si="68"/>
        <v>ON</v>
      </c>
      <c r="V175" s="1" t="str">
        <f t="shared" ca="1" si="69"/>
        <v>ON</v>
      </c>
      <c r="W175" s="1" t="str">
        <f t="shared" ca="1" si="70"/>
        <v>ON</v>
      </c>
      <c r="X175" s="1"/>
      <c r="Y175" s="20" t="str">
        <f t="shared" ca="1" si="71"/>
        <v>ON</v>
      </c>
      <c r="Z175" s="20" t="str">
        <f t="shared" ca="1" si="71"/>
        <v>ON</v>
      </c>
      <c r="AA175" s="1" t="str">
        <f t="shared" ca="1" si="72"/>
        <v>ON</v>
      </c>
      <c r="AB175" s="1" t="str">
        <f t="shared" ca="1" si="73"/>
        <v>ON</v>
      </c>
      <c r="AC175" s="1" t="str">
        <f t="shared" ca="1" si="74"/>
        <v>OFF</v>
      </c>
      <c r="AD175" s="1" t="str">
        <f t="shared" ca="1" si="75"/>
        <v>ON</v>
      </c>
      <c r="AE175" s="1"/>
      <c r="AF175" s="20" t="str">
        <f t="shared" ca="1" si="76"/>
        <v>ON</v>
      </c>
      <c r="AG175" s="20" t="str">
        <f t="shared" ca="1" si="76"/>
        <v>ON</v>
      </c>
      <c r="AH175" s="1" t="str">
        <f t="shared" ca="1" si="77"/>
        <v>ON</v>
      </c>
      <c r="AI175" s="1" t="str">
        <f t="shared" ca="1" si="78"/>
        <v>ON</v>
      </c>
      <c r="AJ175" s="1" t="str">
        <f t="shared" ca="1" si="79"/>
        <v>ON</v>
      </c>
      <c r="AK175" s="1" t="str">
        <f t="shared" ca="1" si="80"/>
        <v>ON</v>
      </c>
      <c r="AL175" s="1"/>
      <c r="AM175" s="20" t="str">
        <f t="shared" si="81"/>
        <v>ON</v>
      </c>
      <c r="AN175" s="20" t="str">
        <f t="shared" si="81"/>
        <v>ON</v>
      </c>
      <c r="AO175" s="20" t="str">
        <f t="shared" si="82"/>
        <v>ON</v>
      </c>
    </row>
    <row r="176" spans="1:41">
      <c r="A176" t="str">
        <f t="shared" ca="1" si="56"/>
        <v>Ekiti</v>
      </c>
      <c r="B176" t="str">
        <f t="shared" ca="1" si="57"/>
        <v>B</v>
      </c>
      <c r="C176" t="str">
        <f t="shared" ca="1" si="58"/>
        <v>D1</v>
      </c>
      <c r="D176" t="s">
        <v>7</v>
      </c>
      <c r="E176">
        <f t="shared" ca="1" si="59"/>
        <v>25</v>
      </c>
      <c r="F176">
        <f t="shared" ca="1" si="60"/>
        <v>2</v>
      </c>
      <c r="G176" t="str">
        <v>D</v>
      </c>
      <c r="H176" t="str">
        <v>D</v>
      </c>
      <c r="I176" t="str">
        <f ca="1">IF($A176="","",IF(COUNTA($R$2:$W$2)=6,"WK "&amp;_xlfn.ISOWEEKNUM($R$2)))</f>
        <v>WK 19</v>
      </c>
      <c r="J176" t="str">
        <f ca="1">IF($A176="","",IF(COUNTA($AF$2:$AK$2)=6,"WK "&amp;_xlfn.ISOWEEKNUM($AF$2)))</f>
        <v>WK 21</v>
      </c>
      <c r="K176" s="20" t="str">
        <f t="shared" ca="1" si="61"/>
        <v>ON</v>
      </c>
      <c r="L176" s="20" t="str">
        <f t="shared" ca="1" si="61"/>
        <v>ON</v>
      </c>
      <c r="M176" s="1" t="str">
        <f t="shared" ca="1" si="62"/>
        <v>ON</v>
      </c>
      <c r="N176" s="1" t="str">
        <f t="shared" ca="1" si="63"/>
        <v>ON</v>
      </c>
      <c r="O176" s="1" t="str">
        <f t="shared" ca="1" si="64"/>
        <v>ON</v>
      </c>
      <c r="P176" s="1" t="str">
        <f t="shared" ca="1" si="65"/>
        <v>ON</v>
      </c>
      <c r="Q176" s="1"/>
      <c r="R176" s="20" t="str">
        <f t="shared" ca="1" si="66"/>
        <v>ON</v>
      </c>
      <c r="S176" s="20" t="str">
        <f t="shared" ca="1" si="66"/>
        <v>ON</v>
      </c>
      <c r="T176" s="1" t="str">
        <f t="shared" ca="1" si="67"/>
        <v>ON</v>
      </c>
      <c r="U176" s="1" t="str">
        <f t="shared" ca="1" si="68"/>
        <v>ON</v>
      </c>
      <c r="V176" s="1" t="str">
        <f t="shared" ca="1" si="69"/>
        <v>ON</v>
      </c>
      <c r="W176" s="1" t="str">
        <f t="shared" ca="1" si="70"/>
        <v>OFF</v>
      </c>
      <c r="X176" s="1"/>
      <c r="Y176" s="20" t="str">
        <f t="shared" ca="1" si="71"/>
        <v>ON</v>
      </c>
      <c r="Z176" s="20" t="str">
        <f t="shared" ca="1" si="71"/>
        <v>ON</v>
      </c>
      <c r="AA176" s="1" t="str">
        <f t="shared" ca="1" si="72"/>
        <v>ON</v>
      </c>
      <c r="AB176" s="1" t="str">
        <f t="shared" ca="1" si="73"/>
        <v>ON</v>
      </c>
      <c r="AC176" s="1" t="str">
        <f t="shared" ca="1" si="74"/>
        <v>ON</v>
      </c>
      <c r="AD176" s="1" t="str">
        <f t="shared" ca="1" si="75"/>
        <v>ON</v>
      </c>
      <c r="AE176" s="1"/>
      <c r="AF176" s="20" t="str">
        <f t="shared" ca="1" si="76"/>
        <v>ON</v>
      </c>
      <c r="AG176" s="20" t="str">
        <f t="shared" ca="1" si="76"/>
        <v>ON</v>
      </c>
      <c r="AH176" s="1" t="str">
        <f t="shared" ca="1" si="77"/>
        <v>ON</v>
      </c>
      <c r="AI176" s="1" t="str">
        <f t="shared" ca="1" si="78"/>
        <v>ON</v>
      </c>
      <c r="AJ176" s="1" t="str">
        <f t="shared" ca="1" si="79"/>
        <v>ON</v>
      </c>
      <c r="AK176" s="1" t="str">
        <f t="shared" ca="1" si="80"/>
        <v>OFF</v>
      </c>
      <c r="AL176" s="1"/>
      <c r="AM176" s="20" t="str">
        <f t="shared" si="81"/>
        <v>ON</v>
      </c>
      <c r="AN176" s="20" t="str">
        <f t="shared" si="81"/>
        <v>ON</v>
      </c>
      <c r="AO176" s="20" t="str">
        <f t="shared" si="82"/>
        <v>ON</v>
      </c>
    </row>
    <row r="177" spans="1:41">
      <c r="A177" t="str">
        <f t="shared" ca="1" si="56"/>
        <v>Ogun</v>
      </c>
      <c r="B177" t="str">
        <f t="shared" ca="1" si="57"/>
        <v>D</v>
      </c>
      <c r="C177" t="str">
        <f t="shared" ca="1" si="58"/>
        <v>C1</v>
      </c>
      <c r="D177" t="s">
        <v>4</v>
      </c>
      <c r="E177">
        <f t="shared" ca="1" si="59"/>
        <v>25</v>
      </c>
      <c r="F177">
        <f t="shared" ca="1" si="60"/>
        <v>2</v>
      </c>
      <c r="G177" t="str" cm="1">
        <f t="array" ref="G177:G180">IF($G$5:$G$8={"A";"B";"C";"D"},{"D";"C";"B";"A"},{"A";"B";"C";"D"})</f>
        <v>D</v>
      </c>
      <c r="H177" t="str" cm="1">
        <f t="array" ref="H177:H180">IF($H$5:$H$8={"A";"B";"C";"D"},{"D";"C";"B";"A"},{"A";"B";"C";"D"})</f>
        <v>D</v>
      </c>
      <c r="I177" t="str">
        <f ca="1">IF($A177="","",IF(COUNTA($K$2:$P$2)=6,"WK "&amp;_xlfn.ISOWEEKNUM($K$2)))</f>
        <v>WK 18</v>
      </c>
      <c r="J177" t="str">
        <f ca="1">IF($A177="","",IF(COUNTA($Y$2:$AD$2)=6,"WK "&amp;_xlfn.ISOWEEKNUM($Y$2)))</f>
        <v>WK 20</v>
      </c>
      <c r="K177" s="20" t="str">
        <f t="shared" ca="1" si="61"/>
        <v>ON</v>
      </c>
      <c r="L177" s="20" t="str">
        <f t="shared" ca="1" si="61"/>
        <v>ON</v>
      </c>
      <c r="M177" s="1" t="str">
        <f t="shared" ca="1" si="62"/>
        <v>ON</v>
      </c>
      <c r="N177" s="1" t="str">
        <f t="shared" ca="1" si="63"/>
        <v>ON</v>
      </c>
      <c r="O177" s="1" t="str">
        <f t="shared" ca="1" si="64"/>
        <v>ON</v>
      </c>
      <c r="P177" s="1" t="str">
        <f t="shared" ca="1" si="65"/>
        <v>OFF</v>
      </c>
      <c r="Q177" s="1"/>
      <c r="R177" s="20" t="str">
        <f t="shared" ca="1" si="66"/>
        <v>ON</v>
      </c>
      <c r="S177" s="20" t="str">
        <f t="shared" ca="1" si="66"/>
        <v>ON</v>
      </c>
      <c r="T177" s="1" t="str">
        <f t="shared" ca="1" si="67"/>
        <v>ON</v>
      </c>
      <c r="U177" s="1" t="str">
        <f t="shared" ca="1" si="68"/>
        <v>ON</v>
      </c>
      <c r="V177" s="1" t="str">
        <f t="shared" ca="1" si="69"/>
        <v>ON</v>
      </c>
      <c r="W177" s="1" t="str">
        <f t="shared" ca="1" si="70"/>
        <v>ON</v>
      </c>
      <c r="X177" s="1"/>
      <c r="Y177" s="20" t="str">
        <f t="shared" ca="1" si="71"/>
        <v>ON</v>
      </c>
      <c r="Z177" s="20" t="str">
        <f t="shared" ca="1" si="71"/>
        <v>ON</v>
      </c>
      <c r="AA177" s="1" t="str">
        <f t="shared" ca="1" si="72"/>
        <v>ON</v>
      </c>
      <c r="AB177" s="1" t="str">
        <f t="shared" ca="1" si="73"/>
        <v>ON</v>
      </c>
      <c r="AC177" s="1" t="str">
        <f t="shared" ca="1" si="74"/>
        <v>ON</v>
      </c>
      <c r="AD177" s="1" t="str">
        <f t="shared" ca="1" si="75"/>
        <v>OFF</v>
      </c>
      <c r="AE177" s="1"/>
      <c r="AF177" s="20" t="str">
        <f t="shared" ca="1" si="76"/>
        <v>ON</v>
      </c>
      <c r="AG177" s="20" t="str">
        <f t="shared" ca="1" si="76"/>
        <v>ON</v>
      </c>
      <c r="AH177" s="1" t="str">
        <f t="shared" ca="1" si="77"/>
        <v>ON</v>
      </c>
      <c r="AI177" s="1" t="str">
        <f t="shared" ca="1" si="78"/>
        <v>ON</v>
      </c>
      <c r="AJ177" s="1" t="str">
        <f t="shared" ca="1" si="79"/>
        <v>ON</v>
      </c>
      <c r="AK177" s="1" t="str">
        <f t="shared" ca="1" si="80"/>
        <v>ON</v>
      </c>
      <c r="AL177" s="1"/>
      <c r="AM177" s="20" t="str">
        <f t="shared" si="81"/>
        <v>ON</v>
      </c>
      <c r="AN177" s="20" t="str">
        <f t="shared" si="81"/>
        <v>ON</v>
      </c>
      <c r="AO177" s="20" t="str">
        <f t="shared" si="82"/>
        <v>ON</v>
      </c>
    </row>
    <row r="178" spans="1:41">
      <c r="A178" t="str">
        <f t="shared" ca="1" si="56"/>
        <v>Ekiti</v>
      </c>
      <c r="B178" t="str">
        <f t="shared" ca="1" si="57"/>
        <v>E</v>
      </c>
      <c r="C178" t="str">
        <f t="shared" ca="1" si="58"/>
        <v>E1</v>
      </c>
      <c r="D178" t="s">
        <v>5</v>
      </c>
      <c r="E178">
        <f t="shared" ca="1" si="59"/>
        <v>25</v>
      </c>
      <c r="F178">
        <f t="shared" ca="1" si="60"/>
        <v>2</v>
      </c>
      <c r="G178" t="str">
        <v>C</v>
      </c>
      <c r="H178" t="str">
        <v>C</v>
      </c>
      <c r="I178" t="str">
        <f ca="1">IF($A178="","",IF(COUNTA($R$2:$W$2)=6,"WK "&amp;_xlfn.ISOWEEKNUM($R$2)))</f>
        <v>WK 19</v>
      </c>
      <c r="J178" t="str">
        <f ca="1">IF($A178="","",IF(COUNTA($AF$2:$AK$2)=6,"WK "&amp;_xlfn.ISOWEEKNUM($AF$2)))</f>
        <v>WK 21</v>
      </c>
      <c r="K178" s="20" t="str">
        <f t="shared" ca="1" si="61"/>
        <v>ON</v>
      </c>
      <c r="L178" s="20" t="str">
        <f t="shared" ca="1" si="61"/>
        <v>ON</v>
      </c>
      <c r="M178" s="1" t="str">
        <f t="shared" ca="1" si="62"/>
        <v>ON</v>
      </c>
      <c r="N178" s="1" t="str">
        <f t="shared" ca="1" si="63"/>
        <v>ON</v>
      </c>
      <c r="O178" s="1" t="str">
        <f t="shared" ca="1" si="64"/>
        <v>ON</v>
      </c>
      <c r="P178" s="1" t="str">
        <f t="shared" ca="1" si="65"/>
        <v>ON</v>
      </c>
      <c r="Q178" s="1"/>
      <c r="R178" s="20" t="str">
        <f t="shared" ca="1" si="66"/>
        <v>ON</v>
      </c>
      <c r="S178" s="20" t="str">
        <f t="shared" ca="1" si="66"/>
        <v>ON</v>
      </c>
      <c r="T178" s="1" t="str">
        <f t="shared" ca="1" si="67"/>
        <v>ON</v>
      </c>
      <c r="U178" s="1" t="str">
        <f t="shared" ca="1" si="68"/>
        <v>ON</v>
      </c>
      <c r="V178" s="1" t="str">
        <f t="shared" ca="1" si="69"/>
        <v>OFF</v>
      </c>
      <c r="W178" s="1" t="str">
        <f t="shared" ca="1" si="70"/>
        <v>ON</v>
      </c>
      <c r="X178" s="1"/>
      <c r="Y178" s="20" t="str">
        <f t="shared" ca="1" si="71"/>
        <v>ON</v>
      </c>
      <c r="Z178" s="20" t="str">
        <f t="shared" ca="1" si="71"/>
        <v>ON</v>
      </c>
      <c r="AA178" s="1" t="str">
        <f t="shared" ca="1" si="72"/>
        <v>ON</v>
      </c>
      <c r="AB178" s="1" t="str">
        <f t="shared" ca="1" si="73"/>
        <v>ON</v>
      </c>
      <c r="AC178" s="1" t="str">
        <f t="shared" ca="1" si="74"/>
        <v>ON</v>
      </c>
      <c r="AD178" s="1" t="str">
        <f t="shared" ca="1" si="75"/>
        <v>ON</v>
      </c>
      <c r="AE178" s="1"/>
      <c r="AF178" s="20" t="str">
        <f t="shared" ca="1" si="76"/>
        <v>ON</v>
      </c>
      <c r="AG178" s="20" t="str">
        <f t="shared" ca="1" si="76"/>
        <v>ON</v>
      </c>
      <c r="AH178" s="1" t="str">
        <f t="shared" ca="1" si="77"/>
        <v>ON</v>
      </c>
      <c r="AI178" s="1" t="str">
        <f t="shared" ca="1" si="78"/>
        <v>ON</v>
      </c>
      <c r="AJ178" s="1" t="str">
        <f t="shared" ca="1" si="79"/>
        <v>OFF</v>
      </c>
      <c r="AK178" s="1" t="str">
        <f t="shared" ca="1" si="80"/>
        <v>ON</v>
      </c>
      <c r="AL178" s="1"/>
      <c r="AM178" s="20" t="str">
        <f t="shared" si="81"/>
        <v>ON</v>
      </c>
      <c r="AN178" s="20" t="str">
        <f t="shared" si="81"/>
        <v>ON</v>
      </c>
      <c r="AO178" s="20" t="str">
        <f t="shared" si="82"/>
        <v>ON</v>
      </c>
    </row>
    <row r="179" spans="1:41">
      <c r="A179" t="str">
        <f t="shared" ca="1" si="56"/>
        <v>Oyo</v>
      </c>
      <c r="B179" t="str">
        <f t="shared" ca="1" si="57"/>
        <v>A</v>
      </c>
      <c r="C179" t="str">
        <f t="shared" ca="1" si="58"/>
        <v>A1</v>
      </c>
      <c r="D179" t="s">
        <v>5</v>
      </c>
      <c r="E179">
        <f t="shared" ca="1" si="59"/>
        <v>25</v>
      </c>
      <c r="F179">
        <f t="shared" ca="1" si="60"/>
        <v>2</v>
      </c>
      <c r="G179" t="str">
        <v>B</v>
      </c>
      <c r="H179" t="str">
        <v>B</v>
      </c>
      <c r="I179" t="str">
        <f ca="1">IF($A179="","",IF(COUNTA($K$2:$P$2)=6,"WK "&amp;_xlfn.ISOWEEKNUM($K$2)))</f>
        <v>WK 18</v>
      </c>
      <c r="J179" t="str">
        <f ca="1">IF($A179="","",IF(COUNTA($Y$2:$AD$2)=6,"WK "&amp;_xlfn.ISOWEEKNUM($Y$2)))</f>
        <v>WK 20</v>
      </c>
      <c r="K179" s="20" t="str">
        <f t="shared" ca="1" si="61"/>
        <v>ON</v>
      </c>
      <c r="L179" s="20" t="str">
        <f t="shared" ca="1" si="61"/>
        <v>ON</v>
      </c>
      <c r="M179" s="1" t="str">
        <f t="shared" ca="1" si="62"/>
        <v>ON</v>
      </c>
      <c r="N179" s="1" t="str">
        <f t="shared" ca="1" si="63"/>
        <v>OFF</v>
      </c>
      <c r="O179" s="1" t="str">
        <f t="shared" ca="1" si="64"/>
        <v>ON</v>
      </c>
      <c r="P179" s="1" t="str">
        <f t="shared" ca="1" si="65"/>
        <v>ON</v>
      </c>
      <c r="Q179" s="1"/>
      <c r="R179" s="20" t="str">
        <f t="shared" ca="1" si="66"/>
        <v>ON</v>
      </c>
      <c r="S179" s="20" t="str">
        <f t="shared" ca="1" si="66"/>
        <v>ON</v>
      </c>
      <c r="T179" s="1" t="str">
        <f t="shared" ca="1" si="67"/>
        <v>ON</v>
      </c>
      <c r="U179" s="1" t="str">
        <f t="shared" ca="1" si="68"/>
        <v>ON</v>
      </c>
      <c r="V179" s="1" t="str">
        <f t="shared" ca="1" si="69"/>
        <v>ON</v>
      </c>
      <c r="W179" s="1" t="str">
        <f t="shared" ca="1" si="70"/>
        <v>ON</v>
      </c>
      <c r="X179" s="1"/>
      <c r="Y179" s="20" t="str">
        <f t="shared" ca="1" si="71"/>
        <v>ON</v>
      </c>
      <c r="Z179" s="20" t="str">
        <f t="shared" ca="1" si="71"/>
        <v>ON</v>
      </c>
      <c r="AA179" s="1" t="str">
        <f t="shared" ca="1" si="72"/>
        <v>ON</v>
      </c>
      <c r="AB179" s="1" t="str">
        <f t="shared" ca="1" si="73"/>
        <v>OFF</v>
      </c>
      <c r="AC179" s="1" t="str">
        <f t="shared" ca="1" si="74"/>
        <v>ON</v>
      </c>
      <c r="AD179" s="1" t="str">
        <f t="shared" ca="1" si="75"/>
        <v>ON</v>
      </c>
      <c r="AE179" s="1"/>
      <c r="AF179" s="20" t="str">
        <f t="shared" ca="1" si="76"/>
        <v>ON</v>
      </c>
      <c r="AG179" s="20" t="str">
        <f t="shared" ca="1" si="76"/>
        <v>ON</v>
      </c>
      <c r="AH179" s="1" t="str">
        <f t="shared" ca="1" si="77"/>
        <v>ON</v>
      </c>
      <c r="AI179" s="1" t="str">
        <f t="shared" ca="1" si="78"/>
        <v>ON</v>
      </c>
      <c r="AJ179" s="1" t="str">
        <f t="shared" ca="1" si="79"/>
        <v>ON</v>
      </c>
      <c r="AK179" s="1" t="str">
        <f t="shared" ca="1" si="80"/>
        <v>ON</v>
      </c>
      <c r="AL179" s="1"/>
      <c r="AM179" s="20" t="str">
        <f t="shared" si="81"/>
        <v>ON</v>
      </c>
      <c r="AN179" s="20" t="str">
        <f t="shared" si="81"/>
        <v>ON</v>
      </c>
      <c r="AO179" s="20" t="str">
        <f t="shared" si="82"/>
        <v>ON</v>
      </c>
    </row>
    <row r="180" spans="1:41">
      <c r="A180" t="str">
        <f t="shared" ca="1" si="56"/>
        <v>Ondo</v>
      </c>
      <c r="B180" t="str">
        <f t="shared" ca="1" si="57"/>
        <v>C</v>
      </c>
      <c r="C180" t="str">
        <f t="shared" ca="1" si="58"/>
        <v>B1</v>
      </c>
      <c r="D180" t="s">
        <v>5</v>
      </c>
      <c r="E180">
        <f t="shared" ca="1" si="59"/>
        <v>25</v>
      </c>
      <c r="F180">
        <f t="shared" ca="1" si="60"/>
        <v>2</v>
      </c>
      <c r="G180" t="str">
        <v>A</v>
      </c>
      <c r="H180" t="str">
        <v>A</v>
      </c>
      <c r="I180" t="str">
        <f ca="1">IF($A180="","",IF(COUNTA($R$2:$W$2)=6,"WK "&amp;_xlfn.ISOWEEKNUM($R$2)))</f>
        <v>WK 19</v>
      </c>
      <c r="J180" t="str">
        <f ca="1">IF($A180="","",IF(COUNTA($AF$2:$AK$2)=6,"WK "&amp;_xlfn.ISOWEEKNUM($AF$2)))</f>
        <v>WK 21</v>
      </c>
      <c r="K180" s="20" t="str">
        <f t="shared" ca="1" si="61"/>
        <v>ON</v>
      </c>
      <c r="L180" s="20" t="str">
        <f t="shared" ca="1" si="61"/>
        <v>ON</v>
      </c>
      <c r="M180" s="1" t="str">
        <f t="shared" ca="1" si="62"/>
        <v>ON</v>
      </c>
      <c r="N180" s="1" t="str">
        <f t="shared" ca="1" si="63"/>
        <v>ON</v>
      </c>
      <c r="O180" s="1" t="str">
        <f t="shared" ca="1" si="64"/>
        <v>ON</v>
      </c>
      <c r="P180" s="1" t="str">
        <f t="shared" ca="1" si="65"/>
        <v>ON</v>
      </c>
      <c r="Q180" s="1"/>
      <c r="R180" s="20" t="str">
        <f t="shared" ca="1" si="66"/>
        <v>ON</v>
      </c>
      <c r="S180" s="20" t="str">
        <f t="shared" ca="1" si="66"/>
        <v>ON</v>
      </c>
      <c r="T180" s="1" t="str">
        <f t="shared" ca="1" si="67"/>
        <v>OFF</v>
      </c>
      <c r="U180" s="1" t="str">
        <f t="shared" ca="1" si="68"/>
        <v>ON</v>
      </c>
      <c r="V180" s="1" t="str">
        <f t="shared" ca="1" si="69"/>
        <v>ON</v>
      </c>
      <c r="W180" s="1" t="str">
        <f t="shared" ca="1" si="70"/>
        <v>ON</v>
      </c>
      <c r="X180" s="1"/>
      <c r="Y180" s="20" t="str">
        <f t="shared" ca="1" si="71"/>
        <v>ON</v>
      </c>
      <c r="Z180" s="20" t="str">
        <f t="shared" ca="1" si="71"/>
        <v>ON</v>
      </c>
      <c r="AA180" s="1" t="str">
        <f t="shared" ca="1" si="72"/>
        <v>ON</v>
      </c>
      <c r="AB180" s="1" t="str">
        <f t="shared" ca="1" si="73"/>
        <v>ON</v>
      </c>
      <c r="AC180" s="1" t="str">
        <f t="shared" ca="1" si="74"/>
        <v>ON</v>
      </c>
      <c r="AD180" s="1" t="str">
        <f t="shared" ca="1" si="75"/>
        <v>ON</v>
      </c>
      <c r="AE180" s="1"/>
      <c r="AF180" s="20" t="str">
        <f t="shared" ca="1" si="76"/>
        <v>ON</v>
      </c>
      <c r="AG180" s="20" t="str">
        <f t="shared" ca="1" si="76"/>
        <v>ON</v>
      </c>
      <c r="AH180" s="1" t="str">
        <f t="shared" ca="1" si="77"/>
        <v>OFF</v>
      </c>
      <c r="AI180" s="1" t="str">
        <f t="shared" ca="1" si="78"/>
        <v>ON</v>
      </c>
      <c r="AJ180" s="1" t="str">
        <f t="shared" ca="1" si="79"/>
        <v>ON</v>
      </c>
      <c r="AK180" s="1" t="str">
        <f t="shared" ca="1" si="80"/>
        <v>ON</v>
      </c>
      <c r="AL180" s="1"/>
      <c r="AM180" s="20" t="str">
        <f t="shared" si="81"/>
        <v>ON</v>
      </c>
      <c r="AN180" s="20" t="str">
        <f t="shared" si="81"/>
        <v>ON</v>
      </c>
      <c r="AO180" s="20" t="str">
        <f t="shared" si="82"/>
        <v>ON</v>
      </c>
    </row>
    <row r="181" spans="1:41">
      <c r="A181" t="str">
        <f t="shared" ca="1" si="56"/>
        <v>Oyo</v>
      </c>
      <c r="B181" t="str">
        <f t="shared" ca="1" si="57"/>
        <v>D</v>
      </c>
      <c r="C181" t="str">
        <f t="shared" ca="1" si="58"/>
        <v>D1</v>
      </c>
      <c r="D181" t="s">
        <v>7</v>
      </c>
      <c r="E181">
        <f t="shared" ca="1" si="59"/>
        <v>25</v>
      </c>
      <c r="F181">
        <f t="shared" ca="1" si="60"/>
        <v>2</v>
      </c>
      <c r="G181" t="str" cm="1">
        <f t="array" ref="G181:G184">Groups!$B$2:$B$5</f>
        <v>A</v>
      </c>
      <c r="H181" t="str" cm="1">
        <f t="array" ref="H181:H184">Groups!$B$2:$B$5</f>
        <v>A</v>
      </c>
      <c r="I181" t="str">
        <f ca="1">IF($A181="","",IF(COUNTA($K$2:$P$2)=6,"WK "&amp;_xlfn.ISOWEEKNUM($K$2)))</f>
        <v>WK 18</v>
      </c>
      <c r="J181" t="str">
        <f ca="1">IF($A181="","",IF(COUNTA($Y$2:$AD$2)=6,"WK "&amp;_xlfn.ISOWEEKNUM($Y$2)))</f>
        <v>WK 20</v>
      </c>
      <c r="K181" s="20" t="str">
        <f t="shared" ca="1" si="61"/>
        <v>ON</v>
      </c>
      <c r="L181" s="20" t="str">
        <f t="shared" ca="1" si="61"/>
        <v>ON</v>
      </c>
      <c r="M181" s="1" t="str">
        <f t="shared" ca="1" si="62"/>
        <v>OFF</v>
      </c>
      <c r="N181" s="1" t="str">
        <f t="shared" ca="1" si="63"/>
        <v>ON</v>
      </c>
      <c r="O181" s="1" t="str">
        <f t="shared" ca="1" si="64"/>
        <v>ON</v>
      </c>
      <c r="P181" s="1" t="str">
        <f t="shared" ca="1" si="65"/>
        <v>ON</v>
      </c>
      <c r="Q181" s="1"/>
      <c r="R181" s="20" t="str">
        <f t="shared" ca="1" si="66"/>
        <v>ON</v>
      </c>
      <c r="S181" s="20" t="str">
        <f t="shared" ca="1" si="66"/>
        <v>ON</v>
      </c>
      <c r="T181" s="1" t="str">
        <f t="shared" ca="1" si="67"/>
        <v>ON</v>
      </c>
      <c r="U181" s="1" t="str">
        <f t="shared" ca="1" si="68"/>
        <v>ON</v>
      </c>
      <c r="V181" s="1" t="str">
        <f t="shared" ca="1" si="69"/>
        <v>ON</v>
      </c>
      <c r="W181" s="1" t="str">
        <f t="shared" ca="1" si="70"/>
        <v>ON</v>
      </c>
      <c r="X181" s="1"/>
      <c r="Y181" s="20" t="str">
        <f t="shared" ca="1" si="71"/>
        <v>ON</v>
      </c>
      <c r="Z181" s="20" t="str">
        <f t="shared" ca="1" si="71"/>
        <v>ON</v>
      </c>
      <c r="AA181" s="1" t="str">
        <f t="shared" ca="1" si="72"/>
        <v>OFF</v>
      </c>
      <c r="AB181" s="1" t="str">
        <f t="shared" ca="1" si="73"/>
        <v>ON</v>
      </c>
      <c r="AC181" s="1" t="str">
        <f t="shared" ca="1" si="74"/>
        <v>ON</v>
      </c>
      <c r="AD181" s="1" t="str">
        <f t="shared" ca="1" si="75"/>
        <v>ON</v>
      </c>
      <c r="AE181" s="1"/>
      <c r="AF181" s="20" t="str">
        <f t="shared" ca="1" si="76"/>
        <v>ON</v>
      </c>
      <c r="AG181" s="20" t="str">
        <f t="shared" ca="1" si="76"/>
        <v>ON</v>
      </c>
      <c r="AH181" s="1" t="str">
        <f t="shared" ca="1" si="77"/>
        <v>ON</v>
      </c>
      <c r="AI181" s="1" t="str">
        <f t="shared" ca="1" si="78"/>
        <v>ON</v>
      </c>
      <c r="AJ181" s="1" t="str">
        <f t="shared" ca="1" si="79"/>
        <v>ON</v>
      </c>
      <c r="AK181" s="1" t="str">
        <f t="shared" ca="1" si="80"/>
        <v>ON</v>
      </c>
      <c r="AL181" s="1"/>
      <c r="AM181" s="20" t="str">
        <f t="shared" si="81"/>
        <v>ON</v>
      </c>
      <c r="AN181" s="20" t="str">
        <f t="shared" si="81"/>
        <v>ON</v>
      </c>
      <c r="AO181" s="20" t="str">
        <f t="shared" si="82"/>
        <v>ON</v>
      </c>
    </row>
    <row r="182" spans="1:41">
      <c r="A182" t="str">
        <f t="shared" ca="1" si="56"/>
        <v>Ekiti</v>
      </c>
      <c r="B182" t="str">
        <f t="shared" ca="1" si="57"/>
        <v>A</v>
      </c>
      <c r="C182" t="str">
        <f t="shared" ca="1" si="58"/>
        <v>A1</v>
      </c>
      <c r="D182" t="s">
        <v>7</v>
      </c>
      <c r="E182">
        <f t="shared" ca="1" si="59"/>
        <v>25</v>
      </c>
      <c r="F182">
        <f t="shared" ca="1" si="60"/>
        <v>2</v>
      </c>
      <c r="G182" t="str">
        <v>B</v>
      </c>
      <c r="H182" t="str">
        <v>B</v>
      </c>
      <c r="I182" t="str">
        <f ca="1">IF($A182="","",IF(COUNTA($R$2:$W$2)=6,"WK "&amp;_xlfn.ISOWEEKNUM($R$2)))</f>
        <v>WK 19</v>
      </c>
      <c r="J182" t="str">
        <f ca="1">IF($A182="","",IF(COUNTA($AF$2:$AK$2)=6,"WK "&amp;_xlfn.ISOWEEKNUM($AF$2)))</f>
        <v>WK 21</v>
      </c>
      <c r="K182" s="20" t="str">
        <f t="shared" ca="1" si="61"/>
        <v>ON</v>
      </c>
      <c r="L182" s="20" t="str">
        <f t="shared" ca="1" si="61"/>
        <v>ON</v>
      </c>
      <c r="M182" s="1" t="str">
        <f t="shared" ca="1" si="62"/>
        <v>ON</v>
      </c>
      <c r="N182" s="1" t="str">
        <f t="shared" ca="1" si="63"/>
        <v>ON</v>
      </c>
      <c r="O182" s="1" t="str">
        <f t="shared" ca="1" si="64"/>
        <v>ON</v>
      </c>
      <c r="P182" s="1" t="str">
        <f t="shared" ca="1" si="65"/>
        <v>ON</v>
      </c>
      <c r="Q182" s="1"/>
      <c r="R182" s="20" t="str">
        <f t="shared" ca="1" si="66"/>
        <v>ON</v>
      </c>
      <c r="S182" s="20" t="str">
        <f t="shared" ca="1" si="66"/>
        <v>ON</v>
      </c>
      <c r="T182" s="1" t="str">
        <f t="shared" ca="1" si="67"/>
        <v>ON</v>
      </c>
      <c r="U182" s="1" t="str">
        <f t="shared" ca="1" si="68"/>
        <v>OFF</v>
      </c>
      <c r="V182" s="1" t="str">
        <f t="shared" ca="1" si="69"/>
        <v>ON</v>
      </c>
      <c r="W182" s="1" t="str">
        <f t="shared" ca="1" si="70"/>
        <v>ON</v>
      </c>
      <c r="X182" s="1"/>
      <c r="Y182" s="20" t="str">
        <f t="shared" ca="1" si="71"/>
        <v>ON</v>
      </c>
      <c r="Z182" s="20" t="str">
        <f t="shared" ca="1" si="71"/>
        <v>ON</v>
      </c>
      <c r="AA182" s="1" t="str">
        <f t="shared" ca="1" si="72"/>
        <v>ON</v>
      </c>
      <c r="AB182" s="1" t="str">
        <f t="shared" ca="1" si="73"/>
        <v>ON</v>
      </c>
      <c r="AC182" s="1" t="str">
        <f t="shared" ca="1" si="74"/>
        <v>ON</v>
      </c>
      <c r="AD182" s="1" t="str">
        <f t="shared" ca="1" si="75"/>
        <v>ON</v>
      </c>
      <c r="AE182" s="1"/>
      <c r="AF182" s="20" t="str">
        <f t="shared" ca="1" si="76"/>
        <v>ON</v>
      </c>
      <c r="AG182" s="20" t="str">
        <f t="shared" ca="1" si="76"/>
        <v>ON</v>
      </c>
      <c r="AH182" s="1" t="str">
        <f t="shared" ca="1" si="77"/>
        <v>ON</v>
      </c>
      <c r="AI182" s="1" t="str">
        <f t="shared" ca="1" si="78"/>
        <v>OFF</v>
      </c>
      <c r="AJ182" s="1" t="str">
        <f t="shared" ca="1" si="79"/>
        <v>ON</v>
      </c>
      <c r="AK182" s="1" t="str">
        <f t="shared" ca="1" si="80"/>
        <v>ON</v>
      </c>
      <c r="AL182" s="1"/>
      <c r="AM182" s="20" t="str">
        <f t="shared" si="81"/>
        <v>ON</v>
      </c>
      <c r="AN182" s="20" t="str">
        <f t="shared" si="81"/>
        <v>ON</v>
      </c>
      <c r="AO182" s="20" t="str">
        <f t="shared" si="82"/>
        <v>ON</v>
      </c>
    </row>
    <row r="183" spans="1:41">
      <c r="A183" t="str">
        <f t="shared" ca="1" si="56"/>
        <v>Oyo</v>
      </c>
      <c r="B183" t="str">
        <f t="shared" ca="1" si="57"/>
        <v>A</v>
      </c>
      <c r="C183" t="str">
        <f t="shared" ca="1" si="58"/>
        <v>C1</v>
      </c>
      <c r="D183" t="s">
        <v>7</v>
      </c>
      <c r="E183">
        <f t="shared" ca="1" si="59"/>
        <v>25</v>
      </c>
      <c r="F183">
        <f t="shared" ca="1" si="60"/>
        <v>2</v>
      </c>
      <c r="G183" t="str">
        <v>C</v>
      </c>
      <c r="H183" t="str">
        <v>C</v>
      </c>
      <c r="I183" t="str">
        <f ca="1">IF($A183="","",IF(COUNTA($K$2:$P$2)=6,"WK "&amp;_xlfn.ISOWEEKNUM($K$2)))</f>
        <v>WK 18</v>
      </c>
      <c r="J183" t="str">
        <f ca="1">IF($A183="","",IF(COUNTA($Y$2:$AD$2)=6,"WK "&amp;_xlfn.ISOWEEKNUM($Y$2)))</f>
        <v>WK 20</v>
      </c>
      <c r="K183" s="20" t="str">
        <f t="shared" ca="1" si="61"/>
        <v>ON</v>
      </c>
      <c r="L183" s="20" t="str">
        <f t="shared" ca="1" si="61"/>
        <v>ON</v>
      </c>
      <c r="M183" s="1" t="str">
        <f t="shared" ca="1" si="62"/>
        <v>ON</v>
      </c>
      <c r="N183" s="1" t="str">
        <f t="shared" ca="1" si="63"/>
        <v>ON</v>
      </c>
      <c r="O183" s="1" t="str">
        <f t="shared" ca="1" si="64"/>
        <v>OFF</v>
      </c>
      <c r="P183" s="1" t="str">
        <f t="shared" ca="1" si="65"/>
        <v>ON</v>
      </c>
      <c r="Q183" s="1"/>
      <c r="R183" s="20" t="str">
        <f t="shared" ca="1" si="66"/>
        <v>ON</v>
      </c>
      <c r="S183" s="20" t="str">
        <f t="shared" ca="1" si="66"/>
        <v>ON</v>
      </c>
      <c r="T183" s="1" t="str">
        <f t="shared" ca="1" si="67"/>
        <v>ON</v>
      </c>
      <c r="U183" s="1" t="str">
        <f t="shared" ca="1" si="68"/>
        <v>ON</v>
      </c>
      <c r="V183" s="1" t="str">
        <f t="shared" ca="1" si="69"/>
        <v>ON</v>
      </c>
      <c r="W183" s="1" t="str">
        <f t="shared" ca="1" si="70"/>
        <v>ON</v>
      </c>
      <c r="X183" s="1"/>
      <c r="Y183" s="20" t="str">
        <f t="shared" ca="1" si="71"/>
        <v>ON</v>
      </c>
      <c r="Z183" s="20" t="str">
        <f t="shared" ca="1" si="71"/>
        <v>ON</v>
      </c>
      <c r="AA183" s="1" t="str">
        <f t="shared" ca="1" si="72"/>
        <v>ON</v>
      </c>
      <c r="AB183" s="1" t="str">
        <f t="shared" ca="1" si="73"/>
        <v>ON</v>
      </c>
      <c r="AC183" s="1" t="str">
        <f t="shared" ca="1" si="74"/>
        <v>OFF</v>
      </c>
      <c r="AD183" s="1" t="str">
        <f t="shared" ca="1" si="75"/>
        <v>ON</v>
      </c>
      <c r="AE183" s="1"/>
      <c r="AF183" s="20" t="str">
        <f t="shared" ca="1" si="76"/>
        <v>ON</v>
      </c>
      <c r="AG183" s="20" t="str">
        <f t="shared" ca="1" si="76"/>
        <v>ON</v>
      </c>
      <c r="AH183" s="1" t="str">
        <f t="shared" ca="1" si="77"/>
        <v>ON</v>
      </c>
      <c r="AI183" s="1" t="str">
        <f t="shared" ca="1" si="78"/>
        <v>ON</v>
      </c>
      <c r="AJ183" s="1" t="str">
        <f t="shared" ca="1" si="79"/>
        <v>ON</v>
      </c>
      <c r="AK183" s="1" t="str">
        <f t="shared" ca="1" si="80"/>
        <v>ON</v>
      </c>
      <c r="AL183" s="1"/>
      <c r="AM183" s="20" t="str">
        <f t="shared" si="81"/>
        <v>ON</v>
      </c>
      <c r="AN183" s="20" t="str">
        <f t="shared" si="81"/>
        <v>ON</v>
      </c>
      <c r="AO183" s="20" t="str">
        <f t="shared" si="82"/>
        <v>ON</v>
      </c>
    </row>
    <row r="184" spans="1:41">
      <c r="A184" t="str">
        <f t="shared" ca="1" si="56"/>
        <v>Ogun</v>
      </c>
      <c r="B184" t="str">
        <f t="shared" ca="1" si="57"/>
        <v>B</v>
      </c>
      <c r="C184" t="str">
        <f t="shared" ca="1" si="58"/>
        <v>E1</v>
      </c>
      <c r="D184" t="s">
        <v>4</v>
      </c>
      <c r="E184">
        <f t="shared" ca="1" si="59"/>
        <v>25</v>
      </c>
      <c r="F184">
        <f t="shared" ca="1" si="60"/>
        <v>2</v>
      </c>
      <c r="G184" t="str">
        <v>D</v>
      </c>
      <c r="H184" t="str">
        <v>D</v>
      </c>
      <c r="I184" t="str">
        <f ca="1">IF($A184="","",IF(COUNTA($R$2:$W$2)=6,"WK "&amp;_xlfn.ISOWEEKNUM($R$2)))</f>
        <v>WK 19</v>
      </c>
      <c r="J184" t="str">
        <f ca="1">IF($A184="","",IF(COUNTA($AF$2:$AK$2)=6,"WK "&amp;_xlfn.ISOWEEKNUM($AF$2)))</f>
        <v>WK 21</v>
      </c>
      <c r="K184" s="20" t="str">
        <f t="shared" ca="1" si="61"/>
        <v>ON</v>
      </c>
      <c r="L184" s="20" t="str">
        <f t="shared" ca="1" si="61"/>
        <v>ON</v>
      </c>
      <c r="M184" s="1" t="str">
        <f t="shared" ca="1" si="62"/>
        <v>ON</v>
      </c>
      <c r="N184" s="1" t="str">
        <f t="shared" ca="1" si="63"/>
        <v>ON</v>
      </c>
      <c r="O184" s="1" t="str">
        <f t="shared" ca="1" si="64"/>
        <v>ON</v>
      </c>
      <c r="P184" s="1" t="str">
        <f t="shared" ca="1" si="65"/>
        <v>ON</v>
      </c>
      <c r="Q184" s="1"/>
      <c r="R184" s="20" t="str">
        <f t="shared" ca="1" si="66"/>
        <v>ON</v>
      </c>
      <c r="S184" s="20" t="str">
        <f t="shared" ca="1" si="66"/>
        <v>ON</v>
      </c>
      <c r="T184" s="1" t="str">
        <f t="shared" ca="1" si="67"/>
        <v>ON</v>
      </c>
      <c r="U184" s="1" t="str">
        <f t="shared" ca="1" si="68"/>
        <v>ON</v>
      </c>
      <c r="V184" s="1" t="str">
        <f t="shared" ca="1" si="69"/>
        <v>ON</v>
      </c>
      <c r="W184" s="1" t="str">
        <f t="shared" ca="1" si="70"/>
        <v>OFF</v>
      </c>
      <c r="X184" s="1"/>
      <c r="Y184" s="20" t="str">
        <f t="shared" ca="1" si="71"/>
        <v>ON</v>
      </c>
      <c r="Z184" s="20" t="str">
        <f t="shared" ca="1" si="71"/>
        <v>ON</v>
      </c>
      <c r="AA184" s="1" t="str">
        <f t="shared" ca="1" si="72"/>
        <v>ON</v>
      </c>
      <c r="AB184" s="1" t="str">
        <f t="shared" ca="1" si="73"/>
        <v>ON</v>
      </c>
      <c r="AC184" s="1" t="str">
        <f t="shared" ca="1" si="74"/>
        <v>ON</v>
      </c>
      <c r="AD184" s="1" t="str">
        <f t="shared" ca="1" si="75"/>
        <v>ON</v>
      </c>
      <c r="AE184" s="1"/>
      <c r="AF184" s="20" t="str">
        <f t="shared" ca="1" si="76"/>
        <v>ON</v>
      </c>
      <c r="AG184" s="20" t="str">
        <f t="shared" ca="1" si="76"/>
        <v>ON</v>
      </c>
      <c r="AH184" s="1" t="str">
        <f t="shared" ca="1" si="77"/>
        <v>ON</v>
      </c>
      <c r="AI184" s="1" t="str">
        <f t="shared" ca="1" si="78"/>
        <v>ON</v>
      </c>
      <c r="AJ184" s="1" t="str">
        <f t="shared" ca="1" si="79"/>
        <v>ON</v>
      </c>
      <c r="AK184" s="1" t="str">
        <f t="shared" ca="1" si="80"/>
        <v>OFF</v>
      </c>
      <c r="AL184" s="1"/>
      <c r="AM184" s="20" t="str">
        <f t="shared" si="81"/>
        <v>ON</v>
      </c>
      <c r="AN184" s="20" t="str">
        <f t="shared" si="81"/>
        <v>ON</v>
      </c>
      <c r="AO184" s="20" t="str">
        <f t="shared" si="82"/>
        <v>ON</v>
      </c>
    </row>
    <row r="185" spans="1:41">
      <c r="A185" t="str">
        <f t="shared" ca="1" si="56"/>
        <v>Oyo</v>
      </c>
      <c r="B185" t="str">
        <f t="shared" ca="1" si="57"/>
        <v>A</v>
      </c>
      <c r="C185" t="str">
        <f t="shared" ca="1" si="58"/>
        <v>B1</v>
      </c>
      <c r="D185" t="s">
        <v>4</v>
      </c>
      <c r="E185">
        <f t="shared" ca="1" si="59"/>
        <v>25</v>
      </c>
      <c r="F185">
        <f t="shared" ca="1" si="60"/>
        <v>2</v>
      </c>
      <c r="G185" t="str" cm="1">
        <f t="array" ref="G185:G188">IF($G$5:$G$8={"A";"B";"C";"D"},{"D";"C";"B";"A"},{"A";"B";"C";"D"})</f>
        <v>D</v>
      </c>
      <c r="H185" t="str" cm="1">
        <f t="array" ref="H185:H188">IF($H$5:$H$8={"A";"B";"C";"D"},{"D";"C";"B";"A"},{"A";"B";"C";"D"})</f>
        <v>D</v>
      </c>
      <c r="I185" t="str">
        <f ca="1">IF($A185="","",IF(COUNTA($K$2:$P$2)=6,"WK "&amp;_xlfn.ISOWEEKNUM($K$2)))</f>
        <v>WK 18</v>
      </c>
      <c r="J185" t="str">
        <f ca="1">IF($A185="","",IF(COUNTA($Y$2:$AD$2)=6,"WK "&amp;_xlfn.ISOWEEKNUM($Y$2)))</f>
        <v>WK 20</v>
      </c>
      <c r="K185" s="20" t="str">
        <f t="shared" ca="1" si="61"/>
        <v>ON</v>
      </c>
      <c r="L185" s="20" t="str">
        <f t="shared" ca="1" si="61"/>
        <v>ON</v>
      </c>
      <c r="M185" s="1" t="str">
        <f t="shared" ca="1" si="62"/>
        <v>ON</v>
      </c>
      <c r="N185" s="1" t="str">
        <f t="shared" ca="1" si="63"/>
        <v>ON</v>
      </c>
      <c r="O185" s="1" t="str">
        <f t="shared" ca="1" si="64"/>
        <v>ON</v>
      </c>
      <c r="P185" s="1" t="str">
        <f t="shared" ca="1" si="65"/>
        <v>OFF</v>
      </c>
      <c r="Q185" s="1"/>
      <c r="R185" s="20" t="str">
        <f t="shared" ca="1" si="66"/>
        <v>ON</v>
      </c>
      <c r="S185" s="20" t="str">
        <f t="shared" ca="1" si="66"/>
        <v>ON</v>
      </c>
      <c r="T185" s="1" t="str">
        <f t="shared" ca="1" si="67"/>
        <v>ON</v>
      </c>
      <c r="U185" s="1" t="str">
        <f t="shared" ca="1" si="68"/>
        <v>ON</v>
      </c>
      <c r="V185" s="1" t="str">
        <f t="shared" ca="1" si="69"/>
        <v>ON</v>
      </c>
      <c r="W185" s="1" t="str">
        <f t="shared" ca="1" si="70"/>
        <v>ON</v>
      </c>
      <c r="X185" s="1"/>
      <c r="Y185" s="20" t="str">
        <f t="shared" ca="1" si="71"/>
        <v>ON</v>
      </c>
      <c r="Z185" s="20" t="str">
        <f t="shared" ca="1" si="71"/>
        <v>ON</v>
      </c>
      <c r="AA185" s="1" t="str">
        <f t="shared" ca="1" si="72"/>
        <v>ON</v>
      </c>
      <c r="AB185" s="1" t="str">
        <f t="shared" ca="1" si="73"/>
        <v>ON</v>
      </c>
      <c r="AC185" s="1" t="str">
        <f t="shared" ca="1" si="74"/>
        <v>ON</v>
      </c>
      <c r="AD185" s="1" t="str">
        <f t="shared" ca="1" si="75"/>
        <v>OFF</v>
      </c>
      <c r="AE185" s="1"/>
      <c r="AF185" s="20" t="str">
        <f t="shared" ca="1" si="76"/>
        <v>ON</v>
      </c>
      <c r="AG185" s="20" t="str">
        <f t="shared" ca="1" si="76"/>
        <v>ON</v>
      </c>
      <c r="AH185" s="1" t="str">
        <f t="shared" ca="1" si="77"/>
        <v>ON</v>
      </c>
      <c r="AI185" s="1" t="str">
        <f t="shared" ca="1" si="78"/>
        <v>ON</v>
      </c>
      <c r="AJ185" s="1" t="str">
        <f t="shared" ca="1" si="79"/>
        <v>ON</v>
      </c>
      <c r="AK185" s="1" t="str">
        <f t="shared" ca="1" si="80"/>
        <v>ON</v>
      </c>
      <c r="AL185" s="1"/>
      <c r="AM185" s="20" t="str">
        <f t="shared" si="81"/>
        <v>ON</v>
      </c>
      <c r="AN185" s="20" t="str">
        <f t="shared" si="81"/>
        <v>ON</v>
      </c>
      <c r="AO185" s="20" t="str">
        <f t="shared" si="82"/>
        <v>ON</v>
      </c>
    </row>
    <row r="186" spans="1:41">
      <c r="A186" t="str">
        <f t="shared" ca="1" si="56"/>
        <v>Oyo</v>
      </c>
      <c r="B186" t="str">
        <f t="shared" ca="1" si="57"/>
        <v>E</v>
      </c>
      <c r="C186" t="str">
        <f t="shared" ca="1" si="58"/>
        <v>C1</v>
      </c>
      <c r="D186" t="s">
        <v>5</v>
      </c>
      <c r="E186">
        <f t="shared" ca="1" si="59"/>
        <v>25</v>
      </c>
      <c r="F186">
        <f t="shared" ca="1" si="60"/>
        <v>2</v>
      </c>
      <c r="G186" t="str">
        <v>C</v>
      </c>
      <c r="H186" t="str">
        <v>C</v>
      </c>
      <c r="I186" t="str">
        <f ca="1">IF($A186="","",IF(COUNTA($R$2:$W$2)=6,"WK "&amp;_xlfn.ISOWEEKNUM($R$2)))</f>
        <v>WK 19</v>
      </c>
      <c r="J186" t="str">
        <f ca="1">IF($A186="","",IF(COUNTA($AF$2:$AK$2)=6,"WK "&amp;_xlfn.ISOWEEKNUM($AF$2)))</f>
        <v>WK 21</v>
      </c>
      <c r="K186" s="20" t="str">
        <f t="shared" ca="1" si="61"/>
        <v>ON</v>
      </c>
      <c r="L186" s="20" t="str">
        <f t="shared" ca="1" si="61"/>
        <v>ON</v>
      </c>
      <c r="M186" s="1" t="str">
        <f t="shared" ca="1" si="62"/>
        <v>ON</v>
      </c>
      <c r="N186" s="1" t="str">
        <f t="shared" ca="1" si="63"/>
        <v>ON</v>
      </c>
      <c r="O186" s="1" t="str">
        <f t="shared" ca="1" si="64"/>
        <v>ON</v>
      </c>
      <c r="P186" s="1" t="str">
        <f t="shared" ca="1" si="65"/>
        <v>ON</v>
      </c>
      <c r="Q186" s="1"/>
      <c r="R186" s="20" t="str">
        <f t="shared" ca="1" si="66"/>
        <v>ON</v>
      </c>
      <c r="S186" s="20" t="str">
        <f t="shared" ca="1" si="66"/>
        <v>ON</v>
      </c>
      <c r="T186" s="1" t="str">
        <f t="shared" ca="1" si="67"/>
        <v>ON</v>
      </c>
      <c r="U186" s="1" t="str">
        <f t="shared" ca="1" si="68"/>
        <v>ON</v>
      </c>
      <c r="V186" s="1" t="str">
        <f t="shared" ca="1" si="69"/>
        <v>OFF</v>
      </c>
      <c r="W186" s="1" t="str">
        <f t="shared" ca="1" si="70"/>
        <v>ON</v>
      </c>
      <c r="X186" s="1"/>
      <c r="Y186" s="20" t="str">
        <f t="shared" ca="1" si="71"/>
        <v>ON</v>
      </c>
      <c r="Z186" s="20" t="str">
        <f t="shared" ca="1" si="71"/>
        <v>ON</v>
      </c>
      <c r="AA186" s="1" t="str">
        <f t="shared" ca="1" si="72"/>
        <v>ON</v>
      </c>
      <c r="AB186" s="1" t="str">
        <f t="shared" ca="1" si="73"/>
        <v>ON</v>
      </c>
      <c r="AC186" s="1" t="str">
        <f t="shared" ca="1" si="74"/>
        <v>ON</v>
      </c>
      <c r="AD186" s="1" t="str">
        <f t="shared" ca="1" si="75"/>
        <v>ON</v>
      </c>
      <c r="AE186" s="1"/>
      <c r="AF186" s="20" t="str">
        <f t="shared" ca="1" si="76"/>
        <v>ON</v>
      </c>
      <c r="AG186" s="20" t="str">
        <f t="shared" ca="1" si="76"/>
        <v>ON</v>
      </c>
      <c r="AH186" s="1" t="str">
        <f t="shared" ca="1" si="77"/>
        <v>ON</v>
      </c>
      <c r="AI186" s="1" t="str">
        <f t="shared" ca="1" si="78"/>
        <v>ON</v>
      </c>
      <c r="AJ186" s="1" t="str">
        <f t="shared" ca="1" si="79"/>
        <v>OFF</v>
      </c>
      <c r="AK186" s="1" t="str">
        <f t="shared" ca="1" si="80"/>
        <v>ON</v>
      </c>
      <c r="AL186" s="1"/>
      <c r="AM186" s="20" t="str">
        <f t="shared" si="81"/>
        <v>ON</v>
      </c>
      <c r="AN186" s="20" t="str">
        <f t="shared" si="81"/>
        <v>ON</v>
      </c>
      <c r="AO186" s="20" t="str">
        <f t="shared" si="82"/>
        <v>ON</v>
      </c>
    </row>
    <row r="187" spans="1:41">
      <c r="A187" t="str">
        <f t="shared" ca="1" si="56"/>
        <v>Ondo</v>
      </c>
      <c r="B187" t="str">
        <f t="shared" ca="1" si="57"/>
        <v>E</v>
      </c>
      <c r="C187" t="str">
        <f t="shared" ca="1" si="58"/>
        <v>E1</v>
      </c>
      <c r="D187" t="s">
        <v>5</v>
      </c>
      <c r="E187">
        <f t="shared" ca="1" si="59"/>
        <v>25</v>
      </c>
      <c r="F187">
        <f t="shared" ca="1" si="60"/>
        <v>2</v>
      </c>
      <c r="G187" t="str">
        <v>B</v>
      </c>
      <c r="H187" t="str">
        <v>B</v>
      </c>
      <c r="I187" t="str">
        <f ca="1">IF($A187="","",IF(COUNTA($K$2:$P$2)=6,"WK "&amp;_xlfn.ISOWEEKNUM($K$2)))</f>
        <v>WK 18</v>
      </c>
      <c r="J187" t="str">
        <f ca="1">IF($A187="","",IF(COUNTA($Y$2:$AD$2)=6,"WK "&amp;_xlfn.ISOWEEKNUM($Y$2)))</f>
        <v>WK 20</v>
      </c>
      <c r="K187" s="20" t="str">
        <f t="shared" ca="1" si="61"/>
        <v>ON</v>
      </c>
      <c r="L187" s="20" t="str">
        <f t="shared" ca="1" si="61"/>
        <v>ON</v>
      </c>
      <c r="M187" s="1" t="str">
        <f t="shared" ca="1" si="62"/>
        <v>ON</v>
      </c>
      <c r="N187" s="1" t="str">
        <f t="shared" ca="1" si="63"/>
        <v>OFF</v>
      </c>
      <c r="O187" s="1" t="str">
        <f t="shared" ca="1" si="64"/>
        <v>ON</v>
      </c>
      <c r="P187" s="1" t="str">
        <f t="shared" ca="1" si="65"/>
        <v>ON</v>
      </c>
      <c r="Q187" s="1"/>
      <c r="R187" s="20" t="str">
        <f t="shared" ca="1" si="66"/>
        <v>ON</v>
      </c>
      <c r="S187" s="20" t="str">
        <f t="shared" ca="1" si="66"/>
        <v>ON</v>
      </c>
      <c r="T187" s="1" t="str">
        <f t="shared" ca="1" si="67"/>
        <v>ON</v>
      </c>
      <c r="U187" s="1" t="str">
        <f t="shared" ca="1" si="68"/>
        <v>ON</v>
      </c>
      <c r="V187" s="1" t="str">
        <f t="shared" ca="1" si="69"/>
        <v>ON</v>
      </c>
      <c r="W187" s="1" t="str">
        <f t="shared" ca="1" si="70"/>
        <v>ON</v>
      </c>
      <c r="X187" s="1"/>
      <c r="Y187" s="20" t="str">
        <f t="shared" ca="1" si="71"/>
        <v>ON</v>
      </c>
      <c r="Z187" s="20" t="str">
        <f t="shared" ca="1" si="71"/>
        <v>ON</v>
      </c>
      <c r="AA187" s="1" t="str">
        <f t="shared" ca="1" si="72"/>
        <v>ON</v>
      </c>
      <c r="AB187" s="1" t="str">
        <f t="shared" ca="1" si="73"/>
        <v>OFF</v>
      </c>
      <c r="AC187" s="1" t="str">
        <f t="shared" ca="1" si="74"/>
        <v>ON</v>
      </c>
      <c r="AD187" s="1" t="str">
        <f t="shared" ca="1" si="75"/>
        <v>ON</v>
      </c>
      <c r="AE187" s="1"/>
      <c r="AF187" s="20" t="str">
        <f t="shared" ca="1" si="76"/>
        <v>ON</v>
      </c>
      <c r="AG187" s="20" t="str">
        <f t="shared" ca="1" si="76"/>
        <v>ON</v>
      </c>
      <c r="AH187" s="1" t="str">
        <f t="shared" ca="1" si="77"/>
        <v>ON</v>
      </c>
      <c r="AI187" s="1" t="str">
        <f t="shared" ca="1" si="78"/>
        <v>ON</v>
      </c>
      <c r="AJ187" s="1" t="str">
        <f t="shared" ca="1" si="79"/>
        <v>ON</v>
      </c>
      <c r="AK187" s="1" t="str">
        <f t="shared" ca="1" si="80"/>
        <v>ON</v>
      </c>
      <c r="AL187" s="1"/>
      <c r="AM187" s="20" t="str">
        <f t="shared" si="81"/>
        <v>ON</v>
      </c>
      <c r="AN187" s="20" t="str">
        <f t="shared" si="81"/>
        <v>ON</v>
      </c>
      <c r="AO187" s="20" t="str">
        <f t="shared" si="82"/>
        <v>ON</v>
      </c>
    </row>
    <row r="188" spans="1:41">
      <c r="A188" t="str">
        <f t="shared" ca="1" si="56"/>
        <v>Ogun</v>
      </c>
      <c r="B188" t="str">
        <f t="shared" ca="1" si="57"/>
        <v>C</v>
      </c>
      <c r="C188" t="str">
        <f t="shared" ca="1" si="58"/>
        <v>E1</v>
      </c>
      <c r="D188" t="s">
        <v>5</v>
      </c>
      <c r="E188">
        <f t="shared" ca="1" si="59"/>
        <v>25</v>
      </c>
      <c r="F188">
        <f t="shared" ca="1" si="60"/>
        <v>2</v>
      </c>
      <c r="G188" t="str">
        <v>A</v>
      </c>
      <c r="H188" t="str">
        <v>A</v>
      </c>
      <c r="I188" t="str">
        <f ca="1">IF($A188="","",IF(COUNTA($R$2:$W$2)=6,"WK "&amp;_xlfn.ISOWEEKNUM($R$2)))</f>
        <v>WK 19</v>
      </c>
      <c r="J188" t="str">
        <f ca="1">IF($A188="","",IF(COUNTA($AF$2:$AK$2)=6,"WK "&amp;_xlfn.ISOWEEKNUM($AF$2)))</f>
        <v>WK 21</v>
      </c>
      <c r="K188" s="20" t="str">
        <f t="shared" ca="1" si="61"/>
        <v>ON</v>
      </c>
      <c r="L188" s="20" t="str">
        <f t="shared" ca="1" si="61"/>
        <v>ON</v>
      </c>
      <c r="M188" s="1" t="str">
        <f t="shared" ca="1" si="62"/>
        <v>ON</v>
      </c>
      <c r="N188" s="1" t="str">
        <f t="shared" ca="1" si="63"/>
        <v>ON</v>
      </c>
      <c r="O188" s="1" t="str">
        <f t="shared" ca="1" si="64"/>
        <v>ON</v>
      </c>
      <c r="P188" s="1" t="str">
        <f t="shared" ca="1" si="65"/>
        <v>ON</v>
      </c>
      <c r="Q188" s="1"/>
      <c r="R188" s="20" t="str">
        <f t="shared" ca="1" si="66"/>
        <v>ON</v>
      </c>
      <c r="S188" s="20" t="str">
        <f t="shared" ca="1" si="66"/>
        <v>ON</v>
      </c>
      <c r="T188" s="1" t="str">
        <f t="shared" ca="1" si="67"/>
        <v>OFF</v>
      </c>
      <c r="U188" s="1" t="str">
        <f t="shared" ca="1" si="68"/>
        <v>ON</v>
      </c>
      <c r="V188" s="1" t="str">
        <f t="shared" ca="1" si="69"/>
        <v>ON</v>
      </c>
      <c r="W188" s="1" t="str">
        <f t="shared" ca="1" si="70"/>
        <v>ON</v>
      </c>
      <c r="X188" s="1"/>
      <c r="Y188" s="20" t="str">
        <f t="shared" ca="1" si="71"/>
        <v>ON</v>
      </c>
      <c r="Z188" s="20" t="str">
        <f t="shared" ca="1" si="71"/>
        <v>ON</v>
      </c>
      <c r="AA188" s="1" t="str">
        <f t="shared" ca="1" si="72"/>
        <v>ON</v>
      </c>
      <c r="AB188" s="1" t="str">
        <f t="shared" ca="1" si="73"/>
        <v>ON</v>
      </c>
      <c r="AC188" s="1" t="str">
        <f t="shared" ca="1" si="74"/>
        <v>ON</v>
      </c>
      <c r="AD188" s="1" t="str">
        <f t="shared" ca="1" si="75"/>
        <v>ON</v>
      </c>
      <c r="AE188" s="1"/>
      <c r="AF188" s="20" t="str">
        <f t="shared" ca="1" si="76"/>
        <v>ON</v>
      </c>
      <c r="AG188" s="20" t="str">
        <f t="shared" ca="1" si="76"/>
        <v>ON</v>
      </c>
      <c r="AH188" s="1" t="str">
        <f t="shared" ca="1" si="77"/>
        <v>OFF</v>
      </c>
      <c r="AI188" s="1" t="str">
        <f t="shared" ca="1" si="78"/>
        <v>ON</v>
      </c>
      <c r="AJ188" s="1" t="str">
        <f t="shared" ca="1" si="79"/>
        <v>ON</v>
      </c>
      <c r="AK188" s="1" t="str">
        <f t="shared" ca="1" si="80"/>
        <v>ON</v>
      </c>
      <c r="AL188" s="1"/>
      <c r="AM188" s="20" t="str">
        <f t="shared" si="81"/>
        <v>ON</v>
      </c>
      <c r="AN188" s="20" t="str">
        <f t="shared" si="81"/>
        <v>ON</v>
      </c>
      <c r="AO188" s="20" t="str">
        <f t="shared" si="82"/>
        <v>ON</v>
      </c>
    </row>
    <row r="189" spans="1:41">
      <c r="A189" t="str">
        <f t="shared" ca="1" si="56"/>
        <v>Lagos</v>
      </c>
      <c r="B189" t="str">
        <f t="shared" ca="1" si="57"/>
        <v>C</v>
      </c>
      <c r="C189" t="str">
        <f t="shared" ca="1" si="58"/>
        <v>B1</v>
      </c>
      <c r="D189" t="s">
        <v>8</v>
      </c>
      <c r="E189">
        <f t="shared" ca="1" si="59"/>
        <v>25</v>
      </c>
      <c r="F189">
        <f t="shared" ca="1" si="60"/>
        <v>2</v>
      </c>
      <c r="G189" t="str" cm="1">
        <f t="array" ref="G189:G192">Groups!$B$2:$B$5</f>
        <v>A</v>
      </c>
      <c r="H189" t="str" cm="1">
        <f t="array" ref="H189:H192">Groups!$B$2:$B$5</f>
        <v>A</v>
      </c>
      <c r="I189" t="str">
        <f ca="1">IF($A189="","",IF(COUNTA($K$2:$P$2)=6,"WK "&amp;_xlfn.ISOWEEKNUM($K$2)))</f>
        <v>WK 18</v>
      </c>
      <c r="J189" t="str">
        <f ca="1">IF($A189="","",IF(COUNTA($Y$2:$AD$2)=6,"WK "&amp;_xlfn.ISOWEEKNUM($Y$2)))</f>
        <v>WK 20</v>
      </c>
      <c r="K189" s="20" t="str">
        <f t="shared" ca="1" si="61"/>
        <v>ON</v>
      </c>
      <c r="L189" s="20" t="str">
        <f t="shared" ca="1" si="61"/>
        <v>ON</v>
      </c>
      <c r="M189" s="1" t="str">
        <f t="shared" ca="1" si="62"/>
        <v>OFF</v>
      </c>
      <c r="N189" s="1" t="str">
        <f t="shared" ca="1" si="63"/>
        <v>ON</v>
      </c>
      <c r="O189" s="1" t="str">
        <f t="shared" ca="1" si="64"/>
        <v>ON</v>
      </c>
      <c r="P189" s="1" t="str">
        <f t="shared" ca="1" si="65"/>
        <v>ON</v>
      </c>
      <c r="Q189" s="1"/>
      <c r="R189" s="20" t="str">
        <f t="shared" ca="1" si="66"/>
        <v>ON</v>
      </c>
      <c r="S189" s="20" t="str">
        <f t="shared" ca="1" si="66"/>
        <v>ON</v>
      </c>
      <c r="T189" s="1" t="str">
        <f t="shared" ca="1" si="67"/>
        <v>ON</v>
      </c>
      <c r="U189" s="1" t="str">
        <f t="shared" ca="1" si="68"/>
        <v>ON</v>
      </c>
      <c r="V189" s="1" t="str">
        <f t="shared" ca="1" si="69"/>
        <v>ON</v>
      </c>
      <c r="W189" s="1" t="str">
        <f t="shared" ca="1" si="70"/>
        <v>ON</v>
      </c>
      <c r="X189" s="1"/>
      <c r="Y189" s="20" t="str">
        <f t="shared" ca="1" si="71"/>
        <v>ON</v>
      </c>
      <c r="Z189" s="20" t="str">
        <f t="shared" ca="1" si="71"/>
        <v>ON</v>
      </c>
      <c r="AA189" s="1" t="str">
        <f t="shared" ca="1" si="72"/>
        <v>OFF</v>
      </c>
      <c r="AB189" s="1" t="str">
        <f t="shared" ca="1" si="73"/>
        <v>ON</v>
      </c>
      <c r="AC189" s="1" t="str">
        <f t="shared" ca="1" si="74"/>
        <v>ON</v>
      </c>
      <c r="AD189" s="1" t="str">
        <f t="shared" ca="1" si="75"/>
        <v>ON</v>
      </c>
      <c r="AE189" s="1"/>
      <c r="AF189" s="20" t="str">
        <f t="shared" ca="1" si="76"/>
        <v>ON</v>
      </c>
      <c r="AG189" s="20" t="str">
        <f t="shared" ca="1" si="76"/>
        <v>ON</v>
      </c>
      <c r="AH189" s="1" t="str">
        <f t="shared" ca="1" si="77"/>
        <v>ON</v>
      </c>
      <c r="AI189" s="1" t="str">
        <f t="shared" ca="1" si="78"/>
        <v>ON</v>
      </c>
      <c r="AJ189" s="1" t="str">
        <f t="shared" ca="1" si="79"/>
        <v>ON</v>
      </c>
      <c r="AK189" s="1" t="str">
        <f t="shared" ca="1" si="80"/>
        <v>ON</v>
      </c>
      <c r="AL189" s="1"/>
      <c r="AM189" s="20" t="str">
        <f t="shared" si="81"/>
        <v>ON</v>
      </c>
      <c r="AN189" s="20" t="str">
        <f t="shared" si="81"/>
        <v>ON</v>
      </c>
      <c r="AO189" s="20" t="str">
        <f t="shared" si="82"/>
        <v>ON</v>
      </c>
    </row>
    <row r="190" spans="1:41">
      <c r="A190" t="str">
        <f t="shared" ca="1" si="56"/>
        <v>Lagos</v>
      </c>
      <c r="B190" t="str">
        <f t="shared" ca="1" si="57"/>
        <v>D</v>
      </c>
      <c r="C190" t="str">
        <f t="shared" ca="1" si="58"/>
        <v>B1</v>
      </c>
      <c r="D190" t="s">
        <v>7</v>
      </c>
      <c r="E190">
        <f t="shared" ca="1" si="59"/>
        <v>25</v>
      </c>
      <c r="F190">
        <f t="shared" ca="1" si="60"/>
        <v>2</v>
      </c>
      <c r="G190" t="str">
        <v>B</v>
      </c>
      <c r="H190" t="str">
        <v>B</v>
      </c>
      <c r="I190" t="str">
        <f ca="1">IF($A190="","",IF(COUNTA($R$2:$W$2)=6,"WK "&amp;_xlfn.ISOWEEKNUM($R$2)))</f>
        <v>WK 19</v>
      </c>
      <c r="J190" t="str">
        <f ca="1">IF($A190="","",IF(COUNTA($AF$2:$AK$2)=6,"WK "&amp;_xlfn.ISOWEEKNUM($AF$2)))</f>
        <v>WK 21</v>
      </c>
      <c r="K190" s="20" t="str">
        <f t="shared" ca="1" si="61"/>
        <v>ON</v>
      </c>
      <c r="L190" s="20" t="str">
        <f t="shared" ca="1" si="61"/>
        <v>ON</v>
      </c>
      <c r="M190" s="1" t="str">
        <f t="shared" ca="1" si="62"/>
        <v>ON</v>
      </c>
      <c r="N190" s="1" t="str">
        <f t="shared" ca="1" si="63"/>
        <v>ON</v>
      </c>
      <c r="O190" s="1" t="str">
        <f t="shared" ca="1" si="64"/>
        <v>ON</v>
      </c>
      <c r="P190" s="1" t="str">
        <f t="shared" ca="1" si="65"/>
        <v>ON</v>
      </c>
      <c r="Q190" s="1"/>
      <c r="R190" s="20" t="str">
        <f t="shared" ca="1" si="66"/>
        <v>ON</v>
      </c>
      <c r="S190" s="20" t="str">
        <f t="shared" ca="1" si="66"/>
        <v>ON</v>
      </c>
      <c r="T190" s="1" t="str">
        <f t="shared" ca="1" si="67"/>
        <v>ON</v>
      </c>
      <c r="U190" s="1" t="str">
        <f t="shared" ca="1" si="68"/>
        <v>OFF</v>
      </c>
      <c r="V190" s="1" t="str">
        <f t="shared" ca="1" si="69"/>
        <v>ON</v>
      </c>
      <c r="W190" s="1" t="str">
        <f t="shared" ca="1" si="70"/>
        <v>ON</v>
      </c>
      <c r="X190" s="1"/>
      <c r="Y190" s="20" t="str">
        <f t="shared" ca="1" si="71"/>
        <v>ON</v>
      </c>
      <c r="Z190" s="20" t="str">
        <f t="shared" ca="1" si="71"/>
        <v>ON</v>
      </c>
      <c r="AA190" s="1" t="str">
        <f t="shared" ca="1" si="72"/>
        <v>ON</v>
      </c>
      <c r="AB190" s="1" t="str">
        <f t="shared" ca="1" si="73"/>
        <v>ON</v>
      </c>
      <c r="AC190" s="1" t="str">
        <f t="shared" ca="1" si="74"/>
        <v>ON</v>
      </c>
      <c r="AD190" s="1" t="str">
        <f t="shared" ca="1" si="75"/>
        <v>ON</v>
      </c>
      <c r="AE190" s="1"/>
      <c r="AF190" s="20" t="str">
        <f t="shared" ca="1" si="76"/>
        <v>ON</v>
      </c>
      <c r="AG190" s="20" t="str">
        <f t="shared" ca="1" si="76"/>
        <v>ON</v>
      </c>
      <c r="AH190" s="1" t="str">
        <f t="shared" ca="1" si="77"/>
        <v>ON</v>
      </c>
      <c r="AI190" s="1" t="str">
        <f t="shared" ca="1" si="78"/>
        <v>OFF</v>
      </c>
      <c r="AJ190" s="1" t="str">
        <f t="shared" ca="1" si="79"/>
        <v>ON</v>
      </c>
      <c r="AK190" s="1" t="str">
        <f t="shared" ca="1" si="80"/>
        <v>ON</v>
      </c>
      <c r="AL190" s="1"/>
      <c r="AM190" s="20" t="str">
        <f t="shared" si="81"/>
        <v>ON</v>
      </c>
      <c r="AN190" s="20" t="str">
        <f t="shared" si="81"/>
        <v>ON</v>
      </c>
      <c r="AO190" s="20" t="str">
        <f t="shared" si="82"/>
        <v>ON</v>
      </c>
    </row>
    <row r="191" spans="1:41">
      <c r="A191" t="str">
        <f t="shared" ca="1" si="56"/>
        <v>Ekiti</v>
      </c>
      <c r="B191" t="str">
        <f t="shared" ca="1" si="57"/>
        <v>B</v>
      </c>
      <c r="C191" t="str">
        <f t="shared" ca="1" si="58"/>
        <v>D1</v>
      </c>
      <c r="D191" t="s">
        <v>7</v>
      </c>
      <c r="E191">
        <f t="shared" ca="1" si="59"/>
        <v>25</v>
      </c>
      <c r="F191">
        <f t="shared" ca="1" si="60"/>
        <v>2</v>
      </c>
      <c r="G191" t="str">
        <v>C</v>
      </c>
      <c r="H191" t="str">
        <v>C</v>
      </c>
      <c r="I191" t="str">
        <f ca="1">IF($A191="","",IF(COUNTA($K$2:$P$2)=6,"WK "&amp;_xlfn.ISOWEEKNUM($K$2)))</f>
        <v>WK 18</v>
      </c>
      <c r="J191" t="str">
        <f ca="1">IF($A191="","",IF(COUNTA($Y$2:$AD$2)=6,"WK "&amp;_xlfn.ISOWEEKNUM($Y$2)))</f>
        <v>WK 20</v>
      </c>
      <c r="K191" s="20" t="str">
        <f t="shared" ca="1" si="61"/>
        <v>ON</v>
      </c>
      <c r="L191" s="20" t="str">
        <f t="shared" ca="1" si="61"/>
        <v>ON</v>
      </c>
      <c r="M191" s="1" t="str">
        <f t="shared" ca="1" si="62"/>
        <v>ON</v>
      </c>
      <c r="N191" s="1" t="str">
        <f t="shared" ca="1" si="63"/>
        <v>ON</v>
      </c>
      <c r="O191" s="1" t="str">
        <f t="shared" ca="1" si="64"/>
        <v>OFF</v>
      </c>
      <c r="P191" s="1" t="str">
        <f t="shared" ca="1" si="65"/>
        <v>ON</v>
      </c>
      <c r="Q191" s="1"/>
      <c r="R191" s="20" t="str">
        <f t="shared" ca="1" si="66"/>
        <v>ON</v>
      </c>
      <c r="S191" s="20" t="str">
        <f t="shared" ca="1" si="66"/>
        <v>ON</v>
      </c>
      <c r="T191" s="1" t="str">
        <f t="shared" ca="1" si="67"/>
        <v>ON</v>
      </c>
      <c r="U191" s="1" t="str">
        <f t="shared" ca="1" si="68"/>
        <v>ON</v>
      </c>
      <c r="V191" s="1" t="str">
        <f t="shared" ca="1" si="69"/>
        <v>ON</v>
      </c>
      <c r="W191" s="1" t="str">
        <f t="shared" ca="1" si="70"/>
        <v>ON</v>
      </c>
      <c r="X191" s="1"/>
      <c r="Y191" s="20" t="str">
        <f t="shared" ca="1" si="71"/>
        <v>ON</v>
      </c>
      <c r="Z191" s="20" t="str">
        <f t="shared" ca="1" si="71"/>
        <v>ON</v>
      </c>
      <c r="AA191" s="1" t="str">
        <f t="shared" ca="1" si="72"/>
        <v>ON</v>
      </c>
      <c r="AB191" s="1" t="str">
        <f t="shared" ca="1" si="73"/>
        <v>ON</v>
      </c>
      <c r="AC191" s="1" t="str">
        <f t="shared" ca="1" si="74"/>
        <v>OFF</v>
      </c>
      <c r="AD191" s="1" t="str">
        <f t="shared" ca="1" si="75"/>
        <v>ON</v>
      </c>
      <c r="AE191" s="1"/>
      <c r="AF191" s="20" t="str">
        <f t="shared" ca="1" si="76"/>
        <v>ON</v>
      </c>
      <c r="AG191" s="20" t="str">
        <f t="shared" ca="1" si="76"/>
        <v>ON</v>
      </c>
      <c r="AH191" s="1" t="str">
        <f t="shared" ca="1" si="77"/>
        <v>ON</v>
      </c>
      <c r="AI191" s="1" t="str">
        <f t="shared" ca="1" si="78"/>
        <v>ON</v>
      </c>
      <c r="AJ191" s="1" t="str">
        <f t="shared" ca="1" si="79"/>
        <v>ON</v>
      </c>
      <c r="AK191" s="1" t="str">
        <f t="shared" ca="1" si="80"/>
        <v>ON</v>
      </c>
      <c r="AL191" s="1"/>
      <c r="AM191" s="20" t="str">
        <f t="shared" si="81"/>
        <v>ON</v>
      </c>
      <c r="AN191" s="20" t="str">
        <f t="shared" si="81"/>
        <v>ON</v>
      </c>
      <c r="AO191" s="20" t="str">
        <f t="shared" si="82"/>
        <v>ON</v>
      </c>
    </row>
    <row r="192" spans="1:41">
      <c r="A192" t="str">
        <f t="shared" ca="1" si="56"/>
        <v>Lagos</v>
      </c>
      <c r="B192" t="str">
        <f t="shared" ca="1" si="57"/>
        <v>B</v>
      </c>
      <c r="C192" t="str">
        <f t="shared" ca="1" si="58"/>
        <v>B1</v>
      </c>
      <c r="D192" t="s">
        <v>4</v>
      </c>
      <c r="E192">
        <f t="shared" ca="1" si="59"/>
        <v>25</v>
      </c>
      <c r="F192">
        <f t="shared" ca="1" si="60"/>
        <v>2</v>
      </c>
      <c r="G192" t="str">
        <v>D</v>
      </c>
      <c r="H192" t="str">
        <v>D</v>
      </c>
      <c r="I192" t="str">
        <f ca="1">IF($A192="","",IF(COUNTA($R$2:$W$2)=6,"WK "&amp;_xlfn.ISOWEEKNUM($R$2)))</f>
        <v>WK 19</v>
      </c>
      <c r="J192" t="str">
        <f ca="1">IF($A192="","",IF(COUNTA($AF$2:$AK$2)=6,"WK "&amp;_xlfn.ISOWEEKNUM($AF$2)))</f>
        <v>WK 21</v>
      </c>
      <c r="K192" s="20" t="str">
        <f t="shared" ca="1" si="61"/>
        <v>ON</v>
      </c>
      <c r="L192" s="20" t="str">
        <f t="shared" ca="1" si="61"/>
        <v>ON</v>
      </c>
      <c r="M192" s="1" t="str">
        <f t="shared" ca="1" si="62"/>
        <v>ON</v>
      </c>
      <c r="N192" s="1" t="str">
        <f t="shared" ca="1" si="63"/>
        <v>ON</v>
      </c>
      <c r="O192" s="1" t="str">
        <f t="shared" ca="1" si="64"/>
        <v>ON</v>
      </c>
      <c r="P192" s="1" t="str">
        <f t="shared" ca="1" si="65"/>
        <v>ON</v>
      </c>
      <c r="Q192" s="1"/>
      <c r="R192" s="20" t="str">
        <f t="shared" ca="1" si="66"/>
        <v>ON</v>
      </c>
      <c r="S192" s="20" t="str">
        <f t="shared" ca="1" si="66"/>
        <v>ON</v>
      </c>
      <c r="T192" s="1" t="str">
        <f t="shared" ca="1" si="67"/>
        <v>ON</v>
      </c>
      <c r="U192" s="1" t="str">
        <f t="shared" ca="1" si="68"/>
        <v>ON</v>
      </c>
      <c r="V192" s="1" t="str">
        <f t="shared" ca="1" si="69"/>
        <v>ON</v>
      </c>
      <c r="W192" s="1" t="str">
        <f t="shared" ca="1" si="70"/>
        <v>OFF</v>
      </c>
      <c r="X192" s="1"/>
      <c r="Y192" s="20" t="str">
        <f t="shared" ca="1" si="71"/>
        <v>ON</v>
      </c>
      <c r="Z192" s="20" t="str">
        <f t="shared" ca="1" si="71"/>
        <v>ON</v>
      </c>
      <c r="AA192" s="1" t="str">
        <f t="shared" ca="1" si="72"/>
        <v>ON</v>
      </c>
      <c r="AB192" s="1" t="str">
        <f t="shared" ca="1" si="73"/>
        <v>ON</v>
      </c>
      <c r="AC192" s="1" t="str">
        <f t="shared" ca="1" si="74"/>
        <v>ON</v>
      </c>
      <c r="AD192" s="1" t="str">
        <f t="shared" ca="1" si="75"/>
        <v>ON</v>
      </c>
      <c r="AE192" s="1"/>
      <c r="AF192" s="20" t="str">
        <f t="shared" ca="1" si="76"/>
        <v>ON</v>
      </c>
      <c r="AG192" s="20" t="str">
        <f t="shared" ca="1" si="76"/>
        <v>ON</v>
      </c>
      <c r="AH192" s="1" t="str">
        <f t="shared" ca="1" si="77"/>
        <v>ON</v>
      </c>
      <c r="AI192" s="1" t="str">
        <f t="shared" ca="1" si="78"/>
        <v>ON</v>
      </c>
      <c r="AJ192" s="1" t="str">
        <f t="shared" ca="1" si="79"/>
        <v>ON</v>
      </c>
      <c r="AK192" s="1" t="str">
        <f t="shared" ca="1" si="80"/>
        <v>OFF</v>
      </c>
      <c r="AL192" s="1"/>
      <c r="AM192" s="20" t="str">
        <f t="shared" si="81"/>
        <v>ON</v>
      </c>
      <c r="AN192" s="20" t="str">
        <f t="shared" si="81"/>
        <v>ON</v>
      </c>
      <c r="AO192" s="20" t="str">
        <f t="shared" si="82"/>
        <v>ON</v>
      </c>
    </row>
    <row r="193" spans="1:41">
      <c r="A193" t="str">
        <f t="shared" ca="1" si="56"/>
        <v>Ogun</v>
      </c>
      <c r="B193" t="str">
        <f t="shared" ca="1" si="57"/>
        <v>A</v>
      </c>
      <c r="C193" t="str">
        <f t="shared" ca="1" si="58"/>
        <v>C1</v>
      </c>
      <c r="D193" t="s">
        <v>4</v>
      </c>
      <c r="E193">
        <f t="shared" ca="1" si="59"/>
        <v>25</v>
      </c>
      <c r="F193">
        <f t="shared" ca="1" si="60"/>
        <v>2</v>
      </c>
      <c r="G193" t="str" cm="1">
        <f t="array" ref="G193:G196">IF($G$5:$G$8={"A";"B";"C";"D"},{"D";"C";"B";"A"},{"A";"B";"C";"D"})</f>
        <v>D</v>
      </c>
      <c r="H193" t="str" cm="1">
        <f t="array" ref="H193:H196">IF($H$5:$H$8={"A";"B";"C";"D"},{"D";"C";"B";"A"},{"A";"B";"C";"D"})</f>
        <v>D</v>
      </c>
      <c r="I193" t="str">
        <f ca="1">IF($A193="","",IF(COUNTA($K$2:$P$2)=6,"WK "&amp;_xlfn.ISOWEEKNUM($K$2)))</f>
        <v>WK 18</v>
      </c>
      <c r="J193" t="str">
        <f ca="1">IF($A193="","",IF(COUNTA($Y$2:$AD$2)=6,"WK "&amp;_xlfn.ISOWEEKNUM($Y$2)))</f>
        <v>WK 20</v>
      </c>
      <c r="K193" s="20" t="str">
        <f t="shared" ca="1" si="61"/>
        <v>ON</v>
      </c>
      <c r="L193" s="20" t="str">
        <f t="shared" ca="1" si="61"/>
        <v>ON</v>
      </c>
      <c r="M193" s="1" t="str">
        <f t="shared" ca="1" si="62"/>
        <v>ON</v>
      </c>
      <c r="N193" s="1" t="str">
        <f t="shared" ca="1" si="63"/>
        <v>ON</v>
      </c>
      <c r="O193" s="1" t="str">
        <f t="shared" ca="1" si="64"/>
        <v>ON</v>
      </c>
      <c r="P193" s="1" t="str">
        <f t="shared" ca="1" si="65"/>
        <v>OFF</v>
      </c>
      <c r="Q193" s="1"/>
      <c r="R193" s="20" t="str">
        <f t="shared" ca="1" si="66"/>
        <v>ON</v>
      </c>
      <c r="S193" s="20" t="str">
        <f t="shared" ca="1" si="66"/>
        <v>ON</v>
      </c>
      <c r="T193" s="1" t="str">
        <f t="shared" ca="1" si="67"/>
        <v>ON</v>
      </c>
      <c r="U193" s="1" t="str">
        <f t="shared" ca="1" si="68"/>
        <v>ON</v>
      </c>
      <c r="V193" s="1" t="str">
        <f t="shared" ca="1" si="69"/>
        <v>ON</v>
      </c>
      <c r="W193" s="1" t="str">
        <f t="shared" ca="1" si="70"/>
        <v>ON</v>
      </c>
      <c r="X193" s="1"/>
      <c r="Y193" s="20" t="str">
        <f t="shared" ca="1" si="71"/>
        <v>ON</v>
      </c>
      <c r="Z193" s="20" t="str">
        <f t="shared" ca="1" si="71"/>
        <v>ON</v>
      </c>
      <c r="AA193" s="1" t="str">
        <f t="shared" ca="1" si="72"/>
        <v>ON</v>
      </c>
      <c r="AB193" s="1" t="str">
        <f t="shared" ca="1" si="73"/>
        <v>ON</v>
      </c>
      <c r="AC193" s="1" t="str">
        <f t="shared" ca="1" si="74"/>
        <v>ON</v>
      </c>
      <c r="AD193" s="1" t="str">
        <f t="shared" ca="1" si="75"/>
        <v>OFF</v>
      </c>
      <c r="AE193" s="1"/>
      <c r="AF193" s="20" t="str">
        <f t="shared" ca="1" si="76"/>
        <v>ON</v>
      </c>
      <c r="AG193" s="20" t="str">
        <f t="shared" ca="1" si="76"/>
        <v>ON</v>
      </c>
      <c r="AH193" s="1" t="str">
        <f t="shared" ca="1" si="77"/>
        <v>ON</v>
      </c>
      <c r="AI193" s="1" t="str">
        <f t="shared" ca="1" si="78"/>
        <v>ON</v>
      </c>
      <c r="AJ193" s="1" t="str">
        <f t="shared" ca="1" si="79"/>
        <v>ON</v>
      </c>
      <c r="AK193" s="1" t="str">
        <f t="shared" ca="1" si="80"/>
        <v>ON</v>
      </c>
      <c r="AL193" s="1"/>
      <c r="AM193" s="20" t="str">
        <f t="shared" si="81"/>
        <v>ON</v>
      </c>
      <c r="AN193" s="20" t="str">
        <f t="shared" si="81"/>
        <v>ON</v>
      </c>
      <c r="AO193" s="20" t="str">
        <f t="shared" si="82"/>
        <v>ON</v>
      </c>
    </row>
    <row r="194" spans="1:41">
      <c r="A194" t="str">
        <f t="shared" ca="1" si="56"/>
        <v>Ondo</v>
      </c>
      <c r="B194" t="str">
        <f t="shared" ca="1" si="57"/>
        <v>E</v>
      </c>
      <c r="C194" t="str">
        <f t="shared" ca="1" si="58"/>
        <v>D1</v>
      </c>
      <c r="D194" t="s">
        <v>4</v>
      </c>
      <c r="E194">
        <f t="shared" ca="1" si="59"/>
        <v>25</v>
      </c>
      <c r="F194">
        <f t="shared" ca="1" si="60"/>
        <v>2</v>
      </c>
      <c r="G194" t="str">
        <v>C</v>
      </c>
      <c r="H194" t="str">
        <v>C</v>
      </c>
      <c r="I194" t="str">
        <f ca="1">IF($A194="","",IF(COUNTA($R$2:$W$2)=6,"WK "&amp;_xlfn.ISOWEEKNUM($R$2)))</f>
        <v>WK 19</v>
      </c>
      <c r="J194" t="str">
        <f ca="1">IF($A194="","",IF(COUNTA($AF$2:$AK$2)=6,"WK "&amp;_xlfn.ISOWEEKNUM($AF$2)))</f>
        <v>WK 21</v>
      </c>
      <c r="K194" s="20" t="str">
        <f t="shared" ca="1" si="61"/>
        <v>ON</v>
      </c>
      <c r="L194" s="20" t="str">
        <f t="shared" ca="1" si="61"/>
        <v>ON</v>
      </c>
      <c r="M194" s="1" t="str">
        <f t="shared" ca="1" si="62"/>
        <v>ON</v>
      </c>
      <c r="N194" s="1" t="str">
        <f t="shared" ca="1" si="63"/>
        <v>ON</v>
      </c>
      <c r="O194" s="1" t="str">
        <f t="shared" ca="1" si="64"/>
        <v>ON</v>
      </c>
      <c r="P194" s="1" t="str">
        <f t="shared" ca="1" si="65"/>
        <v>ON</v>
      </c>
      <c r="Q194" s="1"/>
      <c r="R194" s="20" t="str">
        <f t="shared" ca="1" si="66"/>
        <v>ON</v>
      </c>
      <c r="S194" s="20" t="str">
        <f t="shared" ca="1" si="66"/>
        <v>ON</v>
      </c>
      <c r="T194" s="1" t="str">
        <f t="shared" ca="1" si="67"/>
        <v>ON</v>
      </c>
      <c r="U194" s="1" t="str">
        <f t="shared" ca="1" si="68"/>
        <v>ON</v>
      </c>
      <c r="V194" s="1" t="str">
        <f t="shared" ca="1" si="69"/>
        <v>OFF</v>
      </c>
      <c r="W194" s="1" t="str">
        <f t="shared" ca="1" si="70"/>
        <v>ON</v>
      </c>
      <c r="X194" s="1"/>
      <c r="Y194" s="20" t="str">
        <f t="shared" ca="1" si="71"/>
        <v>ON</v>
      </c>
      <c r="Z194" s="20" t="str">
        <f t="shared" ca="1" si="71"/>
        <v>ON</v>
      </c>
      <c r="AA194" s="1" t="str">
        <f t="shared" ca="1" si="72"/>
        <v>ON</v>
      </c>
      <c r="AB194" s="1" t="str">
        <f t="shared" ca="1" si="73"/>
        <v>ON</v>
      </c>
      <c r="AC194" s="1" t="str">
        <f t="shared" ca="1" si="74"/>
        <v>ON</v>
      </c>
      <c r="AD194" s="1" t="str">
        <f t="shared" ca="1" si="75"/>
        <v>ON</v>
      </c>
      <c r="AE194" s="1"/>
      <c r="AF194" s="20" t="str">
        <f t="shared" ca="1" si="76"/>
        <v>ON</v>
      </c>
      <c r="AG194" s="20" t="str">
        <f t="shared" ca="1" si="76"/>
        <v>ON</v>
      </c>
      <c r="AH194" s="1" t="str">
        <f t="shared" ca="1" si="77"/>
        <v>ON</v>
      </c>
      <c r="AI194" s="1" t="str">
        <f t="shared" ca="1" si="78"/>
        <v>ON</v>
      </c>
      <c r="AJ194" s="1" t="str">
        <f t="shared" ca="1" si="79"/>
        <v>OFF</v>
      </c>
      <c r="AK194" s="1" t="str">
        <f t="shared" ca="1" si="80"/>
        <v>ON</v>
      </c>
      <c r="AL194" s="1"/>
      <c r="AM194" s="20" t="str">
        <f t="shared" si="81"/>
        <v>ON</v>
      </c>
      <c r="AN194" s="20" t="str">
        <f t="shared" si="81"/>
        <v>ON</v>
      </c>
      <c r="AO194" s="20" t="str">
        <f t="shared" si="82"/>
        <v>ON</v>
      </c>
    </row>
    <row r="195" spans="1:41">
      <c r="A195" t="str">
        <f t="shared" ca="1" si="56"/>
        <v>Lagos</v>
      </c>
      <c r="B195" t="str">
        <f t="shared" ca="1" si="57"/>
        <v>E</v>
      </c>
      <c r="C195" t="str">
        <f t="shared" ca="1" si="58"/>
        <v>B1</v>
      </c>
      <c r="D195" t="s">
        <v>4</v>
      </c>
      <c r="E195">
        <f t="shared" ca="1" si="59"/>
        <v>25</v>
      </c>
      <c r="F195">
        <f t="shared" ca="1" si="60"/>
        <v>2</v>
      </c>
      <c r="G195" t="str">
        <v>B</v>
      </c>
      <c r="H195" t="str">
        <v>B</v>
      </c>
      <c r="I195" t="str">
        <f ca="1">IF($A195="","",IF(COUNTA($K$2:$P$2)=6,"WK "&amp;_xlfn.ISOWEEKNUM($K$2)))</f>
        <v>WK 18</v>
      </c>
      <c r="J195" t="str">
        <f ca="1">IF($A195="","",IF(COUNTA($Y$2:$AD$2)=6,"WK "&amp;_xlfn.ISOWEEKNUM($Y$2)))</f>
        <v>WK 20</v>
      </c>
      <c r="K195" s="20" t="str">
        <f t="shared" ca="1" si="61"/>
        <v>ON</v>
      </c>
      <c r="L195" s="20" t="str">
        <f t="shared" ca="1" si="61"/>
        <v>ON</v>
      </c>
      <c r="M195" s="1" t="str">
        <f t="shared" ca="1" si="62"/>
        <v>ON</v>
      </c>
      <c r="N195" s="1" t="str">
        <f t="shared" ca="1" si="63"/>
        <v>OFF</v>
      </c>
      <c r="O195" s="1" t="str">
        <f t="shared" ca="1" si="64"/>
        <v>ON</v>
      </c>
      <c r="P195" s="1" t="str">
        <f t="shared" ca="1" si="65"/>
        <v>ON</v>
      </c>
      <c r="Q195" s="1"/>
      <c r="R195" s="20" t="str">
        <f t="shared" ca="1" si="66"/>
        <v>ON</v>
      </c>
      <c r="S195" s="20" t="str">
        <f t="shared" ca="1" si="66"/>
        <v>ON</v>
      </c>
      <c r="T195" s="1" t="str">
        <f t="shared" ca="1" si="67"/>
        <v>ON</v>
      </c>
      <c r="U195" s="1" t="str">
        <f t="shared" ca="1" si="68"/>
        <v>ON</v>
      </c>
      <c r="V195" s="1" t="str">
        <f t="shared" ca="1" si="69"/>
        <v>ON</v>
      </c>
      <c r="W195" s="1" t="str">
        <f t="shared" ca="1" si="70"/>
        <v>ON</v>
      </c>
      <c r="X195" s="1"/>
      <c r="Y195" s="20" t="str">
        <f t="shared" ca="1" si="71"/>
        <v>ON</v>
      </c>
      <c r="Z195" s="20" t="str">
        <f t="shared" ca="1" si="71"/>
        <v>ON</v>
      </c>
      <c r="AA195" s="1" t="str">
        <f t="shared" ca="1" si="72"/>
        <v>ON</v>
      </c>
      <c r="AB195" s="1" t="str">
        <f t="shared" ca="1" si="73"/>
        <v>OFF</v>
      </c>
      <c r="AC195" s="1" t="str">
        <f t="shared" ca="1" si="74"/>
        <v>ON</v>
      </c>
      <c r="AD195" s="1" t="str">
        <f t="shared" ca="1" si="75"/>
        <v>ON</v>
      </c>
      <c r="AE195" s="1"/>
      <c r="AF195" s="20" t="str">
        <f t="shared" ca="1" si="76"/>
        <v>ON</v>
      </c>
      <c r="AG195" s="20" t="str">
        <f t="shared" ca="1" si="76"/>
        <v>ON</v>
      </c>
      <c r="AH195" s="1" t="str">
        <f t="shared" ca="1" si="77"/>
        <v>ON</v>
      </c>
      <c r="AI195" s="1" t="str">
        <f t="shared" ca="1" si="78"/>
        <v>ON</v>
      </c>
      <c r="AJ195" s="1" t="str">
        <f t="shared" ca="1" si="79"/>
        <v>ON</v>
      </c>
      <c r="AK195" s="1" t="str">
        <f t="shared" ca="1" si="80"/>
        <v>ON</v>
      </c>
      <c r="AL195" s="1"/>
      <c r="AM195" s="20" t="str">
        <f t="shared" si="81"/>
        <v>ON</v>
      </c>
      <c r="AN195" s="20" t="str">
        <f t="shared" si="81"/>
        <v>ON</v>
      </c>
      <c r="AO195" s="20" t="str">
        <f t="shared" si="82"/>
        <v>ON</v>
      </c>
    </row>
    <row r="196" spans="1:41">
      <c r="A196" t="str">
        <f t="shared" ca="1" si="56"/>
        <v>Ondo</v>
      </c>
      <c r="B196" t="str">
        <f t="shared" ca="1" si="57"/>
        <v>C</v>
      </c>
      <c r="C196" t="str">
        <f t="shared" ca="1" si="58"/>
        <v>B1</v>
      </c>
      <c r="D196" t="s">
        <v>4</v>
      </c>
      <c r="E196">
        <f t="shared" ca="1" si="59"/>
        <v>25</v>
      </c>
      <c r="F196">
        <f t="shared" ca="1" si="60"/>
        <v>2</v>
      </c>
      <c r="G196" t="str">
        <v>A</v>
      </c>
      <c r="H196" t="str">
        <v>A</v>
      </c>
      <c r="I196" t="str">
        <f ca="1">IF($A196="","",IF(COUNTA($R$2:$W$2)=6,"WK "&amp;_xlfn.ISOWEEKNUM($R$2)))</f>
        <v>WK 19</v>
      </c>
      <c r="J196" t="str">
        <f ca="1">IF($A196="","",IF(COUNTA($AF$2:$AK$2)=6,"WK "&amp;_xlfn.ISOWEEKNUM($AF$2)))</f>
        <v>WK 21</v>
      </c>
      <c r="K196" s="20" t="str">
        <f t="shared" ca="1" si="61"/>
        <v>ON</v>
      </c>
      <c r="L196" s="20" t="str">
        <f t="shared" ca="1" si="61"/>
        <v>ON</v>
      </c>
      <c r="M196" s="1" t="str">
        <f t="shared" ca="1" si="62"/>
        <v>ON</v>
      </c>
      <c r="N196" s="1" t="str">
        <f t="shared" ca="1" si="63"/>
        <v>ON</v>
      </c>
      <c r="O196" s="1" t="str">
        <f t="shared" ca="1" si="64"/>
        <v>ON</v>
      </c>
      <c r="P196" s="1" t="str">
        <f t="shared" ca="1" si="65"/>
        <v>ON</v>
      </c>
      <c r="Q196" s="1"/>
      <c r="R196" s="20" t="str">
        <f t="shared" ca="1" si="66"/>
        <v>ON</v>
      </c>
      <c r="S196" s="20" t="str">
        <f t="shared" ca="1" si="66"/>
        <v>ON</v>
      </c>
      <c r="T196" s="1" t="str">
        <f t="shared" ca="1" si="67"/>
        <v>OFF</v>
      </c>
      <c r="U196" s="1" t="str">
        <f t="shared" ca="1" si="68"/>
        <v>ON</v>
      </c>
      <c r="V196" s="1" t="str">
        <f t="shared" ca="1" si="69"/>
        <v>ON</v>
      </c>
      <c r="W196" s="1" t="str">
        <f t="shared" ca="1" si="70"/>
        <v>ON</v>
      </c>
      <c r="X196" s="1"/>
      <c r="Y196" s="20" t="str">
        <f t="shared" ca="1" si="71"/>
        <v>ON</v>
      </c>
      <c r="Z196" s="20" t="str">
        <f t="shared" ca="1" si="71"/>
        <v>ON</v>
      </c>
      <c r="AA196" s="1" t="str">
        <f t="shared" ca="1" si="72"/>
        <v>ON</v>
      </c>
      <c r="AB196" s="1" t="str">
        <f t="shared" ca="1" si="73"/>
        <v>ON</v>
      </c>
      <c r="AC196" s="1" t="str">
        <f t="shared" ca="1" si="74"/>
        <v>ON</v>
      </c>
      <c r="AD196" s="1" t="str">
        <f t="shared" ca="1" si="75"/>
        <v>ON</v>
      </c>
      <c r="AE196" s="1"/>
      <c r="AF196" s="20" t="str">
        <f t="shared" ca="1" si="76"/>
        <v>ON</v>
      </c>
      <c r="AG196" s="20" t="str">
        <f t="shared" ca="1" si="76"/>
        <v>ON</v>
      </c>
      <c r="AH196" s="1" t="str">
        <f t="shared" ca="1" si="77"/>
        <v>OFF</v>
      </c>
      <c r="AI196" s="1" t="str">
        <f t="shared" ca="1" si="78"/>
        <v>ON</v>
      </c>
      <c r="AJ196" s="1" t="str">
        <f t="shared" ca="1" si="79"/>
        <v>ON</v>
      </c>
      <c r="AK196" s="1" t="str">
        <f t="shared" ca="1" si="80"/>
        <v>ON</v>
      </c>
      <c r="AL196" s="1"/>
      <c r="AM196" s="20" t="str">
        <f t="shared" si="81"/>
        <v>ON</v>
      </c>
      <c r="AN196" s="20" t="str">
        <f t="shared" si="81"/>
        <v>ON</v>
      </c>
      <c r="AO196" s="20" t="str">
        <f t="shared" si="82"/>
        <v>ON</v>
      </c>
    </row>
    <row r="197" spans="1:41">
      <c r="A197" t="str">
        <f t="shared" ca="1" si="56"/>
        <v>Ogun</v>
      </c>
      <c r="B197" t="str">
        <f t="shared" ca="1" si="57"/>
        <v>C</v>
      </c>
      <c r="C197" t="str">
        <f t="shared" ca="1" si="58"/>
        <v>A1</v>
      </c>
      <c r="D197" t="s">
        <v>4</v>
      </c>
      <c r="E197">
        <f t="shared" ca="1" si="59"/>
        <v>25</v>
      </c>
      <c r="F197">
        <f t="shared" ca="1" si="60"/>
        <v>2</v>
      </c>
      <c r="G197" t="str" cm="1">
        <f t="array" ref="G197:G200">Groups!$B$2:$B$5</f>
        <v>A</v>
      </c>
      <c r="H197" t="str" cm="1">
        <f t="array" ref="H197:H200">Groups!$B$2:$B$5</f>
        <v>A</v>
      </c>
      <c r="I197" t="str">
        <f ca="1">IF($A197="","",IF(COUNTA($K$2:$P$2)=6,"WK "&amp;_xlfn.ISOWEEKNUM($K$2)))</f>
        <v>WK 18</v>
      </c>
      <c r="J197" t="str">
        <f ca="1">IF($A197="","",IF(COUNTA($Y$2:$AD$2)=6,"WK "&amp;_xlfn.ISOWEEKNUM($Y$2)))</f>
        <v>WK 20</v>
      </c>
      <c r="K197" s="20" t="str">
        <f t="shared" ca="1" si="61"/>
        <v>ON</v>
      </c>
      <c r="L197" s="20" t="str">
        <f t="shared" ca="1" si="61"/>
        <v>ON</v>
      </c>
      <c r="M197" s="1" t="str">
        <f t="shared" ca="1" si="62"/>
        <v>OFF</v>
      </c>
      <c r="N197" s="1" t="str">
        <f t="shared" ca="1" si="63"/>
        <v>ON</v>
      </c>
      <c r="O197" s="1" t="str">
        <f t="shared" ca="1" si="64"/>
        <v>ON</v>
      </c>
      <c r="P197" s="1" t="str">
        <f t="shared" ca="1" si="65"/>
        <v>ON</v>
      </c>
      <c r="Q197" s="1"/>
      <c r="R197" s="20" t="str">
        <f t="shared" ca="1" si="66"/>
        <v>ON</v>
      </c>
      <c r="S197" s="20" t="str">
        <f t="shared" ca="1" si="66"/>
        <v>ON</v>
      </c>
      <c r="T197" s="1" t="str">
        <f t="shared" ca="1" si="67"/>
        <v>ON</v>
      </c>
      <c r="U197" s="1" t="str">
        <f t="shared" ca="1" si="68"/>
        <v>ON</v>
      </c>
      <c r="V197" s="1" t="str">
        <f t="shared" ca="1" si="69"/>
        <v>ON</v>
      </c>
      <c r="W197" s="1" t="str">
        <f t="shared" ca="1" si="70"/>
        <v>ON</v>
      </c>
      <c r="X197" s="1"/>
      <c r="Y197" s="20" t="str">
        <f t="shared" ca="1" si="71"/>
        <v>ON</v>
      </c>
      <c r="Z197" s="20" t="str">
        <f t="shared" ca="1" si="71"/>
        <v>ON</v>
      </c>
      <c r="AA197" s="1" t="str">
        <f t="shared" ca="1" si="72"/>
        <v>OFF</v>
      </c>
      <c r="AB197" s="1" t="str">
        <f t="shared" ca="1" si="73"/>
        <v>ON</v>
      </c>
      <c r="AC197" s="1" t="str">
        <f t="shared" ca="1" si="74"/>
        <v>ON</v>
      </c>
      <c r="AD197" s="1" t="str">
        <f t="shared" ca="1" si="75"/>
        <v>ON</v>
      </c>
      <c r="AE197" s="1"/>
      <c r="AF197" s="20" t="str">
        <f t="shared" ca="1" si="76"/>
        <v>ON</v>
      </c>
      <c r="AG197" s="20" t="str">
        <f t="shared" ca="1" si="76"/>
        <v>ON</v>
      </c>
      <c r="AH197" s="1" t="str">
        <f t="shared" ca="1" si="77"/>
        <v>ON</v>
      </c>
      <c r="AI197" s="1" t="str">
        <f t="shared" ca="1" si="78"/>
        <v>ON</v>
      </c>
      <c r="AJ197" s="1" t="str">
        <f t="shared" ca="1" si="79"/>
        <v>ON</v>
      </c>
      <c r="AK197" s="1" t="str">
        <f t="shared" ca="1" si="80"/>
        <v>ON</v>
      </c>
      <c r="AL197" s="1"/>
      <c r="AM197" s="20" t="str">
        <f t="shared" si="81"/>
        <v>ON</v>
      </c>
      <c r="AN197" s="20" t="str">
        <f t="shared" si="81"/>
        <v>ON</v>
      </c>
      <c r="AO197" s="20" t="str">
        <f t="shared" si="82"/>
        <v>ON</v>
      </c>
    </row>
    <row r="198" spans="1:41">
      <c r="A198" t="str">
        <f t="shared" ref="A198:A261" ca="1" si="83">CHOOSE(RANDBETWEEN(1,5),"Lagos","Ogun","Ondo","Oyo","Ekiti")</f>
        <v>Ogun</v>
      </c>
      <c r="B198" t="str">
        <f t="shared" ref="B198:B261" ca="1" si="84">CHOOSE(RANDBETWEEN(1,5),"A","B","C","D","E")</f>
        <v>D</v>
      </c>
      <c r="C198" t="str">
        <f t="shared" ref="C198:C261" ca="1" si="85">CHOOSE(RANDBETWEEN(1,5),"A1","B1","C1","D1","E1")</f>
        <v>E1</v>
      </c>
      <c r="D198" t="s">
        <v>4</v>
      </c>
      <c r="E198">
        <f t="shared" ref="E198:E261" ca="1" si="86">COUNTIF(K198:AO198, "ON")</f>
        <v>25</v>
      </c>
      <c r="F198">
        <f t="shared" ref="F198:F261" ca="1" si="87">COUNTIF(K198:AO198, "OFF")</f>
        <v>2</v>
      </c>
      <c r="G198" t="str">
        <v>B</v>
      </c>
      <c r="H198" t="str">
        <v>B</v>
      </c>
      <c r="I198" t="str">
        <f ca="1">IF($A198="","",IF(COUNTA($R$2:$W$2)=6,"WK "&amp;_xlfn.ISOWEEKNUM($R$2)))</f>
        <v>WK 19</v>
      </c>
      <c r="J198" t="str">
        <f ca="1">IF($A198="","",IF(COUNTA($AF$2:$AK$2)=6,"WK "&amp;_xlfn.ISOWEEKNUM($AF$2)))</f>
        <v>WK 21</v>
      </c>
      <c r="K198" s="20" t="str">
        <f t="shared" ref="K198:L261" ca="1" si="88">IF($A198="","",IF(COUNTA($K$2:$AO$2)-4,IF(OR(K$4="Mon",K$4="Tue"),$E$1,$D$1)))</f>
        <v>ON</v>
      </c>
      <c r="L198" s="20" t="str">
        <f t="shared" ca="1" si="88"/>
        <v>ON</v>
      </c>
      <c r="M198" s="1" t="str">
        <f t="shared" ref="M198:M261" ca="1" si="89">IF($A198="","",IF(COUNTA($K$2:$AO$2)-4,IF(OR(M$4&lt;&gt;"Mon",M$4&lt;&gt;"Tue"),IF(AND($G198="A",$H198="A",$I198="WK "&amp;_xlfn.ISOWEEKNUM($K$2)),$D$1,$E$1))))</f>
        <v>ON</v>
      </c>
      <c r="N198" s="1" t="str">
        <f t="shared" ref="N198:N261" ca="1" si="90">IF($A198="","",IF(COUNTA($K$2:$AO$2)-4,IF(OR(N$4&lt;&gt;"Mon",N$4&lt;&gt;"Tue"),IF(AND($G198="B",$H198="B",$I198="WK "&amp;_xlfn.ISOWEEKNUM($K$2)),$D$1,$E$1))))</f>
        <v>ON</v>
      </c>
      <c r="O198" s="1" t="str">
        <f t="shared" ref="O198:O261" ca="1" si="91">IF($A198="","",IF(COUNTA($K$2:$AO$2)-4,IF(OR(O$4&lt;&gt;"Mon",O$4&lt;&gt;"Tue"),IF(AND($G198="C",$H198="C",$I198="WK "&amp;_xlfn.ISOWEEKNUM($K$2)),$D$1,$E$1))))</f>
        <v>ON</v>
      </c>
      <c r="P198" s="1" t="str">
        <f t="shared" ref="P198:P261" ca="1" si="92">IF($A198="","",IF(COUNTA($K$2:$AO$2)-4,IF(OR(P$4&lt;&gt;"Mon",P$4&lt;&gt;"Tue"),IF(AND($G198="D",$H198="D",$I198="WK "&amp;_xlfn.ISOWEEKNUM($K$2)),$D$1,$E$1))))</f>
        <v>ON</v>
      </c>
      <c r="Q198" s="1"/>
      <c r="R198" s="20" t="str">
        <f t="shared" ref="R198:S261" ca="1" si="93">IF($A198="","",IF(COUNTA($K$2:$AO$2)-4,IF(OR(R$4="Mon",R$4="Tue"),$E$1,$D$1)))</f>
        <v>ON</v>
      </c>
      <c r="S198" s="20" t="str">
        <f t="shared" ca="1" si="93"/>
        <v>ON</v>
      </c>
      <c r="T198" s="1" t="str">
        <f t="shared" ref="T198:T261" ca="1" si="94">IF($A198="","",IF(COUNTA($K$2:$AO$2)-4,IF(OR(T$4&lt;&gt;"Mon",T$4&lt;&gt;"Tue"),IF(AND($G198="A",$H198="A",$I198="WK "&amp;_xlfn.ISOWEEKNUM($R$2)),$D$1,$E$1))))</f>
        <v>ON</v>
      </c>
      <c r="U198" s="1" t="str">
        <f t="shared" ref="U198:U261" ca="1" si="95">IF($A198="","",IF(COUNTA($K$2:$AO$2)-4,IF(OR(U$4&lt;&gt;"Mon",U$4&lt;&gt;"Tue"),IF(AND($G198="B",$H198="B",$I198="WK "&amp;_xlfn.ISOWEEKNUM($R$2)),$D$1,$E$1))))</f>
        <v>OFF</v>
      </c>
      <c r="V198" s="1" t="str">
        <f t="shared" ref="V198:V261" ca="1" si="96">IF($A198="","",IF(COUNTA($K$2:$AO$2)-4,IF(OR(V$4&lt;&gt;"Mon",V$4&lt;&gt;"Tue"),IF(AND($G198="C",$H198="C",$I198="WK "&amp;_xlfn.ISOWEEKNUM($R$2)),$D$1,$E$1))))</f>
        <v>ON</v>
      </c>
      <c r="W198" s="1" t="str">
        <f t="shared" ref="W198:W261" ca="1" si="97">IF($A198="","",IF(COUNTA($K$2:$AO$2)-4,IF(OR(W$4&lt;&gt;"Mon",W$4&lt;&gt;"Tue"),IF(AND($G198="D",$H198="D",$I198="WK "&amp;_xlfn.ISOWEEKNUM($R$2)),$D$1,$E$1))))</f>
        <v>ON</v>
      </c>
      <c r="X198" s="1"/>
      <c r="Y198" s="20" t="str">
        <f t="shared" ref="Y198:Z261" ca="1" si="98">IF($A198="","",IF(COUNTA($K$2:$AO$2)-4,IF(OR(Y$4="Mon",Y$4="Tue"),$E$1,$D$1)))</f>
        <v>ON</v>
      </c>
      <c r="Z198" s="20" t="str">
        <f t="shared" ca="1" si="98"/>
        <v>ON</v>
      </c>
      <c r="AA198" s="1" t="str">
        <f t="shared" ref="AA198:AA261" ca="1" si="99">IF($A198="","",IF(COUNTA($K$2:$AO$2)-4,IF(OR(AA$4&lt;&gt;"Mon",AA$4&lt;&gt;"Tue"),IF(AND($G198="A",$H198="A",$J198="WK "&amp;_xlfn.ISOWEEKNUM($Y$2)),$D$1,$E$1))))</f>
        <v>ON</v>
      </c>
      <c r="AB198" s="1" t="str">
        <f t="shared" ref="AB198:AB261" ca="1" si="100">IF($A198="","",IF(COUNTA($K$2:$AO$2)-4,IF(OR(AB$4&lt;&gt;"Mon",AB$4&lt;&gt;"Tue"),IF(AND($G198="B",$H198="B",$J198="WK "&amp;_xlfn.ISOWEEKNUM($Y$2)),$D$1,$E$1))))</f>
        <v>ON</v>
      </c>
      <c r="AC198" s="1" t="str">
        <f t="shared" ref="AC198:AC261" ca="1" si="101">IF($A198="","",IF(COUNTA($K$2:$AO$2)-4,IF(OR(AC$4&lt;&gt;"Mon",AC$4&lt;&gt;"Tue"),IF(AND($G198="C",$H198="C",$J198="WK "&amp;_xlfn.ISOWEEKNUM($Y$2)),$D$1,$E$1))))</f>
        <v>ON</v>
      </c>
      <c r="AD198" s="1" t="str">
        <f t="shared" ref="AD198:AD261" ca="1" si="102">IF($A198="","",IF(COUNTA($K$2:$AO$2)-4,IF(OR(AD$4&lt;&gt;"Mon",AD$4&lt;&gt;"Tue"),IF(AND($G198="D",$H198="D",$J198="WK "&amp;_xlfn.ISOWEEKNUM($Y$2)),$D$1,$E$1))))</f>
        <v>ON</v>
      </c>
      <c r="AE198" s="1"/>
      <c r="AF198" s="20" t="str">
        <f t="shared" ref="AF198:AG261" ca="1" si="103">IF($A198="","",IF(COUNTA($K$2:$AO$2)-4,IF(OR(AF$4="Mon",AF$4="Tue"),$E$1,$D$1)))</f>
        <v>ON</v>
      </c>
      <c r="AG198" s="20" t="str">
        <f t="shared" ca="1" si="103"/>
        <v>ON</v>
      </c>
      <c r="AH198" s="1" t="str">
        <f t="shared" ref="AH198:AH261" ca="1" si="104">IF($A198="","",IF(COUNTA($K$2:$AO$2)-4,IF(OR(AH$4&lt;&gt;"Mon",AH$4&lt;&gt;"Tue"),IF(AND($G198="A",$H198="A",$J198="WK "&amp;_xlfn.ISOWEEKNUM($AF$2)),$D$1,$E$1))))</f>
        <v>ON</v>
      </c>
      <c r="AI198" s="1" t="str">
        <f t="shared" ref="AI198:AI261" ca="1" si="105">IF($A198="","",IF(COUNTA($K$2:$AO$2)-4,IF(OR(AI$4&lt;&gt;"Mon",AI$4&lt;&gt;"Tue"),IF(AND($G198="B",$H198="B",$J198="WK "&amp;_xlfn.ISOWEEKNUM($AF$2)),$D$1,$E$1))))</f>
        <v>OFF</v>
      </c>
      <c r="AJ198" s="1" t="str">
        <f t="shared" ref="AJ198:AJ261" ca="1" si="106">IF($A198="","",IF(COUNTA($K$2:$AO$2)-4,IF(OR(AJ$4&lt;&gt;"Mon",AJ$4&lt;&gt;"Tue"),IF(AND($G198="C",$H198="C",$J198="WK "&amp;_xlfn.ISOWEEKNUM($AF$2)),$D$1,$E$1))))</f>
        <v>ON</v>
      </c>
      <c r="AK198" s="1" t="str">
        <f t="shared" ref="AK198:AK261" ca="1" si="107">IF($A198="","",IF(COUNTA($K$2:$AO$2)-4,IF(OR(AK$4&lt;&gt;"Mon",AK$4&lt;&gt;"Tue"),IF(AND($G198="D",$H198="D",$J198="WK "&amp;_xlfn.ISOWEEKNUM($AF$2)),$D$1,$E$1))))</f>
        <v>ON</v>
      </c>
      <c r="AL198" s="1"/>
      <c r="AM198" s="20" t="str">
        <f t="shared" ref="AM198:AN261" si="108">IF(COUNTA($K$2:$AO$2)-4,IF(OR(AM$4="Mon",AM$4="Tue"),$E$1,$D$1))</f>
        <v>ON</v>
      </c>
      <c r="AN198" s="20" t="str">
        <f t="shared" si="108"/>
        <v>ON</v>
      </c>
      <c r="AO198" s="20" t="str">
        <f t="shared" ref="AO198:AO261" si="109">IF(COUNTA($K$2:$AO$2)-4,IF(OR(AO$4="Mon",AO$4="Tue",AO$4="Wed"),$E$1,$D$1))</f>
        <v>ON</v>
      </c>
    </row>
    <row r="199" spans="1:41">
      <c r="A199" t="str">
        <f t="shared" ca="1" si="83"/>
        <v>Ogun</v>
      </c>
      <c r="B199" t="str">
        <f t="shared" ca="1" si="84"/>
        <v>A</v>
      </c>
      <c r="C199" t="str">
        <f t="shared" ca="1" si="85"/>
        <v>A1</v>
      </c>
      <c r="D199" t="s">
        <v>4</v>
      </c>
      <c r="E199">
        <f t="shared" ca="1" si="86"/>
        <v>25</v>
      </c>
      <c r="F199">
        <f t="shared" ca="1" si="87"/>
        <v>2</v>
      </c>
      <c r="G199" t="str">
        <v>C</v>
      </c>
      <c r="H199" t="str">
        <v>C</v>
      </c>
      <c r="I199" t="str">
        <f ca="1">IF($A199="","",IF(COUNTA($K$2:$P$2)=6,"WK "&amp;_xlfn.ISOWEEKNUM($K$2)))</f>
        <v>WK 18</v>
      </c>
      <c r="J199" t="str">
        <f ca="1">IF($A199="","",IF(COUNTA($Y$2:$AD$2)=6,"WK "&amp;_xlfn.ISOWEEKNUM($Y$2)))</f>
        <v>WK 20</v>
      </c>
      <c r="K199" s="20" t="str">
        <f t="shared" ca="1" si="88"/>
        <v>ON</v>
      </c>
      <c r="L199" s="20" t="str">
        <f t="shared" ca="1" si="88"/>
        <v>ON</v>
      </c>
      <c r="M199" s="1" t="str">
        <f t="shared" ca="1" si="89"/>
        <v>ON</v>
      </c>
      <c r="N199" s="1" t="str">
        <f t="shared" ca="1" si="90"/>
        <v>ON</v>
      </c>
      <c r="O199" s="1" t="str">
        <f t="shared" ca="1" si="91"/>
        <v>OFF</v>
      </c>
      <c r="P199" s="1" t="str">
        <f t="shared" ca="1" si="92"/>
        <v>ON</v>
      </c>
      <c r="Q199" s="1"/>
      <c r="R199" s="20" t="str">
        <f t="shared" ca="1" si="93"/>
        <v>ON</v>
      </c>
      <c r="S199" s="20" t="str">
        <f t="shared" ca="1" si="93"/>
        <v>ON</v>
      </c>
      <c r="T199" s="1" t="str">
        <f t="shared" ca="1" si="94"/>
        <v>ON</v>
      </c>
      <c r="U199" s="1" t="str">
        <f t="shared" ca="1" si="95"/>
        <v>ON</v>
      </c>
      <c r="V199" s="1" t="str">
        <f t="shared" ca="1" si="96"/>
        <v>ON</v>
      </c>
      <c r="W199" s="1" t="str">
        <f t="shared" ca="1" si="97"/>
        <v>ON</v>
      </c>
      <c r="X199" s="1"/>
      <c r="Y199" s="20" t="str">
        <f t="shared" ca="1" si="98"/>
        <v>ON</v>
      </c>
      <c r="Z199" s="20" t="str">
        <f t="shared" ca="1" si="98"/>
        <v>ON</v>
      </c>
      <c r="AA199" s="1" t="str">
        <f t="shared" ca="1" si="99"/>
        <v>ON</v>
      </c>
      <c r="AB199" s="1" t="str">
        <f t="shared" ca="1" si="100"/>
        <v>ON</v>
      </c>
      <c r="AC199" s="1" t="str">
        <f t="shared" ca="1" si="101"/>
        <v>OFF</v>
      </c>
      <c r="AD199" s="1" t="str">
        <f t="shared" ca="1" si="102"/>
        <v>ON</v>
      </c>
      <c r="AE199" s="1"/>
      <c r="AF199" s="20" t="str">
        <f t="shared" ca="1" si="103"/>
        <v>ON</v>
      </c>
      <c r="AG199" s="20" t="str">
        <f t="shared" ca="1" si="103"/>
        <v>ON</v>
      </c>
      <c r="AH199" s="1" t="str">
        <f t="shared" ca="1" si="104"/>
        <v>ON</v>
      </c>
      <c r="AI199" s="1" t="str">
        <f t="shared" ca="1" si="105"/>
        <v>ON</v>
      </c>
      <c r="AJ199" s="1" t="str">
        <f t="shared" ca="1" si="106"/>
        <v>ON</v>
      </c>
      <c r="AK199" s="1" t="str">
        <f t="shared" ca="1" si="107"/>
        <v>ON</v>
      </c>
      <c r="AL199" s="1"/>
      <c r="AM199" s="20" t="str">
        <f t="shared" si="108"/>
        <v>ON</v>
      </c>
      <c r="AN199" s="20" t="str">
        <f t="shared" si="108"/>
        <v>ON</v>
      </c>
      <c r="AO199" s="20" t="str">
        <f t="shared" si="109"/>
        <v>ON</v>
      </c>
    </row>
    <row r="200" spans="1:41">
      <c r="A200" t="str">
        <f t="shared" ca="1" si="83"/>
        <v>Oyo</v>
      </c>
      <c r="B200" t="str">
        <f t="shared" ca="1" si="84"/>
        <v>E</v>
      </c>
      <c r="C200" t="str">
        <f t="shared" ca="1" si="85"/>
        <v>A1</v>
      </c>
      <c r="D200" t="s">
        <v>5</v>
      </c>
      <c r="E200">
        <f t="shared" ca="1" si="86"/>
        <v>25</v>
      </c>
      <c r="F200">
        <f t="shared" ca="1" si="87"/>
        <v>2</v>
      </c>
      <c r="G200" t="str">
        <v>D</v>
      </c>
      <c r="H200" t="str">
        <v>D</v>
      </c>
      <c r="I200" t="str">
        <f ca="1">IF($A200="","",IF(COUNTA($R$2:$W$2)=6,"WK "&amp;_xlfn.ISOWEEKNUM($R$2)))</f>
        <v>WK 19</v>
      </c>
      <c r="J200" t="str">
        <f ca="1">IF($A200="","",IF(COUNTA($AF$2:$AK$2)=6,"WK "&amp;_xlfn.ISOWEEKNUM($AF$2)))</f>
        <v>WK 21</v>
      </c>
      <c r="K200" s="20" t="str">
        <f t="shared" ca="1" si="88"/>
        <v>ON</v>
      </c>
      <c r="L200" s="20" t="str">
        <f t="shared" ca="1" si="88"/>
        <v>ON</v>
      </c>
      <c r="M200" s="1" t="str">
        <f t="shared" ca="1" si="89"/>
        <v>ON</v>
      </c>
      <c r="N200" s="1" t="str">
        <f t="shared" ca="1" si="90"/>
        <v>ON</v>
      </c>
      <c r="O200" s="1" t="str">
        <f t="shared" ca="1" si="91"/>
        <v>ON</v>
      </c>
      <c r="P200" s="1" t="str">
        <f t="shared" ca="1" si="92"/>
        <v>ON</v>
      </c>
      <c r="Q200" s="1"/>
      <c r="R200" s="20" t="str">
        <f t="shared" ca="1" si="93"/>
        <v>ON</v>
      </c>
      <c r="S200" s="20" t="str">
        <f t="shared" ca="1" si="93"/>
        <v>ON</v>
      </c>
      <c r="T200" s="1" t="str">
        <f t="shared" ca="1" si="94"/>
        <v>ON</v>
      </c>
      <c r="U200" s="1" t="str">
        <f t="shared" ca="1" si="95"/>
        <v>ON</v>
      </c>
      <c r="V200" s="1" t="str">
        <f t="shared" ca="1" si="96"/>
        <v>ON</v>
      </c>
      <c r="W200" s="1" t="str">
        <f t="shared" ca="1" si="97"/>
        <v>OFF</v>
      </c>
      <c r="X200" s="1"/>
      <c r="Y200" s="20" t="str">
        <f t="shared" ca="1" si="98"/>
        <v>ON</v>
      </c>
      <c r="Z200" s="20" t="str">
        <f t="shared" ca="1" si="98"/>
        <v>ON</v>
      </c>
      <c r="AA200" s="1" t="str">
        <f t="shared" ca="1" si="99"/>
        <v>ON</v>
      </c>
      <c r="AB200" s="1" t="str">
        <f t="shared" ca="1" si="100"/>
        <v>ON</v>
      </c>
      <c r="AC200" s="1" t="str">
        <f t="shared" ca="1" si="101"/>
        <v>ON</v>
      </c>
      <c r="AD200" s="1" t="str">
        <f t="shared" ca="1" si="102"/>
        <v>ON</v>
      </c>
      <c r="AE200" s="1"/>
      <c r="AF200" s="20" t="str">
        <f t="shared" ca="1" si="103"/>
        <v>ON</v>
      </c>
      <c r="AG200" s="20" t="str">
        <f t="shared" ca="1" si="103"/>
        <v>ON</v>
      </c>
      <c r="AH200" s="1" t="str">
        <f t="shared" ca="1" si="104"/>
        <v>ON</v>
      </c>
      <c r="AI200" s="1" t="str">
        <f t="shared" ca="1" si="105"/>
        <v>ON</v>
      </c>
      <c r="AJ200" s="1" t="str">
        <f t="shared" ca="1" si="106"/>
        <v>ON</v>
      </c>
      <c r="AK200" s="1" t="str">
        <f t="shared" ca="1" si="107"/>
        <v>OFF</v>
      </c>
      <c r="AL200" s="1"/>
      <c r="AM200" s="20" t="str">
        <f t="shared" si="108"/>
        <v>ON</v>
      </c>
      <c r="AN200" s="20" t="str">
        <f t="shared" si="108"/>
        <v>ON</v>
      </c>
      <c r="AO200" s="20" t="str">
        <f t="shared" si="109"/>
        <v>ON</v>
      </c>
    </row>
    <row r="201" spans="1:41">
      <c r="A201" t="str">
        <f t="shared" ca="1" si="83"/>
        <v>Lagos</v>
      </c>
      <c r="B201" t="str">
        <f t="shared" ca="1" si="84"/>
        <v>E</v>
      </c>
      <c r="C201" t="str">
        <f t="shared" ca="1" si="85"/>
        <v>D1</v>
      </c>
      <c r="D201" t="s">
        <v>5</v>
      </c>
      <c r="E201">
        <f t="shared" ca="1" si="86"/>
        <v>25</v>
      </c>
      <c r="F201">
        <f t="shared" ca="1" si="87"/>
        <v>2</v>
      </c>
      <c r="G201" t="str" cm="1">
        <f t="array" ref="G201:G204">IF($G$5:$G$8={"A";"B";"C";"D"},{"D";"C";"B";"A"},{"A";"B";"C";"D"})</f>
        <v>D</v>
      </c>
      <c r="H201" t="str" cm="1">
        <f t="array" ref="H201:H204">IF($H$5:$H$8={"A";"B";"C";"D"},{"D";"C";"B";"A"},{"A";"B";"C";"D"})</f>
        <v>D</v>
      </c>
      <c r="I201" t="str">
        <f ca="1">IF($A201="","",IF(COUNTA($K$2:$P$2)=6,"WK "&amp;_xlfn.ISOWEEKNUM($K$2)))</f>
        <v>WK 18</v>
      </c>
      <c r="J201" t="str">
        <f ca="1">IF($A201="","",IF(COUNTA($Y$2:$AD$2)=6,"WK "&amp;_xlfn.ISOWEEKNUM($Y$2)))</f>
        <v>WK 20</v>
      </c>
      <c r="K201" s="20" t="str">
        <f t="shared" ca="1" si="88"/>
        <v>ON</v>
      </c>
      <c r="L201" s="20" t="str">
        <f t="shared" ca="1" si="88"/>
        <v>ON</v>
      </c>
      <c r="M201" s="1" t="str">
        <f t="shared" ca="1" si="89"/>
        <v>ON</v>
      </c>
      <c r="N201" s="1" t="str">
        <f t="shared" ca="1" si="90"/>
        <v>ON</v>
      </c>
      <c r="O201" s="1" t="str">
        <f t="shared" ca="1" si="91"/>
        <v>ON</v>
      </c>
      <c r="P201" s="1" t="str">
        <f t="shared" ca="1" si="92"/>
        <v>OFF</v>
      </c>
      <c r="Q201" s="1"/>
      <c r="R201" s="20" t="str">
        <f t="shared" ca="1" si="93"/>
        <v>ON</v>
      </c>
      <c r="S201" s="20" t="str">
        <f t="shared" ca="1" si="93"/>
        <v>ON</v>
      </c>
      <c r="T201" s="1" t="str">
        <f t="shared" ca="1" si="94"/>
        <v>ON</v>
      </c>
      <c r="U201" s="1" t="str">
        <f t="shared" ca="1" si="95"/>
        <v>ON</v>
      </c>
      <c r="V201" s="1" t="str">
        <f t="shared" ca="1" si="96"/>
        <v>ON</v>
      </c>
      <c r="W201" s="1" t="str">
        <f t="shared" ca="1" si="97"/>
        <v>ON</v>
      </c>
      <c r="X201" s="1"/>
      <c r="Y201" s="20" t="str">
        <f t="shared" ca="1" si="98"/>
        <v>ON</v>
      </c>
      <c r="Z201" s="20" t="str">
        <f t="shared" ca="1" si="98"/>
        <v>ON</v>
      </c>
      <c r="AA201" s="1" t="str">
        <f t="shared" ca="1" si="99"/>
        <v>ON</v>
      </c>
      <c r="AB201" s="1" t="str">
        <f t="shared" ca="1" si="100"/>
        <v>ON</v>
      </c>
      <c r="AC201" s="1" t="str">
        <f t="shared" ca="1" si="101"/>
        <v>ON</v>
      </c>
      <c r="AD201" s="1" t="str">
        <f t="shared" ca="1" si="102"/>
        <v>OFF</v>
      </c>
      <c r="AE201" s="1"/>
      <c r="AF201" s="20" t="str">
        <f t="shared" ca="1" si="103"/>
        <v>ON</v>
      </c>
      <c r="AG201" s="20" t="str">
        <f t="shared" ca="1" si="103"/>
        <v>ON</v>
      </c>
      <c r="AH201" s="1" t="str">
        <f t="shared" ca="1" si="104"/>
        <v>ON</v>
      </c>
      <c r="AI201" s="1" t="str">
        <f t="shared" ca="1" si="105"/>
        <v>ON</v>
      </c>
      <c r="AJ201" s="1" t="str">
        <f t="shared" ca="1" si="106"/>
        <v>ON</v>
      </c>
      <c r="AK201" s="1" t="str">
        <f t="shared" ca="1" si="107"/>
        <v>ON</v>
      </c>
      <c r="AL201" s="1"/>
      <c r="AM201" s="20" t="str">
        <f t="shared" si="108"/>
        <v>ON</v>
      </c>
      <c r="AN201" s="20" t="str">
        <f t="shared" si="108"/>
        <v>ON</v>
      </c>
      <c r="AO201" s="20" t="str">
        <f t="shared" si="109"/>
        <v>ON</v>
      </c>
    </row>
    <row r="202" spans="1:41">
      <c r="A202" t="str">
        <f t="shared" ca="1" si="83"/>
        <v>Ogun</v>
      </c>
      <c r="B202" t="str">
        <f t="shared" ca="1" si="84"/>
        <v>C</v>
      </c>
      <c r="C202" t="str">
        <f t="shared" ca="1" si="85"/>
        <v>B1</v>
      </c>
      <c r="D202" t="s">
        <v>8</v>
      </c>
      <c r="E202">
        <f t="shared" ca="1" si="86"/>
        <v>25</v>
      </c>
      <c r="F202">
        <f t="shared" ca="1" si="87"/>
        <v>2</v>
      </c>
      <c r="G202" t="str">
        <v>C</v>
      </c>
      <c r="H202" t="str">
        <v>C</v>
      </c>
      <c r="I202" t="str">
        <f ca="1">IF($A202="","",IF(COUNTA($R$2:$W$2)=6,"WK "&amp;_xlfn.ISOWEEKNUM($R$2)))</f>
        <v>WK 19</v>
      </c>
      <c r="J202" t="str">
        <f ca="1">IF($A202="","",IF(COUNTA($AF$2:$AK$2)=6,"WK "&amp;_xlfn.ISOWEEKNUM($AF$2)))</f>
        <v>WK 21</v>
      </c>
      <c r="K202" s="20" t="str">
        <f t="shared" ca="1" si="88"/>
        <v>ON</v>
      </c>
      <c r="L202" s="20" t="str">
        <f t="shared" ca="1" si="88"/>
        <v>ON</v>
      </c>
      <c r="M202" s="1" t="str">
        <f t="shared" ca="1" si="89"/>
        <v>ON</v>
      </c>
      <c r="N202" s="1" t="str">
        <f t="shared" ca="1" si="90"/>
        <v>ON</v>
      </c>
      <c r="O202" s="1" t="str">
        <f t="shared" ca="1" si="91"/>
        <v>ON</v>
      </c>
      <c r="P202" s="1" t="str">
        <f t="shared" ca="1" si="92"/>
        <v>ON</v>
      </c>
      <c r="Q202" s="1"/>
      <c r="R202" s="20" t="str">
        <f t="shared" ca="1" si="93"/>
        <v>ON</v>
      </c>
      <c r="S202" s="20" t="str">
        <f t="shared" ca="1" si="93"/>
        <v>ON</v>
      </c>
      <c r="T202" s="1" t="str">
        <f t="shared" ca="1" si="94"/>
        <v>ON</v>
      </c>
      <c r="U202" s="1" t="str">
        <f t="shared" ca="1" si="95"/>
        <v>ON</v>
      </c>
      <c r="V202" s="1" t="str">
        <f t="shared" ca="1" si="96"/>
        <v>OFF</v>
      </c>
      <c r="W202" s="1" t="str">
        <f t="shared" ca="1" si="97"/>
        <v>ON</v>
      </c>
      <c r="X202" s="1"/>
      <c r="Y202" s="20" t="str">
        <f t="shared" ca="1" si="98"/>
        <v>ON</v>
      </c>
      <c r="Z202" s="20" t="str">
        <f t="shared" ca="1" si="98"/>
        <v>ON</v>
      </c>
      <c r="AA202" s="1" t="str">
        <f t="shared" ca="1" si="99"/>
        <v>ON</v>
      </c>
      <c r="AB202" s="1" t="str">
        <f t="shared" ca="1" si="100"/>
        <v>ON</v>
      </c>
      <c r="AC202" s="1" t="str">
        <f t="shared" ca="1" si="101"/>
        <v>ON</v>
      </c>
      <c r="AD202" s="1" t="str">
        <f t="shared" ca="1" si="102"/>
        <v>ON</v>
      </c>
      <c r="AE202" s="1"/>
      <c r="AF202" s="20" t="str">
        <f t="shared" ca="1" si="103"/>
        <v>ON</v>
      </c>
      <c r="AG202" s="20" t="str">
        <f t="shared" ca="1" si="103"/>
        <v>ON</v>
      </c>
      <c r="AH202" s="1" t="str">
        <f t="shared" ca="1" si="104"/>
        <v>ON</v>
      </c>
      <c r="AI202" s="1" t="str">
        <f t="shared" ca="1" si="105"/>
        <v>ON</v>
      </c>
      <c r="AJ202" s="1" t="str">
        <f t="shared" ca="1" si="106"/>
        <v>OFF</v>
      </c>
      <c r="AK202" s="1" t="str">
        <f t="shared" ca="1" si="107"/>
        <v>ON</v>
      </c>
      <c r="AL202" s="1"/>
      <c r="AM202" s="20" t="str">
        <f t="shared" si="108"/>
        <v>ON</v>
      </c>
      <c r="AN202" s="20" t="str">
        <f t="shared" si="108"/>
        <v>ON</v>
      </c>
      <c r="AO202" s="20" t="str">
        <f t="shared" si="109"/>
        <v>ON</v>
      </c>
    </row>
    <row r="203" spans="1:41">
      <c r="A203" t="str">
        <f t="shared" ca="1" si="83"/>
        <v>Ekiti</v>
      </c>
      <c r="B203" t="str">
        <f t="shared" ca="1" si="84"/>
        <v>D</v>
      </c>
      <c r="C203" t="str">
        <f t="shared" ca="1" si="85"/>
        <v>B1</v>
      </c>
      <c r="D203" t="s">
        <v>7</v>
      </c>
      <c r="E203">
        <f t="shared" ca="1" si="86"/>
        <v>25</v>
      </c>
      <c r="F203">
        <f t="shared" ca="1" si="87"/>
        <v>2</v>
      </c>
      <c r="G203" t="str">
        <v>B</v>
      </c>
      <c r="H203" t="str">
        <v>B</v>
      </c>
      <c r="I203" t="str">
        <f ca="1">IF($A203="","",IF(COUNTA($K$2:$P$2)=6,"WK "&amp;_xlfn.ISOWEEKNUM($K$2)))</f>
        <v>WK 18</v>
      </c>
      <c r="J203" t="str">
        <f ca="1">IF($A203="","",IF(COUNTA($Y$2:$AD$2)=6,"WK "&amp;_xlfn.ISOWEEKNUM($Y$2)))</f>
        <v>WK 20</v>
      </c>
      <c r="K203" s="20" t="str">
        <f t="shared" ca="1" si="88"/>
        <v>ON</v>
      </c>
      <c r="L203" s="20" t="str">
        <f t="shared" ca="1" si="88"/>
        <v>ON</v>
      </c>
      <c r="M203" s="1" t="str">
        <f t="shared" ca="1" si="89"/>
        <v>ON</v>
      </c>
      <c r="N203" s="1" t="str">
        <f t="shared" ca="1" si="90"/>
        <v>OFF</v>
      </c>
      <c r="O203" s="1" t="str">
        <f t="shared" ca="1" si="91"/>
        <v>ON</v>
      </c>
      <c r="P203" s="1" t="str">
        <f t="shared" ca="1" si="92"/>
        <v>ON</v>
      </c>
      <c r="Q203" s="1"/>
      <c r="R203" s="20" t="str">
        <f t="shared" ca="1" si="93"/>
        <v>ON</v>
      </c>
      <c r="S203" s="20" t="str">
        <f t="shared" ca="1" si="93"/>
        <v>ON</v>
      </c>
      <c r="T203" s="1" t="str">
        <f t="shared" ca="1" si="94"/>
        <v>ON</v>
      </c>
      <c r="U203" s="1" t="str">
        <f t="shared" ca="1" si="95"/>
        <v>ON</v>
      </c>
      <c r="V203" s="1" t="str">
        <f t="shared" ca="1" si="96"/>
        <v>ON</v>
      </c>
      <c r="W203" s="1" t="str">
        <f t="shared" ca="1" si="97"/>
        <v>ON</v>
      </c>
      <c r="X203" s="1"/>
      <c r="Y203" s="20" t="str">
        <f t="shared" ca="1" si="98"/>
        <v>ON</v>
      </c>
      <c r="Z203" s="20" t="str">
        <f t="shared" ca="1" si="98"/>
        <v>ON</v>
      </c>
      <c r="AA203" s="1" t="str">
        <f t="shared" ca="1" si="99"/>
        <v>ON</v>
      </c>
      <c r="AB203" s="1" t="str">
        <f t="shared" ca="1" si="100"/>
        <v>OFF</v>
      </c>
      <c r="AC203" s="1" t="str">
        <f t="shared" ca="1" si="101"/>
        <v>ON</v>
      </c>
      <c r="AD203" s="1" t="str">
        <f t="shared" ca="1" si="102"/>
        <v>ON</v>
      </c>
      <c r="AE203" s="1"/>
      <c r="AF203" s="20" t="str">
        <f t="shared" ca="1" si="103"/>
        <v>ON</v>
      </c>
      <c r="AG203" s="20" t="str">
        <f t="shared" ca="1" si="103"/>
        <v>ON</v>
      </c>
      <c r="AH203" s="1" t="str">
        <f t="shared" ca="1" si="104"/>
        <v>ON</v>
      </c>
      <c r="AI203" s="1" t="str">
        <f t="shared" ca="1" si="105"/>
        <v>ON</v>
      </c>
      <c r="AJ203" s="1" t="str">
        <f t="shared" ca="1" si="106"/>
        <v>ON</v>
      </c>
      <c r="AK203" s="1" t="str">
        <f t="shared" ca="1" si="107"/>
        <v>ON</v>
      </c>
      <c r="AL203" s="1"/>
      <c r="AM203" s="20" t="str">
        <f t="shared" si="108"/>
        <v>ON</v>
      </c>
      <c r="AN203" s="20" t="str">
        <f t="shared" si="108"/>
        <v>ON</v>
      </c>
      <c r="AO203" s="20" t="str">
        <f t="shared" si="109"/>
        <v>ON</v>
      </c>
    </row>
    <row r="204" spans="1:41">
      <c r="A204" t="str">
        <f t="shared" ca="1" si="83"/>
        <v>Ekiti</v>
      </c>
      <c r="B204" t="str">
        <f t="shared" ca="1" si="84"/>
        <v>C</v>
      </c>
      <c r="C204" t="str">
        <f t="shared" ca="1" si="85"/>
        <v>E1</v>
      </c>
      <c r="D204" t="s">
        <v>7</v>
      </c>
      <c r="E204">
        <f t="shared" ca="1" si="86"/>
        <v>25</v>
      </c>
      <c r="F204">
        <f t="shared" ca="1" si="87"/>
        <v>2</v>
      </c>
      <c r="G204" t="str">
        <v>A</v>
      </c>
      <c r="H204" t="str">
        <v>A</v>
      </c>
      <c r="I204" t="str">
        <f ca="1">IF($A204="","",IF(COUNTA($R$2:$W$2)=6,"WK "&amp;_xlfn.ISOWEEKNUM($R$2)))</f>
        <v>WK 19</v>
      </c>
      <c r="J204" t="str">
        <f ca="1">IF($A204="","",IF(COUNTA($AF$2:$AK$2)=6,"WK "&amp;_xlfn.ISOWEEKNUM($AF$2)))</f>
        <v>WK 21</v>
      </c>
      <c r="K204" s="20" t="str">
        <f t="shared" ca="1" si="88"/>
        <v>ON</v>
      </c>
      <c r="L204" s="20" t="str">
        <f t="shared" ca="1" si="88"/>
        <v>ON</v>
      </c>
      <c r="M204" s="1" t="str">
        <f t="shared" ca="1" si="89"/>
        <v>ON</v>
      </c>
      <c r="N204" s="1" t="str">
        <f t="shared" ca="1" si="90"/>
        <v>ON</v>
      </c>
      <c r="O204" s="1" t="str">
        <f t="shared" ca="1" si="91"/>
        <v>ON</v>
      </c>
      <c r="P204" s="1" t="str">
        <f t="shared" ca="1" si="92"/>
        <v>ON</v>
      </c>
      <c r="Q204" s="1"/>
      <c r="R204" s="20" t="str">
        <f t="shared" ca="1" si="93"/>
        <v>ON</v>
      </c>
      <c r="S204" s="20" t="str">
        <f t="shared" ca="1" si="93"/>
        <v>ON</v>
      </c>
      <c r="T204" s="1" t="str">
        <f t="shared" ca="1" si="94"/>
        <v>OFF</v>
      </c>
      <c r="U204" s="1" t="str">
        <f t="shared" ca="1" si="95"/>
        <v>ON</v>
      </c>
      <c r="V204" s="1" t="str">
        <f t="shared" ca="1" si="96"/>
        <v>ON</v>
      </c>
      <c r="W204" s="1" t="str">
        <f t="shared" ca="1" si="97"/>
        <v>ON</v>
      </c>
      <c r="X204" s="1"/>
      <c r="Y204" s="20" t="str">
        <f t="shared" ca="1" si="98"/>
        <v>ON</v>
      </c>
      <c r="Z204" s="20" t="str">
        <f t="shared" ca="1" si="98"/>
        <v>ON</v>
      </c>
      <c r="AA204" s="1" t="str">
        <f t="shared" ca="1" si="99"/>
        <v>ON</v>
      </c>
      <c r="AB204" s="1" t="str">
        <f t="shared" ca="1" si="100"/>
        <v>ON</v>
      </c>
      <c r="AC204" s="1" t="str">
        <f t="shared" ca="1" si="101"/>
        <v>ON</v>
      </c>
      <c r="AD204" s="1" t="str">
        <f t="shared" ca="1" si="102"/>
        <v>ON</v>
      </c>
      <c r="AE204" s="1"/>
      <c r="AF204" s="20" t="str">
        <f t="shared" ca="1" si="103"/>
        <v>ON</v>
      </c>
      <c r="AG204" s="20" t="str">
        <f t="shared" ca="1" si="103"/>
        <v>ON</v>
      </c>
      <c r="AH204" s="1" t="str">
        <f t="shared" ca="1" si="104"/>
        <v>OFF</v>
      </c>
      <c r="AI204" s="1" t="str">
        <f t="shared" ca="1" si="105"/>
        <v>ON</v>
      </c>
      <c r="AJ204" s="1" t="str">
        <f t="shared" ca="1" si="106"/>
        <v>ON</v>
      </c>
      <c r="AK204" s="1" t="str">
        <f t="shared" ca="1" si="107"/>
        <v>ON</v>
      </c>
      <c r="AL204" s="1"/>
      <c r="AM204" s="20" t="str">
        <f t="shared" si="108"/>
        <v>ON</v>
      </c>
      <c r="AN204" s="20" t="str">
        <f t="shared" si="108"/>
        <v>ON</v>
      </c>
      <c r="AO204" s="20" t="str">
        <f t="shared" si="109"/>
        <v>ON</v>
      </c>
    </row>
    <row r="205" spans="1:41">
      <c r="A205" t="str">
        <f t="shared" ca="1" si="83"/>
        <v>Lagos</v>
      </c>
      <c r="B205" t="str">
        <f t="shared" ca="1" si="84"/>
        <v>A</v>
      </c>
      <c r="C205" t="str">
        <f t="shared" ca="1" si="85"/>
        <v>E1</v>
      </c>
      <c r="D205" t="s">
        <v>4</v>
      </c>
      <c r="E205">
        <f t="shared" ca="1" si="86"/>
        <v>25</v>
      </c>
      <c r="F205">
        <f t="shared" ca="1" si="87"/>
        <v>2</v>
      </c>
      <c r="G205" t="str" cm="1">
        <f t="array" ref="G205:G208">Groups!$B$2:$B$5</f>
        <v>A</v>
      </c>
      <c r="H205" t="str" cm="1">
        <f t="array" ref="H205:H208">Groups!$B$2:$B$5</f>
        <v>A</v>
      </c>
      <c r="I205" t="str">
        <f ca="1">IF($A205="","",IF(COUNTA($K$2:$P$2)=6,"WK "&amp;_xlfn.ISOWEEKNUM($K$2)))</f>
        <v>WK 18</v>
      </c>
      <c r="J205" t="str">
        <f ca="1">IF($A205="","",IF(COUNTA($Y$2:$AD$2)=6,"WK "&amp;_xlfn.ISOWEEKNUM($Y$2)))</f>
        <v>WK 20</v>
      </c>
      <c r="K205" s="20" t="str">
        <f t="shared" ca="1" si="88"/>
        <v>ON</v>
      </c>
      <c r="L205" s="20" t="str">
        <f t="shared" ca="1" si="88"/>
        <v>ON</v>
      </c>
      <c r="M205" s="1" t="str">
        <f t="shared" ca="1" si="89"/>
        <v>OFF</v>
      </c>
      <c r="N205" s="1" t="str">
        <f t="shared" ca="1" si="90"/>
        <v>ON</v>
      </c>
      <c r="O205" s="1" t="str">
        <f t="shared" ca="1" si="91"/>
        <v>ON</v>
      </c>
      <c r="P205" s="1" t="str">
        <f t="shared" ca="1" si="92"/>
        <v>ON</v>
      </c>
      <c r="Q205" s="1"/>
      <c r="R205" s="20" t="str">
        <f t="shared" ca="1" si="93"/>
        <v>ON</v>
      </c>
      <c r="S205" s="20" t="str">
        <f t="shared" ca="1" si="93"/>
        <v>ON</v>
      </c>
      <c r="T205" s="1" t="str">
        <f t="shared" ca="1" si="94"/>
        <v>ON</v>
      </c>
      <c r="U205" s="1" t="str">
        <f t="shared" ca="1" si="95"/>
        <v>ON</v>
      </c>
      <c r="V205" s="1" t="str">
        <f t="shared" ca="1" si="96"/>
        <v>ON</v>
      </c>
      <c r="W205" s="1" t="str">
        <f t="shared" ca="1" si="97"/>
        <v>ON</v>
      </c>
      <c r="X205" s="1"/>
      <c r="Y205" s="20" t="str">
        <f t="shared" ca="1" si="98"/>
        <v>ON</v>
      </c>
      <c r="Z205" s="20" t="str">
        <f t="shared" ca="1" si="98"/>
        <v>ON</v>
      </c>
      <c r="AA205" s="1" t="str">
        <f t="shared" ca="1" si="99"/>
        <v>OFF</v>
      </c>
      <c r="AB205" s="1" t="str">
        <f t="shared" ca="1" si="100"/>
        <v>ON</v>
      </c>
      <c r="AC205" s="1" t="str">
        <f t="shared" ca="1" si="101"/>
        <v>ON</v>
      </c>
      <c r="AD205" s="1" t="str">
        <f t="shared" ca="1" si="102"/>
        <v>ON</v>
      </c>
      <c r="AE205" s="1"/>
      <c r="AF205" s="20" t="str">
        <f t="shared" ca="1" si="103"/>
        <v>ON</v>
      </c>
      <c r="AG205" s="20" t="str">
        <f t="shared" ca="1" si="103"/>
        <v>ON</v>
      </c>
      <c r="AH205" s="1" t="str">
        <f t="shared" ca="1" si="104"/>
        <v>ON</v>
      </c>
      <c r="AI205" s="1" t="str">
        <f t="shared" ca="1" si="105"/>
        <v>ON</v>
      </c>
      <c r="AJ205" s="1" t="str">
        <f t="shared" ca="1" si="106"/>
        <v>ON</v>
      </c>
      <c r="AK205" s="1" t="str">
        <f t="shared" ca="1" si="107"/>
        <v>ON</v>
      </c>
      <c r="AL205" s="1"/>
      <c r="AM205" s="20" t="str">
        <f t="shared" si="108"/>
        <v>ON</v>
      </c>
      <c r="AN205" s="20" t="str">
        <f t="shared" si="108"/>
        <v>ON</v>
      </c>
      <c r="AO205" s="20" t="str">
        <f t="shared" si="109"/>
        <v>ON</v>
      </c>
    </row>
    <row r="206" spans="1:41">
      <c r="A206" t="str">
        <f t="shared" ca="1" si="83"/>
        <v>Ogun</v>
      </c>
      <c r="B206" t="str">
        <f t="shared" ca="1" si="84"/>
        <v>C</v>
      </c>
      <c r="C206" t="str">
        <f t="shared" ca="1" si="85"/>
        <v>D1</v>
      </c>
      <c r="D206" t="s">
        <v>4</v>
      </c>
      <c r="E206">
        <f t="shared" ca="1" si="86"/>
        <v>25</v>
      </c>
      <c r="F206">
        <f t="shared" ca="1" si="87"/>
        <v>2</v>
      </c>
      <c r="G206" t="str">
        <v>B</v>
      </c>
      <c r="H206" t="str">
        <v>B</v>
      </c>
      <c r="I206" t="str">
        <f ca="1">IF($A206="","",IF(COUNTA($R$2:$W$2)=6,"WK "&amp;_xlfn.ISOWEEKNUM($R$2)))</f>
        <v>WK 19</v>
      </c>
      <c r="J206" t="str">
        <f ca="1">IF($A206="","",IF(COUNTA($AF$2:$AK$2)=6,"WK "&amp;_xlfn.ISOWEEKNUM($AF$2)))</f>
        <v>WK 21</v>
      </c>
      <c r="K206" s="20" t="str">
        <f t="shared" ca="1" si="88"/>
        <v>ON</v>
      </c>
      <c r="L206" s="20" t="str">
        <f t="shared" ca="1" si="88"/>
        <v>ON</v>
      </c>
      <c r="M206" s="1" t="str">
        <f t="shared" ca="1" si="89"/>
        <v>ON</v>
      </c>
      <c r="N206" s="1" t="str">
        <f t="shared" ca="1" si="90"/>
        <v>ON</v>
      </c>
      <c r="O206" s="1" t="str">
        <f t="shared" ca="1" si="91"/>
        <v>ON</v>
      </c>
      <c r="P206" s="1" t="str">
        <f t="shared" ca="1" si="92"/>
        <v>ON</v>
      </c>
      <c r="Q206" s="1"/>
      <c r="R206" s="20" t="str">
        <f t="shared" ca="1" si="93"/>
        <v>ON</v>
      </c>
      <c r="S206" s="20" t="str">
        <f t="shared" ca="1" si="93"/>
        <v>ON</v>
      </c>
      <c r="T206" s="1" t="str">
        <f t="shared" ca="1" si="94"/>
        <v>ON</v>
      </c>
      <c r="U206" s="1" t="str">
        <f t="shared" ca="1" si="95"/>
        <v>OFF</v>
      </c>
      <c r="V206" s="1" t="str">
        <f t="shared" ca="1" si="96"/>
        <v>ON</v>
      </c>
      <c r="W206" s="1" t="str">
        <f t="shared" ca="1" si="97"/>
        <v>ON</v>
      </c>
      <c r="X206" s="1"/>
      <c r="Y206" s="20" t="str">
        <f t="shared" ca="1" si="98"/>
        <v>ON</v>
      </c>
      <c r="Z206" s="20" t="str">
        <f t="shared" ca="1" si="98"/>
        <v>ON</v>
      </c>
      <c r="AA206" s="1" t="str">
        <f t="shared" ca="1" si="99"/>
        <v>ON</v>
      </c>
      <c r="AB206" s="1" t="str">
        <f t="shared" ca="1" si="100"/>
        <v>ON</v>
      </c>
      <c r="AC206" s="1" t="str">
        <f t="shared" ca="1" si="101"/>
        <v>ON</v>
      </c>
      <c r="AD206" s="1" t="str">
        <f t="shared" ca="1" si="102"/>
        <v>ON</v>
      </c>
      <c r="AE206" s="1"/>
      <c r="AF206" s="20" t="str">
        <f t="shared" ca="1" si="103"/>
        <v>ON</v>
      </c>
      <c r="AG206" s="20" t="str">
        <f t="shared" ca="1" si="103"/>
        <v>ON</v>
      </c>
      <c r="AH206" s="1" t="str">
        <f t="shared" ca="1" si="104"/>
        <v>ON</v>
      </c>
      <c r="AI206" s="1" t="str">
        <f t="shared" ca="1" si="105"/>
        <v>OFF</v>
      </c>
      <c r="AJ206" s="1" t="str">
        <f t="shared" ca="1" si="106"/>
        <v>ON</v>
      </c>
      <c r="AK206" s="1" t="str">
        <f t="shared" ca="1" si="107"/>
        <v>ON</v>
      </c>
      <c r="AL206" s="1"/>
      <c r="AM206" s="20" t="str">
        <f t="shared" si="108"/>
        <v>ON</v>
      </c>
      <c r="AN206" s="20" t="str">
        <f t="shared" si="108"/>
        <v>ON</v>
      </c>
      <c r="AO206" s="20" t="str">
        <f t="shared" si="109"/>
        <v>ON</v>
      </c>
    </row>
    <row r="207" spans="1:41">
      <c r="A207" t="str">
        <f t="shared" ca="1" si="83"/>
        <v>Lagos</v>
      </c>
      <c r="B207" t="str">
        <f t="shared" ca="1" si="84"/>
        <v>C</v>
      </c>
      <c r="C207" t="str">
        <f t="shared" ca="1" si="85"/>
        <v>E1</v>
      </c>
      <c r="D207" t="s">
        <v>4</v>
      </c>
      <c r="E207">
        <f t="shared" ca="1" si="86"/>
        <v>25</v>
      </c>
      <c r="F207">
        <f t="shared" ca="1" si="87"/>
        <v>2</v>
      </c>
      <c r="G207" t="str">
        <v>C</v>
      </c>
      <c r="H207" t="str">
        <v>C</v>
      </c>
      <c r="I207" t="str">
        <f ca="1">IF($A207="","",IF(COUNTA($K$2:$P$2)=6,"WK "&amp;_xlfn.ISOWEEKNUM($K$2)))</f>
        <v>WK 18</v>
      </c>
      <c r="J207" t="str">
        <f ca="1">IF($A207="","",IF(COUNTA($Y$2:$AD$2)=6,"WK "&amp;_xlfn.ISOWEEKNUM($Y$2)))</f>
        <v>WK 20</v>
      </c>
      <c r="K207" s="20" t="str">
        <f t="shared" ca="1" si="88"/>
        <v>ON</v>
      </c>
      <c r="L207" s="20" t="str">
        <f t="shared" ca="1" si="88"/>
        <v>ON</v>
      </c>
      <c r="M207" s="1" t="str">
        <f t="shared" ca="1" si="89"/>
        <v>ON</v>
      </c>
      <c r="N207" s="1" t="str">
        <f t="shared" ca="1" si="90"/>
        <v>ON</v>
      </c>
      <c r="O207" s="1" t="str">
        <f t="shared" ca="1" si="91"/>
        <v>OFF</v>
      </c>
      <c r="P207" s="1" t="str">
        <f t="shared" ca="1" si="92"/>
        <v>ON</v>
      </c>
      <c r="Q207" s="1"/>
      <c r="R207" s="20" t="str">
        <f t="shared" ca="1" si="93"/>
        <v>ON</v>
      </c>
      <c r="S207" s="20" t="str">
        <f t="shared" ca="1" si="93"/>
        <v>ON</v>
      </c>
      <c r="T207" s="1" t="str">
        <f t="shared" ca="1" si="94"/>
        <v>ON</v>
      </c>
      <c r="U207" s="1" t="str">
        <f t="shared" ca="1" si="95"/>
        <v>ON</v>
      </c>
      <c r="V207" s="1" t="str">
        <f t="shared" ca="1" si="96"/>
        <v>ON</v>
      </c>
      <c r="W207" s="1" t="str">
        <f t="shared" ca="1" si="97"/>
        <v>ON</v>
      </c>
      <c r="X207" s="1"/>
      <c r="Y207" s="20" t="str">
        <f t="shared" ca="1" si="98"/>
        <v>ON</v>
      </c>
      <c r="Z207" s="20" t="str">
        <f t="shared" ca="1" si="98"/>
        <v>ON</v>
      </c>
      <c r="AA207" s="1" t="str">
        <f t="shared" ca="1" si="99"/>
        <v>ON</v>
      </c>
      <c r="AB207" s="1" t="str">
        <f t="shared" ca="1" si="100"/>
        <v>ON</v>
      </c>
      <c r="AC207" s="1" t="str">
        <f t="shared" ca="1" si="101"/>
        <v>OFF</v>
      </c>
      <c r="AD207" s="1" t="str">
        <f t="shared" ca="1" si="102"/>
        <v>ON</v>
      </c>
      <c r="AE207" s="1"/>
      <c r="AF207" s="20" t="str">
        <f t="shared" ca="1" si="103"/>
        <v>ON</v>
      </c>
      <c r="AG207" s="20" t="str">
        <f t="shared" ca="1" si="103"/>
        <v>ON</v>
      </c>
      <c r="AH207" s="1" t="str">
        <f t="shared" ca="1" si="104"/>
        <v>ON</v>
      </c>
      <c r="AI207" s="1" t="str">
        <f t="shared" ca="1" si="105"/>
        <v>ON</v>
      </c>
      <c r="AJ207" s="1" t="str">
        <f t="shared" ca="1" si="106"/>
        <v>ON</v>
      </c>
      <c r="AK207" s="1" t="str">
        <f t="shared" ca="1" si="107"/>
        <v>ON</v>
      </c>
      <c r="AL207" s="1"/>
      <c r="AM207" s="20" t="str">
        <f t="shared" si="108"/>
        <v>ON</v>
      </c>
      <c r="AN207" s="20" t="str">
        <f t="shared" si="108"/>
        <v>ON</v>
      </c>
      <c r="AO207" s="20" t="str">
        <f t="shared" si="109"/>
        <v>ON</v>
      </c>
    </row>
    <row r="208" spans="1:41">
      <c r="A208" t="str">
        <f t="shared" ca="1" si="83"/>
        <v>Oyo</v>
      </c>
      <c r="B208" t="str">
        <f t="shared" ca="1" si="84"/>
        <v>C</v>
      </c>
      <c r="C208" t="str">
        <f t="shared" ca="1" si="85"/>
        <v>A1</v>
      </c>
      <c r="D208" t="s">
        <v>4</v>
      </c>
      <c r="E208">
        <f t="shared" ca="1" si="86"/>
        <v>25</v>
      </c>
      <c r="F208">
        <f t="shared" ca="1" si="87"/>
        <v>2</v>
      </c>
      <c r="G208" t="str">
        <v>D</v>
      </c>
      <c r="H208" t="str">
        <v>D</v>
      </c>
      <c r="I208" t="str">
        <f ca="1">IF($A208="","",IF(COUNTA($R$2:$W$2)=6,"WK "&amp;_xlfn.ISOWEEKNUM($R$2)))</f>
        <v>WK 19</v>
      </c>
      <c r="J208" t="str">
        <f ca="1">IF($A208="","",IF(COUNTA($AF$2:$AK$2)=6,"WK "&amp;_xlfn.ISOWEEKNUM($AF$2)))</f>
        <v>WK 21</v>
      </c>
      <c r="K208" s="20" t="str">
        <f t="shared" ca="1" si="88"/>
        <v>ON</v>
      </c>
      <c r="L208" s="20" t="str">
        <f t="shared" ca="1" si="88"/>
        <v>ON</v>
      </c>
      <c r="M208" s="1" t="str">
        <f t="shared" ca="1" si="89"/>
        <v>ON</v>
      </c>
      <c r="N208" s="1" t="str">
        <f t="shared" ca="1" si="90"/>
        <v>ON</v>
      </c>
      <c r="O208" s="1" t="str">
        <f t="shared" ca="1" si="91"/>
        <v>ON</v>
      </c>
      <c r="P208" s="1" t="str">
        <f t="shared" ca="1" si="92"/>
        <v>ON</v>
      </c>
      <c r="Q208" s="1"/>
      <c r="R208" s="20" t="str">
        <f t="shared" ca="1" si="93"/>
        <v>ON</v>
      </c>
      <c r="S208" s="20" t="str">
        <f t="shared" ca="1" si="93"/>
        <v>ON</v>
      </c>
      <c r="T208" s="1" t="str">
        <f t="shared" ca="1" si="94"/>
        <v>ON</v>
      </c>
      <c r="U208" s="1" t="str">
        <f t="shared" ca="1" si="95"/>
        <v>ON</v>
      </c>
      <c r="V208" s="1" t="str">
        <f t="shared" ca="1" si="96"/>
        <v>ON</v>
      </c>
      <c r="W208" s="1" t="str">
        <f t="shared" ca="1" si="97"/>
        <v>OFF</v>
      </c>
      <c r="X208" s="1"/>
      <c r="Y208" s="20" t="str">
        <f t="shared" ca="1" si="98"/>
        <v>ON</v>
      </c>
      <c r="Z208" s="20" t="str">
        <f t="shared" ca="1" si="98"/>
        <v>ON</v>
      </c>
      <c r="AA208" s="1" t="str">
        <f t="shared" ca="1" si="99"/>
        <v>ON</v>
      </c>
      <c r="AB208" s="1" t="str">
        <f t="shared" ca="1" si="100"/>
        <v>ON</v>
      </c>
      <c r="AC208" s="1" t="str">
        <f t="shared" ca="1" si="101"/>
        <v>ON</v>
      </c>
      <c r="AD208" s="1" t="str">
        <f t="shared" ca="1" si="102"/>
        <v>ON</v>
      </c>
      <c r="AE208" s="1"/>
      <c r="AF208" s="20" t="str">
        <f t="shared" ca="1" si="103"/>
        <v>ON</v>
      </c>
      <c r="AG208" s="20" t="str">
        <f t="shared" ca="1" si="103"/>
        <v>ON</v>
      </c>
      <c r="AH208" s="1" t="str">
        <f t="shared" ca="1" si="104"/>
        <v>ON</v>
      </c>
      <c r="AI208" s="1" t="str">
        <f t="shared" ca="1" si="105"/>
        <v>ON</v>
      </c>
      <c r="AJ208" s="1" t="str">
        <f t="shared" ca="1" si="106"/>
        <v>ON</v>
      </c>
      <c r="AK208" s="1" t="str">
        <f t="shared" ca="1" si="107"/>
        <v>OFF</v>
      </c>
      <c r="AL208" s="1"/>
      <c r="AM208" s="20" t="str">
        <f t="shared" si="108"/>
        <v>ON</v>
      </c>
      <c r="AN208" s="20" t="str">
        <f t="shared" si="108"/>
        <v>ON</v>
      </c>
      <c r="AO208" s="20" t="str">
        <f t="shared" si="109"/>
        <v>ON</v>
      </c>
    </row>
    <row r="209" spans="1:41">
      <c r="A209" t="str">
        <f t="shared" ca="1" si="83"/>
        <v>Lagos</v>
      </c>
      <c r="B209" t="str">
        <f t="shared" ca="1" si="84"/>
        <v>D</v>
      </c>
      <c r="C209" t="str">
        <f t="shared" ca="1" si="85"/>
        <v>E1</v>
      </c>
      <c r="D209" t="s">
        <v>5</v>
      </c>
      <c r="E209">
        <f t="shared" ca="1" si="86"/>
        <v>25</v>
      </c>
      <c r="F209">
        <f t="shared" ca="1" si="87"/>
        <v>2</v>
      </c>
      <c r="G209" t="str" cm="1">
        <f t="array" ref="G209:G212">IF($G$5:$G$8={"A";"B";"C";"D"},{"D";"C";"B";"A"},{"A";"B";"C";"D"})</f>
        <v>D</v>
      </c>
      <c r="H209" t="str" cm="1">
        <f t="array" ref="H209:H212">IF($H$5:$H$8={"A";"B";"C";"D"},{"D";"C";"B";"A"},{"A";"B";"C";"D"})</f>
        <v>D</v>
      </c>
      <c r="I209" t="str">
        <f ca="1">IF($A209="","",IF(COUNTA($K$2:$P$2)=6,"WK "&amp;_xlfn.ISOWEEKNUM($K$2)))</f>
        <v>WK 18</v>
      </c>
      <c r="J209" t="str">
        <f ca="1">IF($A209="","",IF(COUNTA($Y$2:$AD$2)=6,"WK "&amp;_xlfn.ISOWEEKNUM($Y$2)))</f>
        <v>WK 20</v>
      </c>
      <c r="K209" s="20" t="str">
        <f t="shared" ca="1" si="88"/>
        <v>ON</v>
      </c>
      <c r="L209" s="20" t="str">
        <f t="shared" ca="1" si="88"/>
        <v>ON</v>
      </c>
      <c r="M209" s="1" t="str">
        <f t="shared" ca="1" si="89"/>
        <v>ON</v>
      </c>
      <c r="N209" s="1" t="str">
        <f t="shared" ca="1" si="90"/>
        <v>ON</v>
      </c>
      <c r="O209" s="1" t="str">
        <f t="shared" ca="1" si="91"/>
        <v>ON</v>
      </c>
      <c r="P209" s="1" t="str">
        <f t="shared" ca="1" si="92"/>
        <v>OFF</v>
      </c>
      <c r="Q209" s="1"/>
      <c r="R209" s="20" t="str">
        <f t="shared" ca="1" si="93"/>
        <v>ON</v>
      </c>
      <c r="S209" s="20" t="str">
        <f t="shared" ca="1" si="93"/>
        <v>ON</v>
      </c>
      <c r="T209" s="1" t="str">
        <f t="shared" ca="1" si="94"/>
        <v>ON</v>
      </c>
      <c r="U209" s="1" t="str">
        <f t="shared" ca="1" si="95"/>
        <v>ON</v>
      </c>
      <c r="V209" s="1" t="str">
        <f t="shared" ca="1" si="96"/>
        <v>ON</v>
      </c>
      <c r="W209" s="1" t="str">
        <f t="shared" ca="1" si="97"/>
        <v>ON</v>
      </c>
      <c r="X209" s="1"/>
      <c r="Y209" s="20" t="str">
        <f t="shared" ca="1" si="98"/>
        <v>ON</v>
      </c>
      <c r="Z209" s="20" t="str">
        <f t="shared" ca="1" si="98"/>
        <v>ON</v>
      </c>
      <c r="AA209" s="1" t="str">
        <f t="shared" ca="1" si="99"/>
        <v>ON</v>
      </c>
      <c r="AB209" s="1" t="str">
        <f t="shared" ca="1" si="100"/>
        <v>ON</v>
      </c>
      <c r="AC209" s="1" t="str">
        <f t="shared" ca="1" si="101"/>
        <v>ON</v>
      </c>
      <c r="AD209" s="1" t="str">
        <f t="shared" ca="1" si="102"/>
        <v>OFF</v>
      </c>
      <c r="AE209" s="1"/>
      <c r="AF209" s="20" t="str">
        <f t="shared" ca="1" si="103"/>
        <v>ON</v>
      </c>
      <c r="AG209" s="20" t="str">
        <f t="shared" ca="1" si="103"/>
        <v>ON</v>
      </c>
      <c r="AH209" s="1" t="str">
        <f t="shared" ca="1" si="104"/>
        <v>ON</v>
      </c>
      <c r="AI209" s="1" t="str">
        <f t="shared" ca="1" si="105"/>
        <v>ON</v>
      </c>
      <c r="AJ209" s="1" t="str">
        <f t="shared" ca="1" si="106"/>
        <v>ON</v>
      </c>
      <c r="AK209" s="1" t="str">
        <f t="shared" ca="1" si="107"/>
        <v>ON</v>
      </c>
      <c r="AL209" s="1"/>
      <c r="AM209" s="20" t="str">
        <f t="shared" si="108"/>
        <v>ON</v>
      </c>
      <c r="AN209" s="20" t="str">
        <f t="shared" si="108"/>
        <v>ON</v>
      </c>
      <c r="AO209" s="20" t="str">
        <f t="shared" si="109"/>
        <v>ON</v>
      </c>
    </row>
    <row r="210" spans="1:41">
      <c r="A210" t="str">
        <f t="shared" ca="1" si="83"/>
        <v>Ondo</v>
      </c>
      <c r="B210" t="str">
        <f t="shared" ca="1" si="84"/>
        <v>A</v>
      </c>
      <c r="C210" t="str">
        <f t="shared" ca="1" si="85"/>
        <v>E1</v>
      </c>
      <c r="D210" t="s">
        <v>4</v>
      </c>
      <c r="E210">
        <f t="shared" ca="1" si="86"/>
        <v>25</v>
      </c>
      <c r="F210">
        <f t="shared" ca="1" si="87"/>
        <v>2</v>
      </c>
      <c r="G210" t="str">
        <v>C</v>
      </c>
      <c r="H210" t="str">
        <v>C</v>
      </c>
      <c r="I210" t="str">
        <f ca="1">IF($A210="","",IF(COUNTA($R$2:$W$2)=6,"WK "&amp;_xlfn.ISOWEEKNUM($R$2)))</f>
        <v>WK 19</v>
      </c>
      <c r="J210" t="str">
        <f ca="1">IF($A210="","",IF(COUNTA($AF$2:$AK$2)=6,"WK "&amp;_xlfn.ISOWEEKNUM($AF$2)))</f>
        <v>WK 21</v>
      </c>
      <c r="K210" s="20" t="str">
        <f t="shared" ca="1" si="88"/>
        <v>ON</v>
      </c>
      <c r="L210" s="20" t="str">
        <f t="shared" ca="1" si="88"/>
        <v>ON</v>
      </c>
      <c r="M210" s="1" t="str">
        <f t="shared" ca="1" si="89"/>
        <v>ON</v>
      </c>
      <c r="N210" s="1" t="str">
        <f t="shared" ca="1" si="90"/>
        <v>ON</v>
      </c>
      <c r="O210" s="1" t="str">
        <f t="shared" ca="1" si="91"/>
        <v>ON</v>
      </c>
      <c r="P210" s="1" t="str">
        <f t="shared" ca="1" si="92"/>
        <v>ON</v>
      </c>
      <c r="Q210" s="1"/>
      <c r="R210" s="20" t="str">
        <f t="shared" ca="1" si="93"/>
        <v>ON</v>
      </c>
      <c r="S210" s="20" t="str">
        <f t="shared" ca="1" si="93"/>
        <v>ON</v>
      </c>
      <c r="T210" s="1" t="str">
        <f t="shared" ca="1" si="94"/>
        <v>ON</v>
      </c>
      <c r="U210" s="1" t="str">
        <f t="shared" ca="1" si="95"/>
        <v>ON</v>
      </c>
      <c r="V210" s="1" t="str">
        <f t="shared" ca="1" si="96"/>
        <v>OFF</v>
      </c>
      <c r="W210" s="1" t="str">
        <f t="shared" ca="1" si="97"/>
        <v>ON</v>
      </c>
      <c r="X210" s="1"/>
      <c r="Y210" s="20" t="str">
        <f t="shared" ca="1" si="98"/>
        <v>ON</v>
      </c>
      <c r="Z210" s="20" t="str">
        <f t="shared" ca="1" si="98"/>
        <v>ON</v>
      </c>
      <c r="AA210" s="1" t="str">
        <f t="shared" ca="1" si="99"/>
        <v>ON</v>
      </c>
      <c r="AB210" s="1" t="str">
        <f t="shared" ca="1" si="100"/>
        <v>ON</v>
      </c>
      <c r="AC210" s="1" t="str">
        <f t="shared" ca="1" si="101"/>
        <v>ON</v>
      </c>
      <c r="AD210" s="1" t="str">
        <f t="shared" ca="1" si="102"/>
        <v>ON</v>
      </c>
      <c r="AE210" s="1"/>
      <c r="AF210" s="20" t="str">
        <f t="shared" ca="1" si="103"/>
        <v>ON</v>
      </c>
      <c r="AG210" s="20" t="str">
        <f t="shared" ca="1" si="103"/>
        <v>ON</v>
      </c>
      <c r="AH210" s="1" t="str">
        <f t="shared" ca="1" si="104"/>
        <v>ON</v>
      </c>
      <c r="AI210" s="1" t="str">
        <f t="shared" ca="1" si="105"/>
        <v>ON</v>
      </c>
      <c r="AJ210" s="1" t="str">
        <f t="shared" ca="1" si="106"/>
        <v>OFF</v>
      </c>
      <c r="AK210" s="1" t="str">
        <f t="shared" ca="1" si="107"/>
        <v>ON</v>
      </c>
      <c r="AL210" s="1"/>
      <c r="AM210" s="20" t="str">
        <f t="shared" si="108"/>
        <v>ON</v>
      </c>
      <c r="AN210" s="20" t="str">
        <f t="shared" si="108"/>
        <v>ON</v>
      </c>
      <c r="AO210" s="20" t="str">
        <f t="shared" si="109"/>
        <v>ON</v>
      </c>
    </row>
    <row r="211" spans="1:41">
      <c r="A211" t="str">
        <f t="shared" ca="1" si="83"/>
        <v>Ondo</v>
      </c>
      <c r="B211" t="str">
        <f t="shared" ca="1" si="84"/>
        <v>B</v>
      </c>
      <c r="C211" t="str">
        <f t="shared" ca="1" si="85"/>
        <v>E1</v>
      </c>
      <c r="D211" t="s">
        <v>4</v>
      </c>
      <c r="E211">
        <f t="shared" ca="1" si="86"/>
        <v>25</v>
      </c>
      <c r="F211">
        <f t="shared" ca="1" si="87"/>
        <v>2</v>
      </c>
      <c r="G211" t="str">
        <v>B</v>
      </c>
      <c r="H211" t="str">
        <v>B</v>
      </c>
      <c r="I211" t="str">
        <f ca="1">IF($A211="","",IF(COUNTA($K$2:$P$2)=6,"WK "&amp;_xlfn.ISOWEEKNUM($K$2)))</f>
        <v>WK 18</v>
      </c>
      <c r="J211" t="str">
        <f ca="1">IF($A211="","",IF(COUNTA($Y$2:$AD$2)=6,"WK "&amp;_xlfn.ISOWEEKNUM($Y$2)))</f>
        <v>WK 20</v>
      </c>
      <c r="K211" s="20" t="str">
        <f t="shared" ca="1" si="88"/>
        <v>ON</v>
      </c>
      <c r="L211" s="20" t="str">
        <f t="shared" ca="1" si="88"/>
        <v>ON</v>
      </c>
      <c r="M211" s="1" t="str">
        <f t="shared" ca="1" si="89"/>
        <v>ON</v>
      </c>
      <c r="N211" s="1" t="str">
        <f t="shared" ca="1" si="90"/>
        <v>OFF</v>
      </c>
      <c r="O211" s="1" t="str">
        <f t="shared" ca="1" si="91"/>
        <v>ON</v>
      </c>
      <c r="P211" s="1" t="str">
        <f t="shared" ca="1" si="92"/>
        <v>ON</v>
      </c>
      <c r="Q211" s="1"/>
      <c r="R211" s="20" t="str">
        <f t="shared" ca="1" si="93"/>
        <v>ON</v>
      </c>
      <c r="S211" s="20" t="str">
        <f t="shared" ca="1" si="93"/>
        <v>ON</v>
      </c>
      <c r="T211" s="1" t="str">
        <f t="shared" ca="1" si="94"/>
        <v>ON</v>
      </c>
      <c r="U211" s="1" t="str">
        <f t="shared" ca="1" si="95"/>
        <v>ON</v>
      </c>
      <c r="V211" s="1" t="str">
        <f t="shared" ca="1" si="96"/>
        <v>ON</v>
      </c>
      <c r="W211" s="1" t="str">
        <f t="shared" ca="1" si="97"/>
        <v>ON</v>
      </c>
      <c r="X211" s="1"/>
      <c r="Y211" s="20" t="str">
        <f t="shared" ca="1" si="98"/>
        <v>ON</v>
      </c>
      <c r="Z211" s="20" t="str">
        <f t="shared" ca="1" si="98"/>
        <v>ON</v>
      </c>
      <c r="AA211" s="1" t="str">
        <f t="shared" ca="1" si="99"/>
        <v>ON</v>
      </c>
      <c r="AB211" s="1" t="str">
        <f t="shared" ca="1" si="100"/>
        <v>OFF</v>
      </c>
      <c r="AC211" s="1" t="str">
        <f t="shared" ca="1" si="101"/>
        <v>ON</v>
      </c>
      <c r="AD211" s="1" t="str">
        <f t="shared" ca="1" si="102"/>
        <v>ON</v>
      </c>
      <c r="AE211" s="1"/>
      <c r="AF211" s="20" t="str">
        <f t="shared" ca="1" si="103"/>
        <v>ON</v>
      </c>
      <c r="AG211" s="20" t="str">
        <f t="shared" ca="1" si="103"/>
        <v>ON</v>
      </c>
      <c r="AH211" s="1" t="str">
        <f t="shared" ca="1" si="104"/>
        <v>ON</v>
      </c>
      <c r="AI211" s="1" t="str">
        <f t="shared" ca="1" si="105"/>
        <v>ON</v>
      </c>
      <c r="AJ211" s="1" t="str">
        <f t="shared" ca="1" si="106"/>
        <v>ON</v>
      </c>
      <c r="AK211" s="1" t="str">
        <f t="shared" ca="1" si="107"/>
        <v>ON</v>
      </c>
      <c r="AL211" s="1"/>
      <c r="AM211" s="20" t="str">
        <f t="shared" si="108"/>
        <v>ON</v>
      </c>
      <c r="AN211" s="20" t="str">
        <f t="shared" si="108"/>
        <v>ON</v>
      </c>
      <c r="AO211" s="20" t="str">
        <f t="shared" si="109"/>
        <v>ON</v>
      </c>
    </row>
    <row r="212" spans="1:41">
      <c r="A212" t="str">
        <f t="shared" ca="1" si="83"/>
        <v>Oyo</v>
      </c>
      <c r="B212" t="str">
        <f t="shared" ca="1" si="84"/>
        <v>A</v>
      </c>
      <c r="C212" t="str">
        <f t="shared" ca="1" si="85"/>
        <v>E1</v>
      </c>
      <c r="D212" t="s">
        <v>4</v>
      </c>
      <c r="E212">
        <f t="shared" ca="1" si="86"/>
        <v>25</v>
      </c>
      <c r="F212">
        <f t="shared" ca="1" si="87"/>
        <v>2</v>
      </c>
      <c r="G212" t="str">
        <v>A</v>
      </c>
      <c r="H212" t="str">
        <v>A</v>
      </c>
      <c r="I212" t="str">
        <f ca="1">IF($A212="","",IF(COUNTA($R$2:$W$2)=6,"WK "&amp;_xlfn.ISOWEEKNUM($R$2)))</f>
        <v>WK 19</v>
      </c>
      <c r="J212" t="str">
        <f ca="1">IF($A212="","",IF(COUNTA($AF$2:$AK$2)=6,"WK "&amp;_xlfn.ISOWEEKNUM($AF$2)))</f>
        <v>WK 21</v>
      </c>
      <c r="K212" s="20" t="str">
        <f t="shared" ca="1" si="88"/>
        <v>ON</v>
      </c>
      <c r="L212" s="20" t="str">
        <f t="shared" ca="1" si="88"/>
        <v>ON</v>
      </c>
      <c r="M212" s="1" t="str">
        <f t="shared" ca="1" si="89"/>
        <v>ON</v>
      </c>
      <c r="N212" s="1" t="str">
        <f t="shared" ca="1" si="90"/>
        <v>ON</v>
      </c>
      <c r="O212" s="1" t="str">
        <f t="shared" ca="1" si="91"/>
        <v>ON</v>
      </c>
      <c r="P212" s="1" t="str">
        <f t="shared" ca="1" si="92"/>
        <v>ON</v>
      </c>
      <c r="Q212" s="1"/>
      <c r="R212" s="20" t="str">
        <f t="shared" ca="1" si="93"/>
        <v>ON</v>
      </c>
      <c r="S212" s="20" t="str">
        <f t="shared" ca="1" si="93"/>
        <v>ON</v>
      </c>
      <c r="T212" s="1" t="str">
        <f t="shared" ca="1" si="94"/>
        <v>OFF</v>
      </c>
      <c r="U212" s="1" t="str">
        <f t="shared" ca="1" si="95"/>
        <v>ON</v>
      </c>
      <c r="V212" s="1" t="str">
        <f t="shared" ca="1" si="96"/>
        <v>ON</v>
      </c>
      <c r="W212" s="1" t="str">
        <f t="shared" ca="1" si="97"/>
        <v>ON</v>
      </c>
      <c r="X212" s="1"/>
      <c r="Y212" s="20" t="str">
        <f t="shared" ca="1" si="98"/>
        <v>ON</v>
      </c>
      <c r="Z212" s="20" t="str">
        <f t="shared" ca="1" si="98"/>
        <v>ON</v>
      </c>
      <c r="AA212" s="1" t="str">
        <f t="shared" ca="1" si="99"/>
        <v>ON</v>
      </c>
      <c r="AB212" s="1" t="str">
        <f t="shared" ca="1" si="100"/>
        <v>ON</v>
      </c>
      <c r="AC212" s="1" t="str">
        <f t="shared" ca="1" si="101"/>
        <v>ON</v>
      </c>
      <c r="AD212" s="1" t="str">
        <f t="shared" ca="1" si="102"/>
        <v>ON</v>
      </c>
      <c r="AE212" s="1"/>
      <c r="AF212" s="20" t="str">
        <f t="shared" ca="1" si="103"/>
        <v>ON</v>
      </c>
      <c r="AG212" s="20" t="str">
        <f t="shared" ca="1" si="103"/>
        <v>ON</v>
      </c>
      <c r="AH212" s="1" t="str">
        <f t="shared" ca="1" si="104"/>
        <v>OFF</v>
      </c>
      <c r="AI212" s="1" t="str">
        <f t="shared" ca="1" si="105"/>
        <v>ON</v>
      </c>
      <c r="AJ212" s="1" t="str">
        <f t="shared" ca="1" si="106"/>
        <v>ON</v>
      </c>
      <c r="AK212" s="1" t="str">
        <f t="shared" ca="1" si="107"/>
        <v>ON</v>
      </c>
      <c r="AL212" s="1"/>
      <c r="AM212" s="20" t="str">
        <f t="shared" si="108"/>
        <v>ON</v>
      </c>
      <c r="AN212" s="20" t="str">
        <f t="shared" si="108"/>
        <v>ON</v>
      </c>
      <c r="AO212" s="20" t="str">
        <f t="shared" si="109"/>
        <v>ON</v>
      </c>
    </row>
    <row r="213" spans="1:41">
      <c r="A213" t="str">
        <f t="shared" ca="1" si="83"/>
        <v>Ekiti</v>
      </c>
      <c r="B213" t="str">
        <f t="shared" ca="1" si="84"/>
        <v>E</v>
      </c>
      <c r="C213" t="str">
        <f t="shared" ca="1" si="85"/>
        <v>D1</v>
      </c>
      <c r="D213" t="s">
        <v>5</v>
      </c>
      <c r="E213">
        <f t="shared" ca="1" si="86"/>
        <v>25</v>
      </c>
      <c r="F213">
        <f t="shared" ca="1" si="87"/>
        <v>2</v>
      </c>
      <c r="G213" t="str" cm="1">
        <f t="array" ref="G213:G216">Groups!$B$2:$B$5</f>
        <v>A</v>
      </c>
      <c r="H213" t="str" cm="1">
        <f t="array" ref="H213:H216">Groups!$B$2:$B$5</f>
        <v>A</v>
      </c>
      <c r="I213" t="str">
        <f ca="1">IF($A213="","",IF(COUNTA($K$2:$P$2)=6,"WK "&amp;_xlfn.ISOWEEKNUM($K$2)))</f>
        <v>WK 18</v>
      </c>
      <c r="J213" t="str">
        <f ca="1">IF($A213="","",IF(COUNTA($Y$2:$AD$2)=6,"WK "&amp;_xlfn.ISOWEEKNUM($Y$2)))</f>
        <v>WK 20</v>
      </c>
      <c r="K213" s="20" t="str">
        <f t="shared" ca="1" si="88"/>
        <v>ON</v>
      </c>
      <c r="L213" s="20" t="str">
        <f t="shared" ca="1" si="88"/>
        <v>ON</v>
      </c>
      <c r="M213" s="1" t="str">
        <f t="shared" ca="1" si="89"/>
        <v>OFF</v>
      </c>
      <c r="N213" s="1" t="str">
        <f t="shared" ca="1" si="90"/>
        <v>ON</v>
      </c>
      <c r="O213" s="1" t="str">
        <f t="shared" ca="1" si="91"/>
        <v>ON</v>
      </c>
      <c r="P213" s="1" t="str">
        <f t="shared" ca="1" si="92"/>
        <v>ON</v>
      </c>
      <c r="Q213" s="1"/>
      <c r="R213" s="20" t="str">
        <f t="shared" ca="1" si="93"/>
        <v>ON</v>
      </c>
      <c r="S213" s="20" t="str">
        <f t="shared" ca="1" si="93"/>
        <v>ON</v>
      </c>
      <c r="T213" s="1" t="str">
        <f t="shared" ca="1" si="94"/>
        <v>ON</v>
      </c>
      <c r="U213" s="1" t="str">
        <f t="shared" ca="1" si="95"/>
        <v>ON</v>
      </c>
      <c r="V213" s="1" t="str">
        <f t="shared" ca="1" si="96"/>
        <v>ON</v>
      </c>
      <c r="W213" s="1" t="str">
        <f t="shared" ca="1" si="97"/>
        <v>ON</v>
      </c>
      <c r="X213" s="1"/>
      <c r="Y213" s="20" t="str">
        <f t="shared" ca="1" si="98"/>
        <v>ON</v>
      </c>
      <c r="Z213" s="20" t="str">
        <f t="shared" ca="1" si="98"/>
        <v>ON</v>
      </c>
      <c r="AA213" s="1" t="str">
        <f t="shared" ca="1" si="99"/>
        <v>OFF</v>
      </c>
      <c r="AB213" s="1" t="str">
        <f t="shared" ca="1" si="100"/>
        <v>ON</v>
      </c>
      <c r="AC213" s="1" t="str">
        <f t="shared" ca="1" si="101"/>
        <v>ON</v>
      </c>
      <c r="AD213" s="1" t="str">
        <f t="shared" ca="1" si="102"/>
        <v>ON</v>
      </c>
      <c r="AE213" s="1"/>
      <c r="AF213" s="20" t="str">
        <f t="shared" ca="1" si="103"/>
        <v>ON</v>
      </c>
      <c r="AG213" s="20" t="str">
        <f t="shared" ca="1" si="103"/>
        <v>ON</v>
      </c>
      <c r="AH213" s="1" t="str">
        <f t="shared" ca="1" si="104"/>
        <v>ON</v>
      </c>
      <c r="AI213" s="1" t="str">
        <f t="shared" ca="1" si="105"/>
        <v>ON</v>
      </c>
      <c r="AJ213" s="1" t="str">
        <f t="shared" ca="1" si="106"/>
        <v>ON</v>
      </c>
      <c r="AK213" s="1" t="str">
        <f t="shared" ca="1" si="107"/>
        <v>ON</v>
      </c>
      <c r="AL213" s="1"/>
      <c r="AM213" s="20" t="str">
        <f t="shared" si="108"/>
        <v>ON</v>
      </c>
      <c r="AN213" s="20" t="str">
        <f t="shared" si="108"/>
        <v>ON</v>
      </c>
      <c r="AO213" s="20" t="str">
        <f t="shared" si="109"/>
        <v>ON</v>
      </c>
    </row>
    <row r="214" spans="1:41">
      <c r="A214" t="str">
        <f t="shared" ca="1" si="83"/>
        <v>Oyo</v>
      </c>
      <c r="B214" t="str">
        <f t="shared" ca="1" si="84"/>
        <v>E</v>
      </c>
      <c r="C214" t="str">
        <f t="shared" ca="1" si="85"/>
        <v>E1</v>
      </c>
      <c r="D214" t="s">
        <v>5</v>
      </c>
      <c r="E214">
        <f t="shared" ca="1" si="86"/>
        <v>25</v>
      </c>
      <c r="F214">
        <f t="shared" ca="1" si="87"/>
        <v>2</v>
      </c>
      <c r="G214" t="str">
        <v>B</v>
      </c>
      <c r="H214" t="str">
        <v>B</v>
      </c>
      <c r="I214" t="str">
        <f ca="1">IF($A214="","",IF(COUNTA($R$2:$W$2)=6,"WK "&amp;_xlfn.ISOWEEKNUM($R$2)))</f>
        <v>WK 19</v>
      </c>
      <c r="J214" t="str">
        <f ca="1">IF($A214="","",IF(COUNTA($AF$2:$AK$2)=6,"WK "&amp;_xlfn.ISOWEEKNUM($AF$2)))</f>
        <v>WK 21</v>
      </c>
      <c r="K214" s="20" t="str">
        <f t="shared" ca="1" si="88"/>
        <v>ON</v>
      </c>
      <c r="L214" s="20" t="str">
        <f t="shared" ca="1" si="88"/>
        <v>ON</v>
      </c>
      <c r="M214" s="1" t="str">
        <f t="shared" ca="1" si="89"/>
        <v>ON</v>
      </c>
      <c r="N214" s="1" t="str">
        <f t="shared" ca="1" si="90"/>
        <v>ON</v>
      </c>
      <c r="O214" s="1" t="str">
        <f t="shared" ca="1" si="91"/>
        <v>ON</v>
      </c>
      <c r="P214" s="1" t="str">
        <f t="shared" ca="1" si="92"/>
        <v>ON</v>
      </c>
      <c r="Q214" s="1"/>
      <c r="R214" s="20" t="str">
        <f t="shared" ca="1" si="93"/>
        <v>ON</v>
      </c>
      <c r="S214" s="20" t="str">
        <f t="shared" ca="1" si="93"/>
        <v>ON</v>
      </c>
      <c r="T214" s="1" t="str">
        <f t="shared" ca="1" si="94"/>
        <v>ON</v>
      </c>
      <c r="U214" s="1" t="str">
        <f t="shared" ca="1" si="95"/>
        <v>OFF</v>
      </c>
      <c r="V214" s="1" t="str">
        <f t="shared" ca="1" si="96"/>
        <v>ON</v>
      </c>
      <c r="W214" s="1" t="str">
        <f t="shared" ca="1" si="97"/>
        <v>ON</v>
      </c>
      <c r="X214" s="1"/>
      <c r="Y214" s="20" t="str">
        <f t="shared" ca="1" si="98"/>
        <v>ON</v>
      </c>
      <c r="Z214" s="20" t="str">
        <f t="shared" ca="1" si="98"/>
        <v>ON</v>
      </c>
      <c r="AA214" s="1" t="str">
        <f t="shared" ca="1" si="99"/>
        <v>ON</v>
      </c>
      <c r="AB214" s="1" t="str">
        <f t="shared" ca="1" si="100"/>
        <v>ON</v>
      </c>
      <c r="AC214" s="1" t="str">
        <f t="shared" ca="1" si="101"/>
        <v>ON</v>
      </c>
      <c r="AD214" s="1" t="str">
        <f t="shared" ca="1" si="102"/>
        <v>ON</v>
      </c>
      <c r="AE214" s="1"/>
      <c r="AF214" s="20" t="str">
        <f t="shared" ca="1" si="103"/>
        <v>ON</v>
      </c>
      <c r="AG214" s="20" t="str">
        <f t="shared" ca="1" si="103"/>
        <v>ON</v>
      </c>
      <c r="AH214" s="1" t="str">
        <f t="shared" ca="1" si="104"/>
        <v>ON</v>
      </c>
      <c r="AI214" s="1" t="str">
        <f t="shared" ca="1" si="105"/>
        <v>OFF</v>
      </c>
      <c r="AJ214" s="1" t="str">
        <f t="shared" ca="1" si="106"/>
        <v>ON</v>
      </c>
      <c r="AK214" s="1" t="str">
        <f t="shared" ca="1" si="107"/>
        <v>ON</v>
      </c>
      <c r="AL214" s="1"/>
      <c r="AM214" s="20" t="str">
        <f t="shared" si="108"/>
        <v>ON</v>
      </c>
      <c r="AN214" s="20" t="str">
        <f t="shared" si="108"/>
        <v>ON</v>
      </c>
      <c r="AO214" s="20" t="str">
        <f t="shared" si="109"/>
        <v>ON</v>
      </c>
    </row>
    <row r="215" spans="1:41">
      <c r="A215" t="str">
        <f t="shared" ca="1" si="83"/>
        <v>Ondo</v>
      </c>
      <c r="B215" t="str">
        <f t="shared" ca="1" si="84"/>
        <v>C</v>
      </c>
      <c r="C215" t="str">
        <f t="shared" ca="1" si="85"/>
        <v>D1</v>
      </c>
      <c r="D215" t="s">
        <v>5</v>
      </c>
      <c r="E215">
        <f t="shared" ca="1" si="86"/>
        <v>25</v>
      </c>
      <c r="F215">
        <f t="shared" ca="1" si="87"/>
        <v>2</v>
      </c>
      <c r="G215" t="str">
        <v>C</v>
      </c>
      <c r="H215" t="str">
        <v>C</v>
      </c>
      <c r="I215" t="str">
        <f ca="1">IF($A215="","",IF(COUNTA($K$2:$P$2)=6,"WK "&amp;_xlfn.ISOWEEKNUM($K$2)))</f>
        <v>WK 18</v>
      </c>
      <c r="J215" t="str">
        <f ca="1">IF($A215="","",IF(COUNTA($Y$2:$AD$2)=6,"WK "&amp;_xlfn.ISOWEEKNUM($Y$2)))</f>
        <v>WK 20</v>
      </c>
      <c r="K215" s="20" t="str">
        <f t="shared" ca="1" si="88"/>
        <v>ON</v>
      </c>
      <c r="L215" s="20" t="str">
        <f t="shared" ca="1" si="88"/>
        <v>ON</v>
      </c>
      <c r="M215" s="1" t="str">
        <f t="shared" ca="1" si="89"/>
        <v>ON</v>
      </c>
      <c r="N215" s="1" t="str">
        <f t="shared" ca="1" si="90"/>
        <v>ON</v>
      </c>
      <c r="O215" s="1" t="str">
        <f t="shared" ca="1" si="91"/>
        <v>OFF</v>
      </c>
      <c r="P215" s="1" t="str">
        <f t="shared" ca="1" si="92"/>
        <v>ON</v>
      </c>
      <c r="Q215" s="1"/>
      <c r="R215" s="20" t="str">
        <f t="shared" ca="1" si="93"/>
        <v>ON</v>
      </c>
      <c r="S215" s="20" t="str">
        <f t="shared" ca="1" si="93"/>
        <v>ON</v>
      </c>
      <c r="T215" s="1" t="str">
        <f t="shared" ca="1" si="94"/>
        <v>ON</v>
      </c>
      <c r="U215" s="1" t="str">
        <f t="shared" ca="1" si="95"/>
        <v>ON</v>
      </c>
      <c r="V215" s="1" t="str">
        <f t="shared" ca="1" si="96"/>
        <v>ON</v>
      </c>
      <c r="W215" s="1" t="str">
        <f t="shared" ca="1" si="97"/>
        <v>ON</v>
      </c>
      <c r="X215" s="1"/>
      <c r="Y215" s="20" t="str">
        <f t="shared" ca="1" si="98"/>
        <v>ON</v>
      </c>
      <c r="Z215" s="20" t="str">
        <f t="shared" ca="1" si="98"/>
        <v>ON</v>
      </c>
      <c r="AA215" s="1" t="str">
        <f t="shared" ca="1" si="99"/>
        <v>ON</v>
      </c>
      <c r="AB215" s="1" t="str">
        <f t="shared" ca="1" si="100"/>
        <v>ON</v>
      </c>
      <c r="AC215" s="1" t="str">
        <f t="shared" ca="1" si="101"/>
        <v>OFF</v>
      </c>
      <c r="AD215" s="1" t="str">
        <f t="shared" ca="1" si="102"/>
        <v>ON</v>
      </c>
      <c r="AE215" s="1"/>
      <c r="AF215" s="20" t="str">
        <f t="shared" ca="1" si="103"/>
        <v>ON</v>
      </c>
      <c r="AG215" s="20" t="str">
        <f t="shared" ca="1" si="103"/>
        <v>ON</v>
      </c>
      <c r="AH215" s="1" t="str">
        <f t="shared" ca="1" si="104"/>
        <v>ON</v>
      </c>
      <c r="AI215" s="1" t="str">
        <f t="shared" ca="1" si="105"/>
        <v>ON</v>
      </c>
      <c r="AJ215" s="1" t="str">
        <f t="shared" ca="1" si="106"/>
        <v>ON</v>
      </c>
      <c r="AK215" s="1" t="str">
        <f t="shared" ca="1" si="107"/>
        <v>ON</v>
      </c>
      <c r="AL215" s="1"/>
      <c r="AM215" s="20" t="str">
        <f t="shared" si="108"/>
        <v>ON</v>
      </c>
      <c r="AN215" s="20" t="str">
        <f t="shared" si="108"/>
        <v>ON</v>
      </c>
      <c r="AO215" s="20" t="str">
        <f t="shared" si="109"/>
        <v>ON</v>
      </c>
    </row>
    <row r="216" spans="1:41">
      <c r="A216" t="str">
        <f t="shared" ca="1" si="83"/>
        <v>Lagos</v>
      </c>
      <c r="B216" t="str">
        <f t="shared" ca="1" si="84"/>
        <v>B</v>
      </c>
      <c r="C216" t="str">
        <f t="shared" ca="1" si="85"/>
        <v>B1</v>
      </c>
      <c r="D216" t="s">
        <v>5</v>
      </c>
      <c r="E216">
        <f t="shared" ca="1" si="86"/>
        <v>25</v>
      </c>
      <c r="F216">
        <f t="shared" ca="1" si="87"/>
        <v>2</v>
      </c>
      <c r="G216" t="str">
        <v>D</v>
      </c>
      <c r="H216" t="str">
        <v>D</v>
      </c>
      <c r="I216" t="str">
        <f ca="1">IF($A216="","",IF(COUNTA($R$2:$W$2)=6,"WK "&amp;_xlfn.ISOWEEKNUM($R$2)))</f>
        <v>WK 19</v>
      </c>
      <c r="J216" t="str">
        <f ca="1">IF($A216="","",IF(COUNTA($AF$2:$AK$2)=6,"WK "&amp;_xlfn.ISOWEEKNUM($AF$2)))</f>
        <v>WK 21</v>
      </c>
      <c r="K216" s="20" t="str">
        <f t="shared" ca="1" si="88"/>
        <v>ON</v>
      </c>
      <c r="L216" s="20" t="str">
        <f t="shared" ca="1" si="88"/>
        <v>ON</v>
      </c>
      <c r="M216" s="1" t="str">
        <f t="shared" ca="1" si="89"/>
        <v>ON</v>
      </c>
      <c r="N216" s="1" t="str">
        <f t="shared" ca="1" si="90"/>
        <v>ON</v>
      </c>
      <c r="O216" s="1" t="str">
        <f t="shared" ca="1" si="91"/>
        <v>ON</v>
      </c>
      <c r="P216" s="1" t="str">
        <f t="shared" ca="1" si="92"/>
        <v>ON</v>
      </c>
      <c r="Q216" s="1"/>
      <c r="R216" s="20" t="str">
        <f t="shared" ca="1" si="93"/>
        <v>ON</v>
      </c>
      <c r="S216" s="20" t="str">
        <f t="shared" ca="1" si="93"/>
        <v>ON</v>
      </c>
      <c r="T216" s="1" t="str">
        <f t="shared" ca="1" si="94"/>
        <v>ON</v>
      </c>
      <c r="U216" s="1" t="str">
        <f t="shared" ca="1" si="95"/>
        <v>ON</v>
      </c>
      <c r="V216" s="1" t="str">
        <f t="shared" ca="1" si="96"/>
        <v>ON</v>
      </c>
      <c r="W216" s="1" t="str">
        <f t="shared" ca="1" si="97"/>
        <v>OFF</v>
      </c>
      <c r="X216" s="1"/>
      <c r="Y216" s="20" t="str">
        <f t="shared" ca="1" si="98"/>
        <v>ON</v>
      </c>
      <c r="Z216" s="20" t="str">
        <f t="shared" ca="1" si="98"/>
        <v>ON</v>
      </c>
      <c r="AA216" s="1" t="str">
        <f t="shared" ca="1" si="99"/>
        <v>ON</v>
      </c>
      <c r="AB216" s="1" t="str">
        <f t="shared" ca="1" si="100"/>
        <v>ON</v>
      </c>
      <c r="AC216" s="1" t="str">
        <f t="shared" ca="1" si="101"/>
        <v>ON</v>
      </c>
      <c r="AD216" s="1" t="str">
        <f t="shared" ca="1" si="102"/>
        <v>ON</v>
      </c>
      <c r="AE216" s="1"/>
      <c r="AF216" s="20" t="str">
        <f t="shared" ca="1" si="103"/>
        <v>ON</v>
      </c>
      <c r="AG216" s="20" t="str">
        <f t="shared" ca="1" si="103"/>
        <v>ON</v>
      </c>
      <c r="AH216" s="1" t="str">
        <f t="shared" ca="1" si="104"/>
        <v>ON</v>
      </c>
      <c r="AI216" s="1" t="str">
        <f t="shared" ca="1" si="105"/>
        <v>ON</v>
      </c>
      <c r="AJ216" s="1" t="str">
        <f t="shared" ca="1" si="106"/>
        <v>ON</v>
      </c>
      <c r="AK216" s="1" t="str">
        <f t="shared" ca="1" si="107"/>
        <v>OFF</v>
      </c>
      <c r="AL216" s="1"/>
      <c r="AM216" s="20" t="str">
        <f t="shared" si="108"/>
        <v>ON</v>
      </c>
      <c r="AN216" s="20" t="str">
        <f t="shared" si="108"/>
        <v>ON</v>
      </c>
      <c r="AO216" s="20" t="str">
        <f t="shared" si="109"/>
        <v>ON</v>
      </c>
    </row>
    <row r="217" spans="1:41">
      <c r="A217" t="str">
        <f t="shared" ca="1" si="83"/>
        <v>Lagos</v>
      </c>
      <c r="B217" t="str">
        <f t="shared" ca="1" si="84"/>
        <v>D</v>
      </c>
      <c r="C217" t="str">
        <f t="shared" ca="1" si="85"/>
        <v>B1</v>
      </c>
      <c r="D217" t="s">
        <v>5</v>
      </c>
      <c r="E217">
        <f t="shared" ca="1" si="86"/>
        <v>25</v>
      </c>
      <c r="F217">
        <f t="shared" ca="1" si="87"/>
        <v>2</v>
      </c>
      <c r="G217" t="str" cm="1">
        <f t="array" ref="G217:G220">IF($G$5:$G$8={"A";"B";"C";"D"},{"D";"C";"B";"A"},{"A";"B";"C";"D"})</f>
        <v>D</v>
      </c>
      <c r="H217" t="str" cm="1">
        <f t="array" ref="H217:H220">IF($H$5:$H$8={"A";"B";"C";"D"},{"D";"C";"B";"A"},{"A";"B";"C";"D"})</f>
        <v>D</v>
      </c>
      <c r="I217" t="str">
        <f ca="1">IF($A217="","",IF(COUNTA($K$2:$P$2)=6,"WK "&amp;_xlfn.ISOWEEKNUM($K$2)))</f>
        <v>WK 18</v>
      </c>
      <c r="J217" t="str">
        <f ca="1">IF($A217="","",IF(COUNTA($Y$2:$AD$2)=6,"WK "&amp;_xlfn.ISOWEEKNUM($Y$2)))</f>
        <v>WK 20</v>
      </c>
      <c r="K217" s="20" t="str">
        <f t="shared" ca="1" si="88"/>
        <v>ON</v>
      </c>
      <c r="L217" s="20" t="str">
        <f t="shared" ca="1" si="88"/>
        <v>ON</v>
      </c>
      <c r="M217" s="1" t="str">
        <f t="shared" ca="1" si="89"/>
        <v>ON</v>
      </c>
      <c r="N217" s="1" t="str">
        <f t="shared" ca="1" si="90"/>
        <v>ON</v>
      </c>
      <c r="O217" s="1" t="str">
        <f t="shared" ca="1" si="91"/>
        <v>ON</v>
      </c>
      <c r="P217" s="1" t="str">
        <f t="shared" ca="1" si="92"/>
        <v>OFF</v>
      </c>
      <c r="Q217" s="1"/>
      <c r="R217" s="20" t="str">
        <f t="shared" ca="1" si="93"/>
        <v>ON</v>
      </c>
      <c r="S217" s="20" t="str">
        <f t="shared" ca="1" si="93"/>
        <v>ON</v>
      </c>
      <c r="T217" s="1" t="str">
        <f t="shared" ca="1" si="94"/>
        <v>ON</v>
      </c>
      <c r="U217" s="1" t="str">
        <f t="shared" ca="1" si="95"/>
        <v>ON</v>
      </c>
      <c r="V217" s="1" t="str">
        <f t="shared" ca="1" si="96"/>
        <v>ON</v>
      </c>
      <c r="W217" s="1" t="str">
        <f t="shared" ca="1" si="97"/>
        <v>ON</v>
      </c>
      <c r="X217" s="1"/>
      <c r="Y217" s="20" t="str">
        <f t="shared" ca="1" si="98"/>
        <v>ON</v>
      </c>
      <c r="Z217" s="20" t="str">
        <f t="shared" ca="1" si="98"/>
        <v>ON</v>
      </c>
      <c r="AA217" s="1" t="str">
        <f t="shared" ca="1" si="99"/>
        <v>ON</v>
      </c>
      <c r="AB217" s="1" t="str">
        <f t="shared" ca="1" si="100"/>
        <v>ON</v>
      </c>
      <c r="AC217" s="1" t="str">
        <f t="shared" ca="1" si="101"/>
        <v>ON</v>
      </c>
      <c r="AD217" s="1" t="str">
        <f t="shared" ca="1" si="102"/>
        <v>OFF</v>
      </c>
      <c r="AE217" s="1"/>
      <c r="AF217" s="20" t="str">
        <f t="shared" ca="1" si="103"/>
        <v>ON</v>
      </c>
      <c r="AG217" s="20" t="str">
        <f t="shared" ca="1" si="103"/>
        <v>ON</v>
      </c>
      <c r="AH217" s="1" t="str">
        <f t="shared" ca="1" si="104"/>
        <v>ON</v>
      </c>
      <c r="AI217" s="1" t="str">
        <f t="shared" ca="1" si="105"/>
        <v>ON</v>
      </c>
      <c r="AJ217" s="1" t="str">
        <f t="shared" ca="1" si="106"/>
        <v>ON</v>
      </c>
      <c r="AK217" s="1" t="str">
        <f t="shared" ca="1" si="107"/>
        <v>ON</v>
      </c>
      <c r="AL217" s="1"/>
      <c r="AM217" s="20" t="str">
        <f t="shared" si="108"/>
        <v>ON</v>
      </c>
      <c r="AN217" s="20" t="str">
        <f t="shared" si="108"/>
        <v>ON</v>
      </c>
      <c r="AO217" s="20" t="str">
        <f t="shared" si="109"/>
        <v>ON</v>
      </c>
    </row>
    <row r="218" spans="1:41">
      <c r="A218" t="str">
        <f t="shared" ca="1" si="83"/>
        <v>Ekiti</v>
      </c>
      <c r="B218" t="str">
        <f t="shared" ca="1" si="84"/>
        <v>A</v>
      </c>
      <c r="C218" t="str">
        <f t="shared" ca="1" si="85"/>
        <v>A1</v>
      </c>
      <c r="D218" t="s">
        <v>5</v>
      </c>
      <c r="E218">
        <f t="shared" ca="1" si="86"/>
        <v>25</v>
      </c>
      <c r="F218">
        <f t="shared" ca="1" si="87"/>
        <v>2</v>
      </c>
      <c r="G218" t="str">
        <v>C</v>
      </c>
      <c r="H218" t="str">
        <v>C</v>
      </c>
      <c r="I218" t="str">
        <f ca="1">IF($A218="","",IF(COUNTA($R$2:$W$2)=6,"WK "&amp;_xlfn.ISOWEEKNUM($R$2)))</f>
        <v>WK 19</v>
      </c>
      <c r="J218" t="str">
        <f ca="1">IF($A218="","",IF(COUNTA($AF$2:$AK$2)=6,"WK "&amp;_xlfn.ISOWEEKNUM($AF$2)))</f>
        <v>WK 21</v>
      </c>
      <c r="K218" s="20" t="str">
        <f t="shared" ca="1" si="88"/>
        <v>ON</v>
      </c>
      <c r="L218" s="20" t="str">
        <f t="shared" ca="1" si="88"/>
        <v>ON</v>
      </c>
      <c r="M218" s="1" t="str">
        <f t="shared" ca="1" si="89"/>
        <v>ON</v>
      </c>
      <c r="N218" s="1" t="str">
        <f t="shared" ca="1" si="90"/>
        <v>ON</v>
      </c>
      <c r="O218" s="1" t="str">
        <f t="shared" ca="1" si="91"/>
        <v>ON</v>
      </c>
      <c r="P218" s="1" t="str">
        <f t="shared" ca="1" si="92"/>
        <v>ON</v>
      </c>
      <c r="Q218" s="1"/>
      <c r="R218" s="20" t="str">
        <f t="shared" ca="1" si="93"/>
        <v>ON</v>
      </c>
      <c r="S218" s="20" t="str">
        <f t="shared" ca="1" si="93"/>
        <v>ON</v>
      </c>
      <c r="T218" s="1" t="str">
        <f t="shared" ca="1" si="94"/>
        <v>ON</v>
      </c>
      <c r="U218" s="1" t="str">
        <f t="shared" ca="1" si="95"/>
        <v>ON</v>
      </c>
      <c r="V218" s="1" t="str">
        <f t="shared" ca="1" si="96"/>
        <v>OFF</v>
      </c>
      <c r="W218" s="1" t="str">
        <f t="shared" ca="1" si="97"/>
        <v>ON</v>
      </c>
      <c r="X218" s="1"/>
      <c r="Y218" s="20" t="str">
        <f t="shared" ca="1" si="98"/>
        <v>ON</v>
      </c>
      <c r="Z218" s="20" t="str">
        <f t="shared" ca="1" si="98"/>
        <v>ON</v>
      </c>
      <c r="AA218" s="1" t="str">
        <f t="shared" ca="1" si="99"/>
        <v>ON</v>
      </c>
      <c r="AB218" s="1" t="str">
        <f t="shared" ca="1" si="100"/>
        <v>ON</v>
      </c>
      <c r="AC218" s="1" t="str">
        <f t="shared" ca="1" si="101"/>
        <v>ON</v>
      </c>
      <c r="AD218" s="1" t="str">
        <f t="shared" ca="1" si="102"/>
        <v>ON</v>
      </c>
      <c r="AE218" s="1"/>
      <c r="AF218" s="20" t="str">
        <f t="shared" ca="1" si="103"/>
        <v>ON</v>
      </c>
      <c r="AG218" s="20" t="str">
        <f t="shared" ca="1" si="103"/>
        <v>ON</v>
      </c>
      <c r="AH218" s="1" t="str">
        <f t="shared" ca="1" si="104"/>
        <v>ON</v>
      </c>
      <c r="AI218" s="1" t="str">
        <f t="shared" ca="1" si="105"/>
        <v>ON</v>
      </c>
      <c r="AJ218" s="1" t="str">
        <f t="shared" ca="1" si="106"/>
        <v>OFF</v>
      </c>
      <c r="AK218" s="1" t="str">
        <f t="shared" ca="1" si="107"/>
        <v>ON</v>
      </c>
      <c r="AL218" s="1"/>
      <c r="AM218" s="20" t="str">
        <f t="shared" si="108"/>
        <v>ON</v>
      </c>
      <c r="AN218" s="20" t="str">
        <f t="shared" si="108"/>
        <v>ON</v>
      </c>
      <c r="AO218" s="20" t="str">
        <f t="shared" si="109"/>
        <v>ON</v>
      </c>
    </row>
    <row r="219" spans="1:41">
      <c r="A219" t="str">
        <f t="shared" ca="1" si="83"/>
        <v>Ogun</v>
      </c>
      <c r="B219" t="str">
        <f t="shared" ca="1" si="84"/>
        <v>A</v>
      </c>
      <c r="C219" t="str">
        <f t="shared" ca="1" si="85"/>
        <v>B1</v>
      </c>
      <c r="D219" t="s">
        <v>8</v>
      </c>
      <c r="E219">
        <f t="shared" ca="1" si="86"/>
        <v>25</v>
      </c>
      <c r="F219">
        <f t="shared" ca="1" si="87"/>
        <v>2</v>
      </c>
      <c r="G219" t="str">
        <v>B</v>
      </c>
      <c r="H219" t="str">
        <v>B</v>
      </c>
      <c r="I219" t="str">
        <f ca="1">IF($A219="","",IF(COUNTA($K$2:$P$2)=6,"WK "&amp;_xlfn.ISOWEEKNUM($K$2)))</f>
        <v>WK 18</v>
      </c>
      <c r="J219" t="str">
        <f ca="1">IF($A219="","",IF(COUNTA($Y$2:$AD$2)=6,"WK "&amp;_xlfn.ISOWEEKNUM($Y$2)))</f>
        <v>WK 20</v>
      </c>
      <c r="K219" s="20" t="str">
        <f t="shared" ca="1" si="88"/>
        <v>ON</v>
      </c>
      <c r="L219" s="20" t="str">
        <f t="shared" ca="1" si="88"/>
        <v>ON</v>
      </c>
      <c r="M219" s="1" t="str">
        <f t="shared" ca="1" si="89"/>
        <v>ON</v>
      </c>
      <c r="N219" s="1" t="str">
        <f t="shared" ca="1" si="90"/>
        <v>OFF</v>
      </c>
      <c r="O219" s="1" t="str">
        <f t="shared" ca="1" si="91"/>
        <v>ON</v>
      </c>
      <c r="P219" s="1" t="str">
        <f t="shared" ca="1" si="92"/>
        <v>ON</v>
      </c>
      <c r="Q219" s="1"/>
      <c r="R219" s="20" t="str">
        <f t="shared" ca="1" si="93"/>
        <v>ON</v>
      </c>
      <c r="S219" s="20" t="str">
        <f t="shared" ca="1" si="93"/>
        <v>ON</v>
      </c>
      <c r="T219" s="1" t="str">
        <f t="shared" ca="1" si="94"/>
        <v>ON</v>
      </c>
      <c r="U219" s="1" t="str">
        <f t="shared" ca="1" si="95"/>
        <v>ON</v>
      </c>
      <c r="V219" s="1" t="str">
        <f t="shared" ca="1" si="96"/>
        <v>ON</v>
      </c>
      <c r="W219" s="1" t="str">
        <f t="shared" ca="1" si="97"/>
        <v>ON</v>
      </c>
      <c r="X219" s="1"/>
      <c r="Y219" s="20" t="str">
        <f t="shared" ca="1" si="98"/>
        <v>ON</v>
      </c>
      <c r="Z219" s="20" t="str">
        <f t="shared" ca="1" si="98"/>
        <v>ON</v>
      </c>
      <c r="AA219" s="1" t="str">
        <f t="shared" ca="1" si="99"/>
        <v>ON</v>
      </c>
      <c r="AB219" s="1" t="str">
        <f t="shared" ca="1" si="100"/>
        <v>OFF</v>
      </c>
      <c r="AC219" s="1" t="str">
        <f t="shared" ca="1" si="101"/>
        <v>ON</v>
      </c>
      <c r="AD219" s="1" t="str">
        <f t="shared" ca="1" si="102"/>
        <v>ON</v>
      </c>
      <c r="AE219" s="1"/>
      <c r="AF219" s="20" t="str">
        <f t="shared" ca="1" si="103"/>
        <v>ON</v>
      </c>
      <c r="AG219" s="20" t="str">
        <f t="shared" ca="1" si="103"/>
        <v>ON</v>
      </c>
      <c r="AH219" s="1" t="str">
        <f t="shared" ca="1" si="104"/>
        <v>ON</v>
      </c>
      <c r="AI219" s="1" t="str">
        <f t="shared" ca="1" si="105"/>
        <v>ON</v>
      </c>
      <c r="AJ219" s="1" t="str">
        <f t="shared" ca="1" si="106"/>
        <v>ON</v>
      </c>
      <c r="AK219" s="1" t="str">
        <f t="shared" ca="1" si="107"/>
        <v>ON</v>
      </c>
      <c r="AL219" s="1"/>
      <c r="AM219" s="20" t="str">
        <f t="shared" si="108"/>
        <v>ON</v>
      </c>
      <c r="AN219" s="20" t="str">
        <f t="shared" si="108"/>
        <v>ON</v>
      </c>
      <c r="AO219" s="20" t="str">
        <f t="shared" si="109"/>
        <v>ON</v>
      </c>
    </row>
    <row r="220" spans="1:41">
      <c r="A220" t="str">
        <f t="shared" ca="1" si="83"/>
        <v>Ondo</v>
      </c>
      <c r="B220" t="str">
        <f t="shared" ca="1" si="84"/>
        <v>B</v>
      </c>
      <c r="C220" t="str">
        <f t="shared" ca="1" si="85"/>
        <v>E1</v>
      </c>
      <c r="D220" t="s">
        <v>8</v>
      </c>
      <c r="E220">
        <f t="shared" ca="1" si="86"/>
        <v>25</v>
      </c>
      <c r="F220">
        <f t="shared" ca="1" si="87"/>
        <v>2</v>
      </c>
      <c r="G220" t="str">
        <v>A</v>
      </c>
      <c r="H220" t="str">
        <v>A</v>
      </c>
      <c r="I220" t="str">
        <f ca="1">IF($A220="","",IF(COUNTA($R$2:$W$2)=6,"WK "&amp;_xlfn.ISOWEEKNUM($R$2)))</f>
        <v>WK 19</v>
      </c>
      <c r="J220" t="str">
        <f ca="1">IF($A220="","",IF(COUNTA($AF$2:$AK$2)=6,"WK "&amp;_xlfn.ISOWEEKNUM($AF$2)))</f>
        <v>WK 21</v>
      </c>
      <c r="K220" s="20" t="str">
        <f t="shared" ca="1" si="88"/>
        <v>ON</v>
      </c>
      <c r="L220" s="20" t="str">
        <f t="shared" ca="1" si="88"/>
        <v>ON</v>
      </c>
      <c r="M220" s="1" t="str">
        <f t="shared" ca="1" si="89"/>
        <v>ON</v>
      </c>
      <c r="N220" s="1" t="str">
        <f t="shared" ca="1" si="90"/>
        <v>ON</v>
      </c>
      <c r="O220" s="1" t="str">
        <f t="shared" ca="1" si="91"/>
        <v>ON</v>
      </c>
      <c r="P220" s="1" t="str">
        <f t="shared" ca="1" si="92"/>
        <v>ON</v>
      </c>
      <c r="Q220" s="1"/>
      <c r="R220" s="20" t="str">
        <f t="shared" ca="1" si="93"/>
        <v>ON</v>
      </c>
      <c r="S220" s="20" t="str">
        <f t="shared" ca="1" si="93"/>
        <v>ON</v>
      </c>
      <c r="T220" s="1" t="str">
        <f t="shared" ca="1" si="94"/>
        <v>OFF</v>
      </c>
      <c r="U220" s="1" t="str">
        <f t="shared" ca="1" si="95"/>
        <v>ON</v>
      </c>
      <c r="V220" s="1" t="str">
        <f t="shared" ca="1" si="96"/>
        <v>ON</v>
      </c>
      <c r="W220" s="1" t="str">
        <f t="shared" ca="1" si="97"/>
        <v>ON</v>
      </c>
      <c r="X220" s="1"/>
      <c r="Y220" s="20" t="str">
        <f t="shared" ca="1" si="98"/>
        <v>ON</v>
      </c>
      <c r="Z220" s="20" t="str">
        <f t="shared" ca="1" si="98"/>
        <v>ON</v>
      </c>
      <c r="AA220" s="1" t="str">
        <f t="shared" ca="1" si="99"/>
        <v>ON</v>
      </c>
      <c r="AB220" s="1" t="str">
        <f t="shared" ca="1" si="100"/>
        <v>ON</v>
      </c>
      <c r="AC220" s="1" t="str">
        <f t="shared" ca="1" si="101"/>
        <v>ON</v>
      </c>
      <c r="AD220" s="1" t="str">
        <f t="shared" ca="1" si="102"/>
        <v>ON</v>
      </c>
      <c r="AE220" s="1"/>
      <c r="AF220" s="20" t="str">
        <f t="shared" ca="1" si="103"/>
        <v>ON</v>
      </c>
      <c r="AG220" s="20" t="str">
        <f t="shared" ca="1" si="103"/>
        <v>ON</v>
      </c>
      <c r="AH220" s="1" t="str">
        <f t="shared" ca="1" si="104"/>
        <v>OFF</v>
      </c>
      <c r="AI220" s="1" t="str">
        <f t="shared" ca="1" si="105"/>
        <v>ON</v>
      </c>
      <c r="AJ220" s="1" t="str">
        <f t="shared" ca="1" si="106"/>
        <v>ON</v>
      </c>
      <c r="AK220" s="1" t="str">
        <f t="shared" ca="1" si="107"/>
        <v>ON</v>
      </c>
      <c r="AL220" s="1"/>
      <c r="AM220" s="20" t="str">
        <f t="shared" si="108"/>
        <v>ON</v>
      </c>
      <c r="AN220" s="20" t="str">
        <f t="shared" si="108"/>
        <v>ON</v>
      </c>
      <c r="AO220" s="20" t="str">
        <f t="shared" si="109"/>
        <v>ON</v>
      </c>
    </row>
    <row r="221" spans="1:41">
      <c r="A221" t="str">
        <f t="shared" ca="1" si="83"/>
        <v>Ondo</v>
      </c>
      <c r="B221" t="str">
        <f t="shared" ca="1" si="84"/>
        <v>E</v>
      </c>
      <c r="C221" t="str">
        <f t="shared" ca="1" si="85"/>
        <v>B1</v>
      </c>
      <c r="D221" t="s">
        <v>8</v>
      </c>
      <c r="E221">
        <f t="shared" ca="1" si="86"/>
        <v>25</v>
      </c>
      <c r="F221">
        <f t="shared" ca="1" si="87"/>
        <v>2</v>
      </c>
      <c r="G221" t="str" cm="1">
        <f t="array" ref="G221:G224">Groups!$B$2:$B$5</f>
        <v>A</v>
      </c>
      <c r="H221" t="str" cm="1">
        <f t="array" ref="H221:H224">Groups!$B$2:$B$5</f>
        <v>A</v>
      </c>
      <c r="I221" t="str">
        <f ca="1">IF($A221="","",IF(COUNTA($K$2:$P$2)=6,"WK "&amp;_xlfn.ISOWEEKNUM($K$2)))</f>
        <v>WK 18</v>
      </c>
      <c r="J221" t="str">
        <f ca="1">IF($A221="","",IF(COUNTA($Y$2:$AD$2)=6,"WK "&amp;_xlfn.ISOWEEKNUM($Y$2)))</f>
        <v>WK 20</v>
      </c>
      <c r="K221" s="20" t="str">
        <f t="shared" ca="1" si="88"/>
        <v>ON</v>
      </c>
      <c r="L221" s="20" t="str">
        <f t="shared" ca="1" si="88"/>
        <v>ON</v>
      </c>
      <c r="M221" s="1" t="str">
        <f t="shared" ca="1" si="89"/>
        <v>OFF</v>
      </c>
      <c r="N221" s="1" t="str">
        <f t="shared" ca="1" si="90"/>
        <v>ON</v>
      </c>
      <c r="O221" s="1" t="str">
        <f t="shared" ca="1" si="91"/>
        <v>ON</v>
      </c>
      <c r="P221" s="1" t="str">
        <f t="shared" ca="1" si="92"/>
        <v>ON</v>
      </c>
      <c r="Q221" s="1"/>
      <c r="R221" s="20" t="str">
        <f t="shared" ca="1" si="93"/>
        <v>ON</v>
      </c>
      <c r="S221" s="20" t="str">
        <f t="shared" ca="1" si="93"/>
        <v>ON</v>
      </c>
      <c r="T221" s="1" t="str">
        <f t="shared" ca="1" si="94"/>
        <v>ON</v>
      </c>
      <c r="U221" s="1" t="str">
        <f t="shared" ca="1" si="95"/>
        <v>ON</v>
      </c>
      <c r="V221" s="1" t="str">
        <f t="shared" ca="1" si="96"/>
        <v>ON</v>
      </c>
      <c r="W221" s="1" t="str">
        <f t="shared" ca="1" si="97"/>
        <v>ON</v>
      </c>
      <c r="X221" s="1"/>
      <c r="Y221" s="20" t="str">
        <f t="shared" ca="1" si="98"/>
        <v>ON</v>
      </c>
      <c r="Z221" s="20" t="str">
        <f t="shared" ca="1" si="98"/>
        <v>ON</v>
      </c>
      <c r="AA221" s="1" t="str">
        <f t="shared" ca="1" si="99"/>
        <v>OFF</v>
      </c>
      <c r="AB221" s="1" t="str">
        <f t="shared" ca="1" si="100"/>
        <v>ON</v>
      </c>
      <c r="AC221" s="1" t="str">
        <f t="shared" ca="1" si="101"/>
        <v>ON</v>
      </c>
      <c r="AD221" s="1" t="str">
        <f t="shared" ca="1" si="102"/>
        <v>ON</v>
      </c>
      <c r="AE221" s="1"/>
      <c r="AF221" s="20" t="str">
        <f t="shared" ca="1" si="103"/>
        <v>ON</v>
      </c>
      <c r="AG221" s="20" t="str">
        <f t="shared" ca="1" si="103"/>
        <v>ON</v>
      </c>
      <c r="AH221" s="1" t="str">
        <f t="shared" ca="1" si="104"/>
        <v>ON</v>
      </c>
      <c r="AI221" s="1" t="str">
        <f t="shared" ca="1" si="105"/>
        <v>ON</v>
      </c>
      <c r="AJ221" s="1" t="str">
        <f t="shared" ca="1" si="106"/>
        <v>ON</v>
      </c>
      <c r="AK221" s="1" t="str">
        <f t="shared" ca="1" si="107"/>
        <v>ON</v>
      </c>
      <c r="AL221" s="1"/>
      <c r="AM221" s="20" t="str">
        <f t="shared" si="108"/>
        <v>ON</v>
      </c>
      <c r="AN221" s="20" t="str">
        <f t="shared" si="108"/>
        <v>ON</v>
      </c>
      <c r="AO221" s="20" t="str">
        <f t="shared" si="109"/>
        <v>ON</v>
      </c>
    </row>
    <row r="222" spans="1:41">
      <c r="A222" t="str">
        <f t="shared" ca="1" si="83"/>
        <v>Ogun</v>
      </c>
      <c r="B222" t="str">
        <f t="shared" ca="1" si="84"/>
        <v>D</v>
      </c>
      <c r="C222" t="str">
        <f t="shared" ca="1" si="85"/>
        <v>C1</v>
      </c>
      <c r="D222" t="s">
        <v>8</v>
      </c>
      <c r="E222">
        <f t="shared" ca="1" si="86"/>
        <v>25</v>
      </c>
      <c r="F222">
        <f t="shared" ca="1" si="87"/>
        <v>2</v>
      </c>
      <c r="G222" t="str">
        <v>B</v>
      </c>
      <c r="H222" t="str">
        <v>B</v>
      </c>
      <c r="I222" t="str">
        <f ca="1">IF($A222="","",IF(COUNTA($R$2:$W$2)=6,"WK "&amp;_xlfn.ISOWEEKNUM($R$2)))</f>
        <v>WK 19</v>
      </c>
      <c r="J222" t="str">
        <f ca="1">IF($A222="","",IF(COUNTA($AF$2:$AK$2)=6,"WK "&amp;_xlfn.ISOWEEKNUM($AF$2)))</f>
        <v>WK 21</v>
      </c>
      <c r="K222" s="20" t="str">
        <f t="shared" ca="1" si="88"/>
        <v>ON</v>
      </c>
      <c r="L222" s="20" t="str">
        <f t="shared" ca="1" si="88"/>
        <v>ON</v>
      </c>
      <c r="M222" s="1" t="str">
        <f t="shared" ca="1" si="89"/>
        <v>ON</v>
      </c>
      <c r="N222" s="1" t="str">
        <f t="shared" ca="1" si="90"/>
        <v>ON</v>
      </c>
      <c r="O222" s="1" t="str">
        <f t="shared" ca="1" si="91"/>
        <v>ON</v>
      </c>
      <c r="P222" s="1" t="str">
        <f t="shared" ca="1" si="92"/>
        <v>ON</v>
      </c>
      <c r="Q222" s="1"/>
      <c r="R222" s="20" t="str">
        <f t="shared" ca="1" si="93"/>
        <v>ON</v>
      </c>
      <c r="S222" s="20" t="str">
        <f t="shared" ca="1" si="93"/>
        <v>ON</v>
      </c>
      <c r="T222" s="1" t="str">
        <f t="shared" ca="1" si="94"/>
        <v>ON</v>
      </c>
      <c r="U222" s="1" t="str">
        <f t="shared" ca="1" si="95"/>
        <v>OFF</v>
      </c>
      <c r="V222" s="1" t="str">
        <f t="shared" ca="1" si="96"/>
        <v>ON</v>
      </c>
      <c r="W222" s="1" t="str">
        <f t="shared" ca="1" si="97"/>
        <v>ON</v>
      </c>
      <c r="X222" s="1"/>
      <c r="Y222" s="20" t="str">
        <f t="shared" ca="1" si="98"/>
        <v>ON</v>
      </c>
      <c r="Z222" s="20" t="str">
        <f t="shared" ca="1" si="98"/>
        <v>ON</v>
      </c>
      <c r="AA222" s="1" t="str">
        <f t="shared" ca="1" si="99"/>
        <v>ON</v>
      </c>
      <c r="AB222" s="1" t="str">
        <f t="shared" ca="1" si="100"/>
        <v>ON</v>
      </c>
      <c r="AC222" s="1" t="str">
        <f t="shared" ca="1" si="101"/>
        <v>ON</v>
      </c>
      <c r="AD222" s="1" t="str">
        <f t="shared" ca="1" si="102"/>
        <v>ON</v>
      </c>
      <c r="AE222" s="1"/>
      <c r="AF222" s="20" t="str">
        <f t="shared" ca="1" si="103"/>
        <v>ON</v>
      </c>
      <c r="AG222" s="20" t="str">
        <f t="shared" ca="1" si="103"/>
        <v>ON</v>
      </c>
      <c r="AH222" s="1" t="str">
        <f t="shared" ca="1" si="104"/>
        <v>ON</v>
      </c>
      <c r="AI222" s="1" t="str">
        <f t="shared" ca="1" si="105"/>
        <v>OFF</v>
      </c>
      <c r="AJ222" s="1" t="str">
        <f t="shared" ca="1" si="106"/>
        <v>ON</v>
      </c>
      <c r="AK222" s="1" t="str">
        <f t="shared" ca="1" si="107"/>
        <v>ON</v>
      </c>
      <c r="AL222" s="1"/>
      <c r="AM222" s="20" t="str">
        <f t="shared" si="108"/>
        <v>ON</v>
      </c>
      <c r="AN222" s="20" t="str">
        <f t="shared" si="108"/>
        <v>ON</v>
      </c>
      <c r="AO222" s="20" t="str">
        <f t="shared" si="109"/>
        <v>ON</v>
      </c>
    </row>
    <row r="223" spans="1:41">
      <c r="A223" t="str">
        <f t="shared" ca="1" si="83"/>
        <v>Oyo</v>
      </c>
      <c r="B223" t="str">
        <f t="shared" ca="1" si="84"/>
        <v>A</v>
      </c>
      <c r="C223" t="str">
        <f t="shared" ca="1" si="85"/>
        <v>A1</v>
      </c>
      <c r="D223" t="s">
        <v>8</v>
      </c>
      <c r="E223">
        <f t="shared" ca="1" si="86"/>
        <v>25</v>
      </c>
      <c r="F223">
        <f t="shared" ca="1" si="87"/>
        <v>2</v>
      </c>
      <c r="G223" t="str">
        <v>C</v>
      </c>
      <c r="H223" t="str">
        <v>C</v>
      </c>
      <c r="I223" t="str">
        <f ca="1">IF($A223="","",IF(COUNTA($K$2:$P$2)=6,"WK "&amp;_xlfn.ISOWEEKNUM($K$2)))</f>
        <v>WK 18</v>
      </c>
      <c r="J223" t="str">
        <f ca="1">IF($A223="","",IF(COUNTA($Y$2:$AD$2)=6,"WK "&amp;_xlfn.ISOWEEKNUM($Y$2)))</f>
        <v>WK 20</v>
      </c>
      <c r="K223" s="20" t="str">
        <f t="shared" ca="1" si="88"/>
        <v>ON</v>
      </c>
      <c r="L223" s="20" t="str">
        <f t="shared" ca="1" si="88"/>
        <v>ON</v>
      </c>
      <c r="M223" s="1" t="str">
        <f t="shared" ca="1" si="89"/>
        <v>ON</v>
      </c>
      <c r="N223" s="1" t="str">
        <f t="shared" ca="1" si="90"/>
        <v>ON</v>
      </c>
      <c r="O223" s="1" t="str">
        <f t="shared" ca="1" si="91"/>
        <v>OFF</v>
      </c>
      <c r="P223" s="1" t="str">
        <f t="shared" ca="1" si="92"/>
        <v>ON</v>
      </c>
      <c r="Q223" s="1"/>
      <c r="R223" s="20" t="str">
        <f t="shared" ca="1" si="93"/>
        <v>ON</v>
      </c>
      <c r="S223" s="20" t="str">
        <f t="shared" ca="1" si="93"/>
        <v>ON</v>
      </c>
      <c r="T223" s="1" t="str">
        <f t="shared" ca="1" si="94"/>
        <v>ON</v>
      </c>
      <c r="U223" s="1" t="str">
        <f t="shared" ca="1" si="95"/>
        <v>ON</v>
      </c>
      <c r="V223" s="1" t="str">
        <f t="shared" ca="1" si="96"/>
        <v>ON</v>
      </c>
      <c r="W223" s="1" t="str">
        <f t="shared" ca="1" si="97"/>
        <v>ON</v>
      </c>
      <c r="X223" s="1"/>
      <c r="Y223" s="20" t="str">
        <f t="shared" ca="1" si="98"/>
        <v>ON</v>
      </c>
      <c r="Z223" s="20" t="str">
        <f t="shared" ca="1" si="98"/>
        <v>ON</v>
      </c>
      <c r="AA223" s="1" t="str">
        <f t="shared" ca="1" si="99"/>
        <v>ON</v>
      </c>
      <c r="AB223" s="1" t="str">
        <f t="shared" ca="1" si="100"/>
        <v>ON</v>
      </c>
      <c r="AC223" s="1" t="str">
        <f t="shared" ca="1" si="101"/>
        <v>OFF</v>
      </c>
      <c r="AD223" s="1" t="str">
        <f t="shared" ca="1" si="102"/>
        <v>ON</v>
      </c>
      <c r="AE223" s="1"/>
      <c r="AF223" s="20" t="str">
        <f t="shared" ca="1" si="103"/>
        <v>ON</v>
      </c>
      <c r="AG223" s="20" t="str">
        <f t="shared" ca="1" si="103"/>
        <v>ON</v>
      </c>
      <c r="AH223" s="1" t="str">
        <f t="shared" ca="1" si="104"/>
        <v>ON</v>
      </c>
      <c r="AI223" s="1" t="str">
        <f t="shared" ca="1" si="105"/>
        <v>ON</v>
      </c>
      <c r="AJ223" s="1" t="str">
        <f t="shared" ca="1" si="106"/>
        <v>ON</v>
      </c>
      <c r="AK223" s="1" t="str">
        <f t="shared" ca="1" si="107"/>
        <v>ON</v>
      </c>
      <c r="AL223" s="1"/>
      <c r="AM223" s="20" t="str">
        <f t="shared" si="108"/>
        <v>ON</v>
      </c>
      <c r="AN223" s="20" t="str">
        <f t="shared" si="108"/>
        <v>ON</v>
      </c>
      <c r="AO223" s="20" t="str">
        <f t="shared" si="109"/>
        <v>ON</v>
      </c>
    </row>
    <row r="224" spans="1:41">
      <c r="A224" t="str">
        <f t="shared" ca="1" si="83"/>
        <v>Ekiti</v>
      </c>
      <c r="B224" t="str">
        <f t="shared" ca="1" si="84"/>
        <v>C</v>
      </c>
      <c r="C224" t="str">
        <f t="shared" ca="1" si="85"/>
        <v>E1</v>
      </c>
      <c r="D224" t="s">
        <v>7</v>
      </c>
      <c r="E224">
        <f t="shared" ca="1" si="86"/>
        <v>25</v>
      </c>
      <c r="F224">
        <f t="shared" ca="1" si="87"/>
        <v>2</v>
      </c>
      <c r="G224" t="str">
        <v>D</v>
      </c>
      <c r="H224" t="str">
        <v>D</v>
      </c>
      <c r="I224" t="str">
        <f ca="1">IF($A224="","",IF(COUNTA($R$2:$W$2)=6,"WK "&amp;_xlfn.ISOWEEKNUM($R$2)))</f>
        <v>WK 19</v>
      </c>
      <c r="J224" t="str">
        <f ca="1">IF($A224="","",IF(COUNTA($AF$2:$AK$2)=6,"WK "&amp;_xlfn.ISOWEEKNUM($AF$2)))</f>
        <v>WK 21</v>
      </c>
      <c r="K224" s="20" t="str">
        <f t="shared" ca="1" si="88"/>
        <v>ON</v>
      </c>
      <c r="L224" s="20" t="str">
        <f t="shared" ca="1" si="88"/>
        <v>ON</v>
      </c>
      <c r="M224" s="1" t="str">
        <f t="shared" ca="1" si="89"/>
        <v>ON</v>
      </c>
      <c r="N224" s="1" t="str">
        <f t="shared" ca="1" si="90"/>
        <v>ON</v>
      </c>
      <c r="O224" s="1" t="str">
        <f t="shared" ca="1" si="91"/>
        <v>ON</v>
      </c>
      <c r="P224" s="1" t="str">
        <f t="shared" ca="1" si="92"/>
        <v>ON</v>
      </c>
      <c r="Q224" s="1"/>
      <c r="R224" s="20" t="str">
        <f t="shared" ca="1" si="93"/>
        <v>ON</v>
      </c>
      <c r="S224" s="20" t="str">
        <f t="shared" ca="1" si="93"/>
        <v>ON</v>
      </c>
      <c r="T224" s="1" t="str">
        <f t="shared" ca="1" si="94"/>
        <v>ON</v>
      </c>
      <c r="U224" s="1" t="str">
        <f t="shared" ca="1" si="95"/>
        <v>ON</v>
      </c>
      <c r="V224" s="1" t="str">
        <f t="shared" ca="1" si="96"/>
        <v>ON</v>
      </c>
      <c r="W224" s="1" t="str">
        <f t="shared" ca="1" si="97"/>
        <v>OFF</v>
      </c>
      <c r="X224" s="1"/>
      <c r="Y224" s="20" t="str">
        <f t="shared" ca="1" si="98"/>
        <v>ON</v>
      </c>
      <c r="Z224" s="20" t="str">
        <f t="shared" ca="1" si="98"/>
        <v>ON</v>
      </c>
      <c r="AA224" s="1" t="str">
        <f t="shared" ca="1" si="99"/>
        <v>ON</v>
      </c>
      <c r="AB224" s="1" t="str">
        <f t="shared" ca="1" si="100"/>
        <v>ON</v>
      </c>
      <c r="AC224" s="1" t="str">
        <f t="shared" ca="1" si="101"/>
        <v>ON</v>
      </c>
      <c r="AD224" s="1" t="str">
        <f t="shared" ca="1" si="102"/>
        <v>ON</v>
      </c>
      <c r="AE224" s="1"/>
      <c r="AF224" s="20" t="str">
        <f t="shared" ca="1" si="103"/>
        <v>ON</v>
      </c>
      <c r="AG224" s="20" t="str">
        <f t="shared" ca="1" si="103"/>
        <v>ON</v>
      </c>
      <c r="AH224" s="1" t="str">
        <f t="shared" ca="1" si="104"/>
        <v>ON</v>
      </c>
      <c r="AI224" s="1" t="str">
        <f t="shared" ca="1" si="105"/>
        <v>ON</v>
      </c>
      <c r="AJ224" s="1" t="str">
        <f t="shared" ca="1" si="106"/>
        <v>ON</v>
      </c>
      <c r="AK224" s="1" t="str">
        <f t="shared" ca="1" si="107"/>
        <v>OFF</v>
      </c>
      <c r="AL224" s="1"/>
      <c r="AM224" s="20" t="str">
        <f t="shared" si="108"/>
        <v>ON</v>
      </c>
      <c r="AN224" s="20" t="str">
        <f t="shared" si="108"/>
        <v>ON</v>
      </c>
      <c r="AO224" s="20" t="str">
        <f t="shared" si="109"/>
        <v>ON</v>
      </c>
    </row>
    <row r="225" spans="1:41">
      <c r="A225" t="str">
        <f t="shared" ca="1" si="83"/>
        <v>Ogun</v>
      </c>
      <c r="B225" t="str">
        <f t="shared" ca="1" si="84"/>
        <v>A</v>
      </c>
      <c r="C225" t="str">
        <f t="shared" ca="1" si="85"/>
        <v>D1</v>
      </c>
      <c r="D225" t="s">
        <v>7</v>
      </c>
      <c r="E225">
        <f t="shared" ca="1" si="86"/>
        <v>25</v>
      </c>
      <c r="F225">
        <f t="shared" ca="1" si="87"/>
        <v>2</v>
      </c>
      <c r="G225" t="str" cm="1">
        <f t="array" ref="G225:G228">IF($G$5:$G$8={"A";"B";"C";"D"},{"D";"C";"B";"A"},{"A";"B";"C";"D"})</f>
        <v>D</v>
      </c>
      <c r="H225" t="str" cm="1">
        <f t="array" ref="H225:H228">IF($H$5:$H$8={"A";"B";"C";"D"},{"D";"C";"B";"A"},{"A";"B";"C";"D"})</f>
        <v>D</v>
      </c>
      <c r="I225" t="str">
        <f ca="1">IF($A225="","",IF(COUNTA($K$2:$P$2)=6,"WK "&amp;_xlfn.ISOWEEKNUM($K$2)))</f>
        <v>WK 18</v>
      </c>
      <c r="J225" t="str">
        <f ca="1">IF($A225="","",IF(COUNTA($Y$2:$AD$2)=6,"WK "&amp;_xlfn.ISOWEEKNUM($Y$2)))</f>
        <v>WK 20</v>
      </c>
      <c r="K225" s="20" t="str">
        <f t="shared" ca="1" si="88"/>
        <v>ON</v>
      </c>
      <c r="L225" s="20" t="str">
        <f t="shared" ca="1" si="88"/>
        <v>ON</v>
      </c>
      <c r="M225" s="1" t="str">
        <f t="shared" ca="1" si="89"/>
        <v>ON</v>
      </c>
      <c r="N225" s="1" t="str">
        <f t="shared" ca="1" si="90"/>
        <v>ON</v>
      </c>
      <c r="O225" s="1" t="str">
        <f t="shared" ca="1" si="91"/>
        <v>ON</v>
      </c>
      <c r="P225" s="1" t="str">
        <f t="shared" ca="1" si="92"/>
        <v>OFF</v>
      </c>
      <c r="Q225" s="1"/>
      <c r="R225" s="20" t="str">
        <f t="shared" ca="1" si="93"/>
        <v>ON</v>
      </c>
      <c r="S225" s="20" t="str">
        <f t="shared" ca="1" si="93"/>
        <v>ON</v>
      </c>
      <c r="T225" s="1" t="str">
        <f t="shared" ca="1" si="94"/>
        <v>ON</v>
      </c>
      <c r="U225" s="1" t="str">
        <f t="shared" ca="1" si="95"/>
        <v>ON</v>
      </c>
      <c r="V225" s="1" t="str">
        <f t="shared" ca="1" si="96"/>
        <v>ON</v>
      </c>
      <c r="W225" s="1" t="str">
        <f t="shared" ca="1" si="97"/>
        <v>ON</v>
      </c>
      <c r="X225" s="1"/>
      <c r="Y225" s="20" t="str">
        <f t="shared" ca="1" si="98"/>
        <v>ON</v>
      </c>
      <c r="Z225" s="20" t="str">
        <f t="shared" ca="1" si="98"/>
        <v>ON</v>
      </c>
      <c r="AA225" s="1" t="str">
        <f t="shared" ca="1" si="99"/>
        <v>ON</v>
      </c>
      <c r="AB225" s="1" t="str">
        <f t="shared" ca="1" si="100"/>
        <v>ON</v>
      </c>
      <c r="AC225" s="1" t="str">
        <f t="shared" ca="1" si="101"/>
        <v>ON</v>
      </c>
      <c r="AD225" s="1" t="str">
        <f t="shared" ca="1" si="102"/>
        <v>OFF</v>
      </c>
      <c r="AE225" s="1"/>
      <c r="AF225" s="20" t="str">
        <f t="shared" ca="1" si="103"/>
        <v>ON</v>
      </c>
      <c r="AG225" s="20" t="str">
        <f t="shared" ca="1" si="103"/>
        <v>ON</v>
      </c>
      <c r="AH225" s="1" t="str">
        <f t="shared" ca="1" si="104"/>
        <v>ON</v>
      </c>
      <c r="AI225" s="1" t="str">
        <f t="shared" ca="1" si="105"/>
        <v>ON</v>
      </c>
      <c r="AJ225" s="1" t="str">
        <f t="shared" ca="1" si="106"/>
        <v>ON</v>
      </c>
      <c r="AK225" s="1" t="str">
        <f t="shared" ca="1" si="107"/>
        <v>ON</v>
      </c>
      <c r="AL225" s="1"/>
      <c r="AM225" s="20" t="str">
        <f t="shared" si="108"/>
        <v>ON</v>
      </c>
      <c r="AN225" s="20" t="str">
        <f t="shared" si="108"/>
        <v>ON</v>
      </c>
      <c r="AO225" s="20" t="str">
        <f t="shared" si="109"/>
        <v>ON</v>
      </c>
    </row>
    <row r="226" spans="1:41">
      <c r="A226" t="str">
        <f t="shared" ca="1" si="83"/>
        <v>Ondo</v>
      </c>
      <c r="B226" t="str">
        <f t="shared" ca="1" si="84"/>
        <v>A</v>
      </c>
      <c r="C226" t="str">
        <f t="shared" ca="1" si="85"/>
        <v>C1</v>
      </c>
      <c r="D226" t="s">
        <v>7</v>
      </c>
      <c r="E226">
        <f t="shared" ca="1" si="86"/>
        <v>25</v>
      </c>
      <c r="F226">
        <f t="shared" ca="1" si="87"/>
        <v>2</v>
      </c>
      <c r="G226" t="str">
        <v>C</v>
      </c>
      <c r="H226" t="str">
        <v>C</v>
      </c>
      <c r="I226" t="str">
        <f ca="1">IF($A226="","",IF(COUNTA($R$2:$W$2)=6,"WK "&amp;_xlfn.ISOWEEKNUM($R$2)))</f>
        <v>WK 19</v>
      </c>
      <c r="J226" t="str">
        <f ca="1">IF($A226="","",IF(COUNTA($AF$2:$AK$2)=6,"WK "&amp;_xlfn.ISOWEEKNUM($AF$2)))</f>
        <v>WK 21</v>
      </c>
      <c r="K226" s="20" t="str">
        <f t="shared" ca="1" si="88"/>
        <v>ON</v>
      </c>
      <c r="L226" s="20" t="str">
        <f t="shared" ca="1" si="88"/>
        <v>ON</v>
      </c>
      <c r="M226" s="1" t="str">
        <f t="shared" ca="1" si="89"/>
        <v>ON</v>
      </c>
      <c r="N226" s="1" t="str">
        <f t="shared" ca="1" si="90"/>
        <v>ON</v>
      </c>
      <c r="O226" s="1" t="str">
        <f t="shared" ca="1" si="91"/>
        <v>ON</v>
      </c>
      <c r="P226" s="1" t="str">
        <f t="shared" ca="1" si="92"/>
        <v>ON</v>
      </c>
      <c r="Q226" s="1"/>
      <c r="R226" s="20" t="str">
        <f t="shared" ca="1" si="93"/>
        <v>ON</v>
      </c>
      <c r="S226" s="20" t="str">
        <f t="shared" ca="1" si="93"/>
        <v>ON</v>
      </c>
      <c r="T226" s="1" t="str">
        <f t="shared" ca="1" si="94"/>
        <v>ON</v>
      </c>
      <c r="U226" s="1" t="str">
        <f t="shared" ca="1" si="95"/>
        <v>ON</v>
      </c>
      <c r="V226" s="1" t="str">
        <f t="shared" ca="1" si="96"/>
        <v>OFF</v>
      </c>
      <c r="W226" s="1" t="str">
        <f t="shared" ca="1" si="97"/>
        <v>ON</v>
      </c>
      <c r="X226" s="1"/>
      <c r="Y226" s="20" t="str">
        <f t="shared" ca="1" si="98"/>
        <v>ON</v>
      </c>
      <c r="Z226" s="20" t="str">
        <f t="shared" ca="1" si="98"/>
        <v>ON</v>
      </c>
      <c r="AA226" s="1" t="str">
        <f t="shared" ca="1" si="99"/>
        <v>ON</v>
      </c>
      <c r="AB226" s="1" t="str">
        <f t="shared" ca="1" si="100"/>
        <v>ON</v>
      </c>
      <c r="AC226" s="1" t="str">
        <f t="shared" ca="1" si="101"/>
        <v>ON</v>
      </c>
      <c r="AD226" s="1" t="str">
        <f t="shared" ca="1" si="102"/>
        <v>ON</v>
      </c>
      <c r="AE226" s="1"/>
      <c r="AF226" s="20" t="str">
        <f t="shared" ca="1" si="103"/>
        <v>ON</v>
      </c>
      <c r="AG226" s="20" t="str">
        <f t="shared" ca="1" si="103"/>
        <v>ON</v>
      </c>
      <c r="AH226" s="1" t="str">
        <f t="shared" ca="1" si="104"/>
        <v>ON</v>
      </c>
      <c r="AI226" s="1" t="str">
        <f t="shared" ca="1" si="105"/>
        <v>ON</v>
      </c>
      <c r="AJ226" s="1" t="str">
        <f t="shared" ca="1" si="106"/>
        <v>OFF</v>
      </c>
      <c r="AK226" s="1" t="str">
        <f t="shared" ca="1" si="107"/>
        <v>ON</v>
      </c>
      <c r="AL226" s="1"/>
      <c r="AM226" s="20" t="str">
        <f t="shared" si="108"/>
        <v>ON</v>
      </c>
      <c r="AN226" s="20" t="str">
        <f t="shared" si="108"/>
        <v>ON</v>
      </c>
      <c r="AO226" s="20" t="str">
        <f t="shared" si="109"/>
        <v>ON</v>
      </c>
    </row>
    <row r="227" spans="1:41">
      <c r="A227" t="str">
        <f t="shared" ca="1" si="83"/>
        <v>Ogun</v>
      </c>
      <c r="B227" t="str">
        <f t="shared" ca="1" si="84"/>
        <v>E</v>
      </c>
      <c r="C227" t="str">
        <f t="shared" ca="1" si="85"/>
        <v>B1</v>
      </c>
      <c r="D227" t="s">
        <v>7</v>
      </c>
      <c r="E227">
        <f t="shared" ca="1" si="86"/>
        <v>25</v>
      </c>
      <c r="F227">
        <f t="shared" ca="1" si="87"/>
        <v>2</v>
      </c>
      <c r="G227" t="str">
        <v>B</v>
      </c>
      <c r="H227" t="str">
        <v>B</v>
      </c>
      <c r="I227" t="str">
        <f ca="1">IF($A227="","",IF(COUNTA($K$2:$P$2)=6,"WK "&amp;_xlfn.ISOWEEKNUM($K$2)))</f>
        <v>WK 18</v>
      </c>
      <c r="J227" t="str">
        <f ca="1">IF($A227="","",IF(COUNTA($Y$2:$AD$2)=6,"WK "&amp;_xlfn.ISOWEEKNUM($Y$2)))</f>
        <v>WK 20</v>
      </c>
      <c r="K227" s="20" t="str">
        <f t="shared" ca="1" si="88"/>
        <v>ON</v>
      </c>
      <c r="L227" s="20" t="str">
        <f t="shared" ca="1" si="88"/>
        <v>ON</v>
      </c>
      <c r="M227" s="1" t="str">
        <f t="shared" ca="1" si="89"/>
        <v>ON</v>
      </c>
      <c r="N227" s="1" t="str">
        <f t="shared" ca="1" si="90"/>
        <v>OFF</v>
      </c>
      <c r="O227" s="1" t="str">
        <f t="shared" ca="1" si="91"/>
        <v>ON</v>
      </c>
      <c r="P227" s="1" t="str">
        <f t="shared" ca="1" si="92"/>
        <v>ON</v>
      </c>
      <c r="Q227" s="1"/>
      <c r="R227" s="20" t="str">
        <f t="shared" ca="1" si="93"/>
        <v>ON</v>
      </c>
      <c r="S227" s="20" t="str">
        <f t="shared" ca="1" si="93"/>
        <v>ON</v>
      </c>
      <c r="T227" s="1" t="str">
        <f t="shared" ca="1" si="94"/>
        <v>ON</v>
      </c>
      <c r="U227" s="1" t="str">
        <f t="shared" ca="1" si="95"/>
        <v>ON</v>
      </c>
      <c r="V227" s="1" t="str">
        <f t="shared" ca="1" si="96"/>
        <v>ON</v>
      </c>
      <c r="W227" s="1" t="str">
        <f t="shared" ca="1" si="97"/>
        <v>ON</v>
      </c>
      <c r="X227" s="1"/>
      <c r="Y227" s="20" t="str">
        <f t="shared" ca="1" si="98"/>
        <v>ON</v>
      </c>
      <c r="Z227" s="20" t="str">
        <f t="shared" ca="1" si="98"/>
        <v>ON</v>
      </c>
      <c r="AA227" s="1" t="str">
        <f t="shared" ca="1" si="99"/>
        <v>ON</v>
      </c>
      <c r="AB227" s="1" t="str">
        <f t="shared" ca="1" si="100"/>
        <v>OFF</v>
      </c>
      <c r="AC227" s="1" t="str">
        <f t="shared" ca="1" si="101"/>
        <v>ON</v>
      </c>
      <c r="AD227" s="1" t="str">
        <f t="shared" ca="1" si="102"/>
        <v>ON</v>
      </c>
      <c r="AE227" s="1"/>
      <c r="AF227" s="20" t="str">
        <f t="shared" ca="1" si="103"/>
        <v>ON</v>
      </c>
      <c r="AG227" s="20" t="str">
        <f t="shared" ca="1" si="103"/>
        <v>ON</v>
      </c>
      <c r="AH227" s="1" t="str">
        <f t="shared" ca="1" si="104"/>
        <v>ON</v>
      </c>
      <c r="AI227" s="1" t="str">
        <f t="shared" ca="1" si="105"/>
        <v>ON</v>
      </c>
      <c r="AJ227" s="1" t="str">
        <f t="shared" ca="1" si="106"/>
        <v>ON</v>
      </c>
      <c r="AK227" s="1" t="str">
        <f t="shared" ca="1" si="107"/>
        <v>ON</v>
      </c>
      <c r="AL227" s="1"/>
      <c r="AM227" s="20" t="str">
        <f t="shared" si="108"/>
        <v>ON</v>
      </c>
      <c r="AN227" s="20" t="str">
        <f t="shared" si="108"/>
        <v>ON</v>
      </c>
      <c r="AO227" s="20" t="str">
        <f t="shared" si="109"/>
        <v>ON</v>
      </c>
    </row>
    <row r="228" spans="1:41">
      <c r="A228" t="str">
        <f t="shared" ca="1" si="83"/>
        <v>Ekiti</v>
      </c>
      <c r="B228" t="str">
        <f t="shared" ca="1" si="84"/>
        <v>A</v>
      </c>
      <c r="C228" t="str">
        <f t="shared" ca="1" si="85"/>
        <v>D1</v>
      </c>
      <c r="D228" t="s">
        <v>7</v>
      </c>
      <c r="E228">
        <f t="shared" ca="1" si="86"/>
        <v>25</v>
      </c>
      <c r="F228">
        <f t="shared" ca="1" si="87"/>
        <v>2</v>
      </c>
      <c r="G228" t="str">
        <v>A</v>
      </c>
      <c r="H228" t="str">
        <v>A</v>
      </c>
      <c r="I228" t="str">
        <f ca="1">IF($A228="","",IF(COUNTA($R$2:$W$2)=6,"WK "&amp;_xlfn.ISOWEEKNUM($R$2)))</f>
        <v>WK 19</v>
      </c>
      <c r="J228" t="str">
        <f ca="1">IF($A228="","",IF(COUNTA($AF$2:$AK$2)=6,"WK "&amp;_xlfn.ISOWEEKNUM($AF$2)))</f>
        <v>WK 21</v>
      </c>
      <c r="K228" s="20" t="str">
        <f t="shared" ca="1" si="88"/>
        <v>ON</v>
      </c>
      <c r="L228" s="20" t="str">
        <f t="shared" ca="1" si="88"/>
        <v>ON</v>
      </c>
      <c r="M228" s="1" t="str">
        <f t="shared" ca="1" si="89"/>
        <v>ON</v>
      </c>
      <c r="N228" s="1" t="str">
        <f t="shared" ca="1" si="90"/>
        <v>ON</v>
      </c>
      <c r="O228" s="1" t="str">
        <f t="shared" ca="1" si="91"/>
        <v>ON</v>
      </c>
      <c r="P228" s="1" t="str">
        <f t="shared" ca="1" si="92"/>
        <v>ON</v>
      </c>
      <c r="Q228" s="1"/>
      <c r="R228" s="20" t="str">
        <f t="shared" ca="1" si="93"/>
        <v>ON</v>
      </c>
      <c r="S228" s="20" t="str">
        <f t="shared" ca="1" si="93"/>
        <v>ON</v>
      </c>
      <c r="T228" s="1" t="str">
        <f t="shared" ca="1" si="94"/>
        <v>OFF</v>
      </c>
      <c r="U228" s="1" t="str">
        <f t="shared" ca="1" si="95"/>
        <v>ON</v>
      </c>
      <c r="V228" s="1" t="str">
        <f t="shared" ca="1" si="96"/>
        <v>ON</v>
      </c>
      <c r="W228" s="1" t="str">
        <f t="shared" ca="1" si="97"/>
        <v>ON</v>
      </c>
      <c r="X228" s="1"/>
      <c r="Y228" s="20" t="str">
        <f t="shared" ca="1" si="98"/>
        <v>ON</v>
      </c>
      <c r="Z228" s="20" t="str">
        <f t="shared" ca="1" si="98"/>
        <v>ON</v>
      </c>
      <c r="AA228" s="1" t="str">
        <f t="shared" ca="1" si="99"/>
        <v>ON</v>
      </c>
      <c r="AB228" s="1" t="str">
        <f t="shared" ca="1" si="100"/>
        <v>ON</v>
      </c>
      <c r="AC228" s="1" t="str">
        <f t="shared" ca="1" si="101"/>
        <v>ON</v>
      </c>
      <c r="AD228" s="1" t="str">
        <f t="shared" ca="1" si="102"/>
        <v>ON</v>
      </c>
      <c r="AE228" s="1"/>
      <c r="AF228" s="20" t="str">
        <f t="shared" ca="1" si="103"/>
        <v>ON</v>
      </c>
      <c r="AG228" s="20" t="str">
        <f t="shared" ca="1" si="103"/>
        <v>ON</v>
      </c>
      <c r="AH228" s="1" t="str">
        <f t="shared" ca="1" si="104"/>
        <v>OFF</v>
      </c>
      <c r="AI228" s="1" t="str">
        <f t="shared" ca="1" si="105"/>
        <v>ON</v>
      </c>
      <c r="AJ228" s="1" t="str">
        <f t="shared" ca="1" si="106"/>
        <v>ON</v>
      </c>
      <c r="AK228" s="1" t="str">
        <f t="shared" ca="1" si="107"/>
        <v>ON</v>
      </c>
      <c r="AL228" s="1"/>
      <c r="AM228" s="20" t="str">
        <f t="shared" si="108"/>
        <v>ON</v>
      </c>
      <c r="AN228" s="20" t="str">
        <f t="shared" si="108"/>
        <v>ON</v>
      </c>
      <c r="AO228" s="20" t="str">
        <f t="shared" si="109"/>
        <v>ON</v>
      </c>
    </row>
    <row r="229" spans="1:41">
      <c r="A229" t="str">
        <f t="shared" ca="1" si="83"/>
        <v>Oyo</v>
      </c>
      <c r="B229" t="str">
        <f t="shared" ca="1" si="84"/>
        <v>E</v>
      </c>
      <c r="C229" t="str">
        <f t="shared" ca="1" si="85"/>
        <v>E1</v>
      </c>
      <c r="D229" t="s">
        <v>4</v>
      </c>
      <c r="E229">
        <f t="shared" ca="1" si="86"/>
        <v>25</v>
      </c>
      <c r="F229">
        <f t="shared" ca="1" si="87"/>
        <v>2</v>
      </c>
      <c r="G229" t="str" cm="1">
        <f t="array" ref="G229:G232">Groups!$B$2:$B$5</f>
        <v>A</v>
      </c>
      <c r="H229" t="str" cm="1">
        <f t="array" ref="H229:H232">Groups!$B$2:$B$5</f>
        <v>A</v>
      </c>
      <c r="I229" t="str">
        <f ca="1">IF($A229="","",IF(COUNTA($K$2:$P$2)=6,"WK "&amp;_xlfn.ISOWEEKNUM($K$2)))</f>
        <v>WK 18</v>
      </c>
      <c r="J229" t="str">
        <f ca="1">IF($A229="","",IF(COUNTA($Y$2:$AD$2)=6,"WK "&amp;_xlfn.ISOWEEKNUM($Y$2)))</f>
        <v>WK 20</v>
      </c>
      <c r="K229" s="20" t="str">
        <f t="shared" ca="1" si="88"/>
        <v>ON</v>
      </c>
      <c r="L229" s="20" t="str">
        <f t="shared" ca="1" si="88"/>
        <v>ON</v>
      </c>
      <c r="M229" s="1" t="str">
        <f t="shared" ca="1" si="89"/>
        <v>OFF</v>
      </c>
      <c r="N229" s="1" t="str">
        <f t="shared" ca="1" si="90"/>
        <v>ON</v>
      </c>
      <c r="O229" s="1" t="str">
        <f t="shared" ca="1" si="91"/>
        <v>ON</v>
      </c>
      <c r="P229" s="1" t="str">
        <f t="shared" ca="1" si="92"/>
        <v>ON</v>
      </c>
      <c r="Q229" s="1"/>
      <c r="R229" s="20" t="str">
        <f t="shared" ca="1" si="93"/>
        <v>ON</v>
      </c>
      <c r="S229" s="20" t="str">
        <f t="shared" ca="1" si="93"/>
        <v>ON</v>
      </c>
      <c r="T229" s="1" t="str">
        <f t="shared" ca="1" si="94"/>
        <v>ON</v>
      </c>
      <c r="U229" s="1" t="str">
        <f t="shared" ca="1" si="95"/>
        <v>ON</v>
      </c>
      <c r="V229" s="1" t="str">
        <f t="shared" ca="1" si="96"/>
        <v>ON</v>
      </c>
      <c r="W229" s="1" t="str">
        <f t="shared" ca="1" si="97"/>
        <v>ON</v>
      </c>
      <c r="X229" s="1"/>
      <c r="Y229" s="20" t="str">
        <f t="shared" ca="1" si="98"/>
        <v>ON</v>
      </c>
      <c r="Z229" s="20" t="str">
        <f t="shared" ca="1" si="98"/>
        <v>ON</v>
      </c>
      <c r="AA229" s="1" t="str">
        <f t="shared" ca="1" si="99"/>
        <v>OFF</v>
      </c>
      <c r="AB229" s="1" t="str">
        <f t="shared" ca="1" si="100"/>
        <v>ON</v>
      </c>
      <c r="AC229" s="1" t="str">
        <f t="shared" ca="1" si="101"/>
        <v>ON</v>
      </c>
      <c r="AD229" s="1" t="str">
        <f t="shared" ca="1" si="102"/>
        <v>ON</v>
      </c>
      <c r="AE229" s="1"/>
      <c r="AF229" s="20" t="str">
        <f t="shared" ca="1" si="103"/>
        <v>ON</v>
      </c>
      <c r="AG229" s="20" t="str">
        <f t="shared" ca="1" si="103"/>
        <v>ON</v>
      </c>
      <c r="AH229" s="1" t="str">
        <f t="shared" ca="1" si="104"/>
        <v>ON</v>
      </c>
      <c r="AI229" s="1" t="str">
        <f t="shared" ca="1" si="105"/>
        <v>ON</v>
      </c>
      <c r="AJ229" s="1" t="str">
        <f t="shared" ca="1" si="106"/>
        <v>ON</v>
      </c>
      <c r="AK229" s="1" t="str">
        <f t="shared" ca="1" si="107"/>
        <v>ON</v>
      </c>
      <c r="AL229" s="1"/>
      <c r="AM229" s="20" t="str">
        <f t="shared" si="108"/>
        <v>ON</v>
      </c>
      <c r="AN229" s="20" t="str">
        <f t="shared" si="108"/>
        <v>ON</v>
      </c>
      <c r="AO229" s="20" t="str">
        <f t="shared" si="109"/>
        <v>ON</v>
      </c>
    </row>
    <row r="230" spans="1:41">
      <c r="A230" t="str">
        <f t="shared" ca="1" si="83"/>
        <v>Lagos</v>
      </c>
      <c r="B230" t="str">
        <f t="shared" ca="1" si="84"/>
        <v>D</v>
      </c>
      <c r="C230" t="str">
        <f t="shared" ca="1" si="85"/>
        <v>A1</v>
      </c>
      <c r="D230" t="s">
        <v>5</v>
      </c>
      <c r="E230">
        <f t="shared" ca="1" si="86"/>
        <v>25</v>
      </c>
      <c r="F230">
        <f t="shared" ca="1" si="87"/>
        <v>2</v>
      </c>
      <c r="G230" t="str">
        <v>B</v>
      </c>
      <c r="H230" t="str">
        <v>B</v>
      </c>
      <c r="I230" t="str">
        <f ca="1">IF($A230="","",IF(COUNTA($R$2:$W$2)=6,"WK "&amp;_xlfn.ISOWEEKNUM($R$2)))</f>
        <v>WK 19</v>
      </c>
      <c r="J230" t="str">
        <f ca="1">IF($A230="","",IF(COUNTA($AF$2:$AK$2)=6,"WK "&amp;_xlfn.ISOWEEKNUM($AF$2)))</f>
        <v>WK 21</v>
      </c>
      <c r="K230" s="20" t="str">
        <f t="shared" ca="1" si="88"/>
        <v>ON</v>
      </c>
      <c r="L230" s="20" t="str">
        <f t="shared" ca="1" si="88"/>
        <v>ON</v>
      </c>
      <c r="M230" s="1" t="str">
        <f t="shared" ca="1" si="89"/>
        <v>ON</v>
      </c>
      <c r="N230" s="1" t="str">
        <f t="shared" ca="1" si="90"/>
        <v>ON</v>
      </c>
      <c r="O230" s="1" t="str">
        <f t="shared" ca="1" si="91"/>
        <v>ON</v>
      </c>
      <c r="P230" s="1" t="str">
        <f t="shared" ca="1" si="92"/>
        <v>ON</v>
      </c>
      <c r="Q230" s="1"/>
      <c r="R230" s="20" t="str">
        <f t="shared" ca="1" si="93"/>
        <v>ON</v>
      </c>
      <c r="S230" s="20" t="str">
        <f t="shared" ca="1" si="93"/>
        <v>ON</v>
      </c>
      <c r="T230" s="1" t="str">
        <f t="shared" ca="1" si="94"/>
        <v>ON</v>
      </c>
      <c r="U230" s="1" t="str">
        <f t="shared" ca="1" si="95"/>
        <v>OFF</v>
      </c>
      <c r="V230" s="1" t="str">
        <f t="shared" ca="1" si="96"/>
        <v>ON</v>
      </c>
      <c r="W230" s="1" t="str">
        <f t="shared" ca="1" si="97"/>
        <v>ON</v>
      </c>
      <c r="X230" s="1"/>
      <c r="Y230" s="20" t="str">
        <f t="shared" ca="1" si="98"/>
        <v>ON</v>
      </c>
      <c r="Z230" s="20" t="str">
        <f t="shared" ca="1" si="98"/>
        <v>ON</v>
      </c>
      <c r="AA230" s="1" t="str">
        <f t="shared" ca="1" si="99"/>
        <v>ON</v>
      </c>
      <c r="AB230" s="1" t="str">
        <f t="shared" ca="1" si="100"/>
        <v>ON</v>
      </c>
      <c r="AC230" s="1" t="str">
        <f t="shared" ca="1" si="101"/>
        <v>ON</v>
      </c>
      <c r="AD230" s="1" t="str">
        <f t="shared" ca="1" si="102"/>
        <v>ON</v>
      </c>
      <c r="AE230" s="1"/>
      <c r="AF230" s="20" t="str">
        <f t="shared" ca="1" si="103"/>
        <v>ON</v>
      </c>
      <c r="AG230" s="20" t="str">
        <f t="shared" ca="1" si="103"/>
        <v>ON</v>
      </c>
      <c r="AH230" s="1" t="str">
        <f t="shared" ca="1" si="104"/>
        <v>ON</v>
      </c>
      <c r="AI230" s="1" t="str">
        <f t="shared" ca="1" si="105"/>
        <v>OFF</v>
      </c>
      <c r="AJ230" s="1" t="str">
        <f t="shared" ca="1" si="106"/>
        <v>ON</v>
      </c>
      <c r="AK230" s="1" t="str">
        <f t="shared" ca="1" si="107"/>
        <v>ON</v>
      </c>
      <c r="AL230" s="1"/>
      <c r="AM230" s="20" t="str">
        <f t="shared" si="108"/>
        <v>ON</v>
      </c>
      <c r="AN230" s="20" t="str">
        <f t="shared" si="108"/>
        <v>ON</v>
      </c>
      <c r="AO230" s="20" t="str">
        <f t="shared" si="109"/>
        <v>ON</v>
      </c>
    </row>
    <row r="231" spans="1:41">
      <c r="A231" t="str">
        <f t="shared" ca="1" si="83"/>
        <v>Lagos</v>
      </c>
      <c r="B231" t="str">
        <f t="shared" ca="1" si="84"/>
        <v>D</v>
      </c>
      <c r="C231" t="str">
        <f t="shared" ca="1" si="85"/>
        <v>C1</v>
      </c>
      <c r="D231" t="s">
        <v>5</v>
      </c>
      <c r="E231">
        <f t="shared" ca="1" si="86"/>
        <v>25</v>
      </c>
      <c r="F231">
        <f t="shared" ca="1" si="87"/>
        <v>2</v>
      </c>
      <c r="G231" t="str">
        <v>C</v>
      </c>
      <c r="H231" t="str">
        <v>C</v>
      </c>
      <c r="I231" t="str">
        <f ca="1">IF($A231="","",IF(COUNTA($K$2:$P$2)=6,"WK "&amp;_xlfn.ISOWEEKNUM($K$2)))</f>
        <v>WK 18</v>
      </c>
      <c r="J231" t="str">
        <f ca="1">IF($A231="","",IF(COUNTA($Y$2:$AD$2)=6,"WK "&amp;_xlfn.ISOWEEKNUM($Y$2)))</f>
        <v>WK 20</v>
      </c>
      <c r="K231" s="20" t="str">
        <f t="shared" ca="1" si="88"/>
        <v>ON</v>
      </c>
      <c r="L231" s="20" t="str">
        <f t="shared" ca="1" si="88"/>
        <v>ON</v>
      </c>
      <c r="M231" s="1" t="str">
        <f t="shared" ca="1" si="89"/>
        <v>ON</v>
      </c>
      <c r="N231" s="1" t="str">
        <f t="shared" ca="1" si="90"/>
        <v>ON</v>
      </c>
      <c r="O231" s="1" t="str">
        <f t="shared" ca="1" si="91"/>
        <v>OFF</v>
      </c>
      <c r="P231" s="1" t="str">
        <f t="shared" ca="1" si="92"/>
        <v>ON</v>
      </c>
      <c r="Q231" s="1"/>
      <c r="R231" s="20" t="str">
        <f t="shared" ca="1" si="93"/>
        <v>ON</v>
      </c>
      <c r="S231" s="20" t="str">
        <f t="shared" ca="1" si="93"/>
        <v>ON</v>
      </c>
      <c r="T231" s="1" t="str">
        <f t="shared" ca="1" si="94"/>
        <v>ON</v>
      </c>
      <c r="U231" s="1" t="str">
        <f t="shared" ca="1" si="95"/>
        <v>ON</v>
      </c>
      <c r="V231" s="1" t="str">
        <f t="shared" ca="1" si="96"/>
        <v>ON</v>
      </c>
      <c r="W231" s="1" t="str">
        <f t="shared" ca="1" si="97"/>
        <v>ON</v>
      </c>
      <c r="X231" s="1"/>
      <c r="Y231" s="20" t="str">
        <f t="shared" ca="1" si="98"/>
        <v>ON</v>
      </c>
      <c r="Z231" s="20" t="str">
        <f t="shared" ca="1" si="98"/>
        <v>ON</v>
      </c>
      <c r="AA231" s="1" t="str">
        <f t="shared" ca="1" si="99"/>
        <v>ON</v>
      </c>
      <c r="AB231" s="1" t="str">
        <f t="shared" ca="1" si="100"/>
        <v>ON</v>
      </c>
      <c r="AC231" s="1" t="str">
        <f t="shared" ca="1" si="101"/>
        <v>OFF</v>
      </c>
      <c r="AD231" s="1" t="str">
        <f t="shared" ca="1" si="102"/>
        <v>ON</v>
      </c>
      <c r="AE231" s="1"/>
      <c r="AF231" s="20" t="str">
        <f t="shared" ca="1" si="103"/>
        <v>ON</v>
      </c>
      <c r="AG231" s="20" t="str">
        <f t="shared" ca="1" si="103"/>
        <v>ON</v>
      </c>
      <c r="AH231" s="1" t="str">
        <f t="shared" ca="1" si="104"/>
        <v>ON</v>
      </c>
      <c r="AI231" s="1" t="str">
        <f t="shared" ca="1" si="105"/>
        <v>ON</v>
      </c>
      <c r="AJ231" s="1" t="str">
        <f t="shared" ca="1" si="106"/>
        <v>ON</v>
      </c>
      <c r="AK231" s="1" t="str">
        <f t="shared" ca="1" si="107"/>
        <v>ON</v>
      </c>
      <c r="AL231" s="1"/>
      <c r="AM231" s="20" t="str">
        <f t="shared" si="108"/>
        <v>ON</v>
      </c>
      <c r="AN231" s="20" t="str">
        <f t="shared" si="108"/>
        <v>ON</v>
      </c>
      <c r="AO231" s="20" t="str">
        <f t="shared" si="109"/>
        <v>ON</v>
      </c>
    </row>
    <row r="232" spans="1:41">
      <c r="A232" t="str">
        <f t="shared" ca="1" si="83"/>
        <v>Ondo</v>
      </c>
      <c r="B232" t="str">
        <f t="shared" ca="1" si="84"/>
        <v>A</v>
      </c>
      <c r="C232" t="str">
        <f t="shared" ca="1" si="85"/>
        <v>C1</v>
      </c>
      <c r="D232" t="s">
        <v>5</v>
      </c>
      <c r="E232">
        <f t="shared" ca="1" si="86"/>
        <v>25</v>
      </c>
      <c r="F232">
        <f t="shared" ca="1" si="87"/>
        <v>2</v>
      </c>
      <c r="G232" t="str">
        <v>D</v>
      </c>
      <c r="H232" t="str">
        <v>D</v>
      </c>
      <c r="I232" t="str">
        <f ca="1">IF($A232="","",IF(COUNTA($R$2:$W$2)=6,"WK "&amp;_xlfn.ISOWEEKNUM($R$2)))</f>
        <v>WK 19</v>
      </c>
      <c r="J232" t="str">
        <f ca="1">IF($A232="","",IF(COUNTA($AF$2:$AK$2)=6,"WK "&amp;_xlfn.ISOWEEKNUM($AF$2)))</f>
        <v>WK 21</v>
      </c>
      <c r="K232" s="20" t="str">
        <f t="shared" ca="1" si="88"/>
        <v>ON</v>
      </c>
      <c r="L232" s="20" t="str">
        <f t="shared" ca="1" si="88"/>
        <v>ON</v>
      </c>
      <c r="M232" s="1" t="str">
        <f t="shared" ca="1" si="89"/>
        <v>ON</v>
      </c>
      <c r="N232" s="1" t="str">
        <f t="shared" ca="1" si="90"/>
        <v>ON</v>
      </c>
      <c r="O232" s="1" t="str">
        <f t="shared" ca="1" si="91"/>
        <v>ON</v>
      </c>
      <c r="P232" s="1" t="str">
        <f t="shared" ca="1" si="92"/>
        <v>ON</v>
      </c>
      <c r="Q232" s="1"/>
      <c r="R232" s="20" t="str">
        <f t="shared" ca="1" si="93"/>
        <v>ON</v>
      </c>
      <c r="S232" s="20" t="str">
        <f t="shared" ca="1" si="93"/>
        <v>ON</v>
      </c>
      <c r="T232" s="1" t="str">
        <f t="shared" ca="1" si="94"/>
        <v>ON</v>
      </c>
      <c r="U232" s="1" t="str">
        <f t="shared" ca="1" si="95"/>
        <v>ON</v>
      </c>
      <c r="V232" s="1" t="str">
        <f t="shared" ca="1" si="96"/>
        <v>ON</v>
      </c>
      <c r="W232" s="1" t="str">
        <f t="shared" ca="1" si="97"/>
        <v>OFF</v>
      </c>
      <c r="X232" s="1"/>
      <c r="Y232" s="20" t="str">
        <f t="shared" ca="1" si="98"/>
        <v>ON</v>
      </c>
      <c r="Z232" s="20" t="str">
        <f t="shared" ca="1" si="98"/>
        <v>ON</v>
      </c>
      <c r="AA232" s="1" t="str">
        <f t="shared" ca="1" si="99"/>
        <v>ON</v>
      </c>
      <c r="AB232" s="1" t="str">
        <f t="shared" ca="1" si="100"/>
        <v>ON</v>
      </c>
      <c r="AC232" s="1" t="str">
        <f t="shared" ca="1" si="101"/>
        <v>ON</v>
      </c>
      <c r="AD232" s="1" t="str">
        <f t="shared" ca="1" si="102"/>
        <v>ON</v>
      </c>
      <c r="AE232" s="1"/>
      <c r="AF232" s="20" t="str">
        <f t="shared" ca="1" si="103"/>
        <v>ON</v>
      </c>
      <c r="AG232" s="20" t="str">
        <f t="shared" ca="1" si="103"/>
        <v>ON</v>
      </c>
      <c r="AH232" s="1" t="str">
        <f t="shared" ca="1" si="104"/>
        <v>ON</v>
      </c>
      <c r="AI232" s="1" t="str">
        <f t="shared" ca="1" si="105"/>
        <v>ON</v>
      </c>
      <c r="AJ232" s="1" t="str">
        <f t="shared" ca="1" si="106"/>
        <v>ON</v>
      </c>
      <c r="AK232" s="1" t="str">
        <f t="shared" ca="1" si="107"/>
        <v>OFF</v>
      </c>
      <c r="AL232" s="1"/>
      <c r="AM232" s="20" t="str">
        <f t="shared" si="108"/>
        <v>ON</v>
      </c>
      <c r="AN232" s="20" t="str">
        <f t="shared" si="108"/>
        <v>ON</v>
      </c>
      <c r="AO232" s="20" t="str">
        <f t="shared" si="109"/>
        <v>ON</v>
      </c>
    </row>
    <row r="233" spans="1:41">
      <c r="A233" t="str">
        <f t="shared" ca="1" si="83"/>
        <v>Lagos</v>
      </c>
      <c r="B233" t="str">
        <f t="shared" ca="1" si="84"/>
        <v>D</v>
      </c>
      <c r="C233" t="str">
        <f t="shared" ca="1" si="85"/>
        <v>E1</v>
      </c>
      <c r="D233" t="s">
        <v>5</v>
      </c>
      <c r="E233">
        <f t="shared" ca="1" si="86"/>
        <v>25</v>
      </c>
      <c r="F233">
        <f t="shared" ca="1" si="87"/>
        <v>2</v>
      </c>
      <c r="G233" t="str" cm="1">
        <f t="array" ref="G233:G236">IF($G$5:$G$8={"A";"B";"C";"D"},{"D";"C";"B";"A"},{"A";"B";"C";"D"})</f>
        <v>D</v>
      </c>
      <c r="H233" t="str" cm="1">
        <f t="array" ref="H233:H236">IF($H$5:$H$8={"A";"B";"C";"D"},{"D";"C";"B";"A"},{"A";"B";"C";"D"})</f>
        <v>D</v>
      </c>
      <c r="I233" t="str">
        <f ca="1">IF($A233="","",IF(COUNTA($K$2:$P$2)=6,"WK "&amp;_xlfn.ISOWEEKNUM($K$2)))</f>
        <v>WK 18</v>
      </c>
      <c r="J233" t="str">
        <f ca="1">IF($A233="","",IF(COUNTA($Y$2:$AD$2)=6,"WK "&amp;_xlfn.ISOWEEKNUM($Y$2)))</f>
        <v>WK 20</v>
      </c>
      <c r="K233" s="20" t="str">
        <f t="shared" ca="1" si="88"/>
        <v>ON</v>
      </c>
      <c r="L233" s="20" t="str">
        <f t="shared" ca="1" si="88"/>
        <v>ON</v>
      </c>
      <c r="M233" s="1" t="str">
        <f t="shared" ca="1" si="89"/>
        <v>ON</v>
      </c>
      <c r="N233" s="1" t="str">
        <f t="shared" ca="1" si="90"/>
        <v>ON</v>
      </c>
      <c r="O233" s="1" t="str">
        <f t="shared" ca="1" si="91"/>
        <v>ON</v>
      </c>
      <c r="P233" s="1" t="str">
        <f t="shared" ca="1" si="92"/>
        <v>OFF</v>
      </c>
      <c r="Q233" s="1"/>
      <c r="R233" s="20" t="str">
        <f t="shared" ca="1" si="93"/>
        <v>ON</v>
      </c>
      <c r="S233" s="20" t="str">
        <f t="shared" ca="1" si="93"/>
        <v>ON</v>
      </c>
      <c r="T233" s="1" t="str">
        <f t="shared" ca="1" si="94"/>
        <v>ON</v>
      </c>
      <c r="U233" s="1" t="str">
        <f t="shared" ca="1" si="95"/>
        <v>ON</v>
      </c>
      <c r="V233" s="1" t="str">
        <f t="shared" ca="1" si="96"/>
        <v>ON</v>
      </c>
      <c r="W233" s="1" t="str">
        <f t="shared" ca="1" si="97"/>
        <v>ON</v>
      </c>
      <c r="X233" s="1"/>
      <c r="Y233" s="20" t="str">
        <f t="shared" ca="1" si="98"/>
        <v>ON</v>
      </c>
      <c r="Z233" s="20" t="str">
        <f t="shared" ca="1" si="98"/>
        <v>ON</v>
      </c>
      <c r="AA233" s="1" t="str">
        <f t="shared" ca="1" si="99"/>
        <v>ON</v>
      </c>
      <c r="AB233" s="1" t="str">
        <f t="shared" ca="1" si="100"/>
        <v>ON</v>
      </c>
      <c r="AC233" s="1" t="str">
        <f t="shared" ca="1" si="101"/>
        <v>ON</v>
      </c>
      <c r="AD233" s="1" t="str">
        <f t="shared" ca="1" si="102"/>
        <v>OFF</v>
      </c>
      <c r="AE233" s="1"/>
      <c r="AF233" s="20" t="str">
        <f t="shared" ca="1" si="103"/>
        <v>ON</v>
      </c>
      <c r="AG233" s="20" t="str">
        <f t="shared" ca="1" si="103"/>
        <v>ON</v>
      </c>
      <c r="AH233" s="1" t="str">
        <f t="shared" ca="1" si="104"/>
        <v>ON</v>
      </c>
      <c r="AI233" s="1" t="str">
        <f t="shared" ca="1" si="105"/>
        <v>ON</v>
      </c>
      <c r="AJ233" s="1" t="str">
        <f t="shared" ca="1" si="106"/>
        <v>ON</v>
      </c>
      <c r="AK233" s="1" t="str">
        <f t="shared" ca="1" si="107"/>
        <v>ON</v>
      </c>
      <c r="AL233" s="1"/>
      <c r="AM233" s="20" t="str">
        <f t="shared" si="108"/>
        <v>ON</v>
      </c>
      <c r="AN233" s="20" t="str">
        <f t="shared" si="108"/>
        <v>ON</v>
      </c>
      <c r="AO233" s="20" t="str">
        <f t="shared" si="109"/>
        <v>ON</v>
      </c>
    </row>
    <row r="234" spans="1:41">
      <c r="A234" t="str">
        <f t="shared" ca="1" si="83"/>
        <v>Ogun</v>
      </c>
      <c r="B234" t="str">
        <f t="shared" ca="1" si="84"/>
        <v>E</v>
      </c>
      <c r="C234" t="str">
        <f t="shared" ca="1" si="85"/>
        <v>E1</v>
      </c>
      <c r="D234" t="s">
        <v>8</v>
      </c>
      <c r="E234">
        <f t="shared" ca="1" si="86"/>
        <v>25</v>
      </c>
      <c r="F234">
        <f t="shared" ca="1" si="87"/>
        <v>2</v>
      </c>
      <c r="G234" t="str">
        <v>C</v>
      </c>
      <c r="H234" t="str">
        <v>C</v>
      </c>
      <c r="I234" t="str">
        <f ca="1">IF($A234="","",IF(COUNTA($R$2:$W$2)=6,"WK "&amp;_xlfn.ISOWEEKNUM($R$2)))</f>
        <v>WK 19</v>
      </c>
      <c r="J234" t="str">
        <f ca="1">IF($A234="","",IF(COUNTA($AF$2:$AK$2)=6,"WK "&amp;_xlfn.ISOWEEKNUM($AF$2)))</f>
        <v>WK 21</v>
      </c>
      <c r="K234" s="20" t="str">
        <f t="shared" ca="1" si="88"/>
        <v>ON</v>
      </c>
      <c r="L234" s="20" t="str">
        <f t="shared" ca="1" si="88"/>
        <v>ON</v>
      </c>
      <c r="M234" s="1" t="str">
        <f t="shared" ca="1" si="89"/>
        <v>ON</v>
      </c>
      <c r="N234" s="1" t="str">
        <f t="shared" ca="1" si="90"/>
        <v>ON</v>
      </c>
      <c r="O234" s="1" t="str">
        <f t="shared" ca="1" si="91"/>
        <v>ON</v>
      </c>
      <c r="P234" s="1" t="str">
        <f t="shared" ca="1" si="92"/>
        <v>ON</v>
      </c>
      <c r="Q234" s="1"/>
      <c r="R234" s="20" t="str">
        <f t="shared" ca="1" si="93"/>
        <v>ON</v>
      </c>
      <c r="S234" s="20" t="str">
        <f t="shared" ca="1" si="93"/>
        <v>ON</v>
      </c>
      <c r="T234" s="1" t="str">
        <f t="shared" ca="1" si="94"/>
        <v>ON</v>
      </c>
      <c r="U234" s="1" t="str">
        <f t="shared" ca="1" si="95"/>
        <v>ON</v>
      </c>
      <c r="V234" s="1" t="str">
        <f t="shared" ca="1" si="96"/>
        <v>OFF</v>
      </c>
      <c r="W234" s="1" t="str">
        <f t="shared" ca="1" si="97"/>
        <v>ON</v>
      </c>
      <c r="X234" s="1"/>
      <c r="Y234" s="20" t="str">
        <f t="shared" ca="1" si="98"/>
        <v>ON</v>
      </c>
      <c r="Z234" s="20" t="str">
        <f t="shared" ca="1" si="98"/>
        <v>ON</v>
      </c>
      <c r="AA234" s="1" t="str">
        <f t="shared" ca="1" si="99"/>
        <v>ON</v>
      </c>
      <c r="AB234" s="1" t="str">
        <f t="shared" ca="1" si="100"/>
        <v>ON</v>
      </c>
      <c r="AC234" s="1" t="str">
        <f t="shared" ca="1" si="101"/>
        <v>ON</v>
      </c>
      <c r="AD234" s="1" t="str">
        <f t="shared" ca="1" si="102"/>
        <v>ON</v>
      </c>
      <c r="AE234" s="1"/>
      <c r="AF234" s="20" t="str">
        <f t="shared" ca="1" si="103"/>
        <v>ON</v>
      </c>
      <c r="AG234" s="20" t="str">
        <f t="shared" ca="1" si="103"/>
        <v>ON</v>
      </c>
      <c r="AH234" s="1" t="str">
        <f t="shared" ca="1" si="104"/>
        <v>ON</v>
      </c>
      <c r="AI234" s="1" t="str">
        <f t="shared" ca="1" si="105"/>
        <v>ON</v>
      </c>
      <c r="AJ234" s="1" t="str">
        <f t="shared" ca="1" si="106"/>
        <v>OFF</v>
      </c>
      <c r="AK234" s="1" t="str">
        <f t="shared" ca="1" si="107"/>
        <v>ON</v>
      </c>
      <c r="AL234" s="1"/>
      <c r="AM234" s="20" t="str">
        <f t="shared" si="108"/>
        <v>ON</v>
      </c>
      <c r="AN234" s="20" t="str">
        <f t="shared" si="108"/>
        <v>ON</v>
      </c>
      <c r="AO234" s="20" t="str">
        <f t="shared" si="109"/>
        <v>ON</v>
      </c>
    </row>
    <row r="235" spans="1:41">
      <c r="A235" t="str">
        <f t="shared" ca="1" si="83"/>
        <v>Lagos</v>
      </c>
      <c r="B235" t="str">
        <f t="shared" ca="1" si="84"/>
        <v>E</v>
      </c>
      <c r="C235" t="str">
        <f t="shared" ca="1" si="85"/>
        <v>A1</v>
      </c>
      <c r="D235" t="s">
        <v>7</v>
      </c>
      <c r="E235">
        <f t="shared" ca="1" si="86"/>
        <v>25</v>
      </c>
      <c r="F235">
        <f t="shared" ca="1" si="87"/>
        <v>2</v>
      </c>
      <c r="G235" t="str">
        <v>B</v>
      </c>
      <c r="H235" t="str">
        <v>B</v>
      </c>
      <c r="I235" t="str">
        <f ca="1">IF($A235="","",IF(COUNTA($K$2:$P$2)=6,"WK "&amp;_xlfn.ISOWEEKNUM($K$2)))</f>
        <v>WK 18</v>
      </c>
      <c r="J235" t="str">
        <f ca="1">IF($A235="","",IF(COUNTA($Y$2:$AD$2)=6,"WK "&amp;_xlfn.ISOWEEKNUM($Y$2)))</f>
        <v>WK 20</v>
      </c>
      <c r="K235" s="20" t="str">
        <f t="shared" ca="1" si="88"/>
        <v>ON</v>
      </c>
      <c r="L235" s="20" t="str">
        <f t="shared" ca="1" si="88"/>
        <v>ON</v>
      </c>
      <c r="M235" s="1" t="str">
        <f t="shared" ca="1" si="89"/>
        <v>ON</v>
      </c>
      <c r="N235" s="1" t="str">
        <f t="shared" ca="1" si="90"/>
        <v>OFF</v>
      </c>
      <c r="O235" s="1" t="str">
        <f t="shared" ca="1" si="91"/>
        <v>ON</v>
      </c>
      <c r="P235" s="1" t="str">
        <f t="shared" ca="1" si="92"/>
        <v>ON</v>
      </c>
      <c r="Q235" s="1"/>
      <c r="R235" s="20" t="str">
        <f t="shared" ca="1" si="93"/>
        <v>ON</v>
      </c>
      <c r="S235" s="20" t="str">
        <f t="shared" ca="1" si="93"/>
        <v>ON</v>
      </c>
      <c r="T235" s="1" t="str">
        <f t="shared" ca="1" si="94"/>
        <v>ON</v>
      </c>
      <c r="U235" s="1" t="str">
        <f t="shared" ca="1" si="95"/>
        <v>ON</v>
      </c>
      <c r="V235" s="1" t="str">
        <f t="shared" ca="1" si="96"/>
        <v>ON</v>
      </c>
      <c r="W235" s="1" t="str">
        <f t="shared" ca="1" si="97"/>
        <v>ON</v>
      </c>
      <c r="X235" s="1"/>
      <c r="Y235" s="20" t="str">
        <f t="shared" ca="1" si="98"/>
        <v>ON</v>
      </c>
      <c r="Z235" s="20" t="str">
        <f t="shared" ca="1" si="98"/>
        <v>ON</v>
      </c>
      <c r="AA235" s="1" t="str">
        <f t="shared" ca="1" si="99"/>
        <v>ON</v>
      </c>
      <c r="AB235" s="1" t="str">
        <f t="shared" ca="1" si="100"/>
        <v>OFF</v>
      </c>
      <c r="AC235" s="1" t="str">
        <f t="shared" ca="1" si="101"/>
        <v>ON</v>
      </c>
      <c r="AD235" s="1" t="str">
        <f t="shared" ca="1" si="102"/>
        <v>ON</v>
      </c>
      <c r="AE235" s="1"/>
      <c r="AF235" s="20" t="str">
        <f t="shared" ca="1" si="103"/>
        <v>ON</v>
      </c>
      <c r="AG235" s="20" t="str">
        <f t="shared" ca="1" si="103"/>
        <v>ON</v>
      </c>
      <c r="AH235" s="1" t="str">
        <f t="shared" ca="1" si="104"/>
        <v>ON</v>
      </c>
      <c r="AI235" s="1" t="str">
        <f t="shared" ca="1" si="105"/>
        <v>ON</v>
      </c>
      <c r="AJ235" s="1" t="str">
        <f t="shared" ca="1" si="106"/>
        <v>ON</v>
      </c>
      <c r="AK235" s="1" t="str">
        <f t="shared" ca="1" si="107"/>
        <v>ON</v>
      </c>
      <c r="AL235" s="1"/>
      <c r="AM235" s="20" t="str">
        <f t="shared" si="108"/>
        <v>ON</v>
      </c>
      <c r="AN235" s="20" t="str">
        <f t="shared" si="108"/>
        <v>ON</v>
      </c>
      <c r="AO235" s="20" t="str">
        <f t="shared" si="109"/>
        <v>ON</v>
      </c>
    </row>
    <row r="236" spans="1:41">
      <c r="A236" t="str">
        <f t="shared" ca="1" si="83"/>
        <v>Lagos</v>
      </c>
      <c r="B236" t="str">
        <f t="shared" ca="1" si="84"/>
        <v>D</v>
      </c>
      <c r="C236" t="str">
        <f t="shared" ca="1" si="85"/>
        <v>B1</v>
      </c>
      <c r="D236" t="s">
        <v>4</v>
      </c>
      <c r="E236">
        <f t="shared" ca="1" si="86"/>
        <v>25</v>
      </c>
      <c r="F236">
        <f t="shared" ca="1" si="87"/>
        <v>2</v>
      </c>
      <c r="G236" t="str">
        <v>A</v>
      </c>
      <c r="H236" t="str">
        <v>A</v>
      </c>
      <c r="I236" t="str">
        <f ca="1">IF($A236="","",IF(COUNTA($R$2:$W$2)=6,"WK "&amp;_xlfn.ISOWEEKNUM($R$2)))</f>
        <v>WK 19</v>
      </c>
      <c r="J236" t="str">
        <f ca="1">IF($A236="","",IF(COUNTA($AF$2:$AK$2)=6,"WK "&amp;_xlfn.ISOWEEKNUM($AF$2)))</f>
        <v>WK 21</v>
      </c>
      <c r="K236" s="20" t="str">
        <f t="shared" ca="1" si="88"/>
        <v>ON</v>
      </c>
      <c r="L236" s="20" t="str">
        <f t="shared" ca="1" si="88"/>
        <v>ON</v>
      </c>
      <c r="M236" s="1" t="str">
        <f t="shared" ca="1" si="89"/>
        <v>ON</v>
      </c>
      <c r="N236" s="1" t="str">
        <f t="shared" ca="1" si="90"/>
        <v>ON</v>
      </c>
      <c r="O236" s="1" t="str">
        <f t="shared" ca="1" si="91"/>
        <v>ON</v>
      </c>
      <c r="P236" s="1" t="str">
        <f t="shared" ca="1" si="92"/>
        <v>ON</v>
      </c>
      <c r="Q236" s="1"/>
      <c r="R236" s="20" t="str">
        <f t="shared" ca="1" si="93"/>
        <v>ON</v>
      </c>
      <c r="S236" s="20" t="str">
        <f t="shared" ca="1" si="93"/>
        <v>ON</v>
      </c>
      <c r="T236" s="1" t="str">
        <f t="shared" ca="1" si="94"/>
        <v>OFF</v>
      </c>
      <c r="U236" s="1" t="str">
        <f t="shared" ca="1" si="95"/>
        <v>ON</v>
      </c>
      <c r="V236" s="1" t="str">
        <f t="shared" ca="1" si="96"/>
        <v>ON</v>
      </c>
      <c r="W236" s="1" t="str">
        <f t="shared" ca="1" si="97"/>
        <v>ON</v>
      </c>
      <c r="X236" s="1"/>
      <c r="Y236" s="20" t="str">
        <f t="shared" ca="1" si="98"/>
        <v>ON</v>
      </c>
      <c r="Z236" s="20" t="str">
        <f t="shared" ca="1" si="98"/>
        <v>ON</v>
      </c>
      <c r="AA236" s="1" t="str">
        <f t="shared" ca="1" si="99"/>
        <v>ON</v>
      </c>
      <c r="AB236" s="1" t="str">
        <f t="shared" ca="1" si="100"/>
        <v>ON</v>
      </c>
      <c r="AC236" s="1" t="str">
        <f t="shared" ca="1" si="101"/>
        <v>ON</v>
      </c>
      <c r="AD236" s="1" t="str">
        <f t="shared" ca="1" si="102"/>
        <v>ON</v>
      </c>
      <c r="AE236" s="1"/>
      <c r="AF236" s="20" t="str">
        <f t="shared" ca="1" si="103"/>
        <v>ON</v>
      </c>
      <c r="AG236" s="20" t="str">
        <f t="shared" ca="1" si="103"/>
        <v>ON</v>
      </c>
      <c r="AH236" s="1" t="str">
        <f t="shared" ca="1" si="104"/>
        <v>OFF</v>
      </c>
      <c r="AI236" s="1" t="str">
        <f t="shared" ca="1" si="105"/>
        <v>ON</v>
      </c>
      <c r="AJ236" s="1" t="str">
        <f t="shared" ca="1" si="106"/>
        <v>ON</v>
      </c>
      <c r="AK236" s="1" t="str">
        <f t="shared" ca="1" si="107"/>
        <v>ON</v>
      </c>
      <c r="AL236" s="1"/>
      <c r="AM236" s="20" t="str">
        <f t="shared" si="108"/>
        <v>ON</v>
      </c>
      <c r="AN236" s="20" t="str">
        <f t="shared" si="108"/>
        <v>ON</v>
      </c>
      <c r="AO236" s="20" t="str">
        <f t="shared" si="109"/>
        <v>ON</v>
      </c>
    </row>
    <row r="237" spans="1:41">
      <c r="A237" t="str">
        <f t="shared" ca="1" si="83"/>
        <v>Oyo</v>
      </c>
      <c r="B237" t="str">
        <f t="shared" ca="1" si="84"/>
        <v>D</v>
      </c>
      <c r="C237" t="str">
        <f t="shared" ca="1" si="85"/>
        <v>C1</v>
      </c>
      <c r="D237" t="s">
        <v>4</v>
      </c>
      <c r="E237">
        <f t="shared" ca="1" si="86"/>
        <v>25</v>
      </c>
      <c r="F237">
        <f t="shared" ca="1" si="87"/>
        <v>2</v>
      </c>
      <c r="G237" t="str" cm="1">
        <f t="array" ref="G237:G240">Groups!$B$2:$B$5</f>
        <v>A</v>
      </c>
      <c r="H237" t="str" cm="1">
        <f t="array" ref="H237:H240">Groups!$B$2:$B$5</f>
        <v>A</v>
      </c>
      <c r="I237" t="str">
        <f ca="1">IF($A237="","",IF(COUNTA($K$2:$P$2)=6,"WK "&amp;_xlfn.ISOWEEKNUM($K$2)))</f>
        <v>WK 18</v>
      </c>
      <c r="J237" t="str">
        <f ca="1">IF($A237="","",IF(COUNTA($Y$2:$AD$2)=6,"WK "&amp;_xlfn.ISOWEEKNUM($Y$2)))</f>
        <v>WK 20</v>
      </c>
      <c r="K237" s="20" t="str">
        <f t="shared" ca="1" si="88"/>
        <v>ON</v>
      </c>
      <c r="L237" s="20" t="str">
        <f t="shared" ca="1" si="88"/>
        <v>ON</v>
      </c>
      <c r="M237" s="1" t="str">
        <f t="shared" ca="1" si="89"/>
        <v>OFF</v>
      </c>
      <c r="N237" s="1" t="str">
        <f t="shared" ca="1" si="90"/>
        <v>ON</v>
      </c>
      <c r="O237" s="1" t="str">
        <f t="shared" ca="1" si="91"/>
        <v>ON</v>
      </c>
      <c r="P237" s="1" t="str">
        <f t="shared" ca="1" si="92"/>
        <v>ON</v>
      </c>
      <c r="Q237" s="1"/>
      <c r="R237" s="20" t="str">
        <f t="shared" ca="1" si="93"/>
        <v>ON</v>
      </c>
      <c r="S237" s="20" t="str">
        <f t="shared" ca="1" si="93"/>
        <v>ON</v>
      </c>
      <c r="T237" s="1" t="str">
        <f t="shared" ca="1" si="94"/>
        <v>ON</v>
      </c>
      <c r="U237" s="1" t="str">
        <f t="shared" ca="1" si="95"/>
        <v>ON</v>
      </c>
      <c r="V237" s="1" t="str">
        <f t="shared" ca="1" si="96"/>
        <v>ON</v>
      </c>
      <c r="W237" s="1" t="str">
        <f t="shared" ca="1" si="97"/>
        <v>ON</v>
      </c>
      <c r="X237" s="1"/>
      <c r="Y237" s="20" t="str">
        <f t="shared" ca="1" si="98"/>
        <v>ON</v>
      </c>
      <c r="Z237" s="20" t="str">
        <f t="shared" ca="1" si="98"/>
        <v>ON</v>
      </c>
      <c r="AA237" s="1" t="str">
        <f t="shared" ca="1" si="99"/>
        <v>OFF</v>
      </c>
      <c r="AB237" s="1" t="str">
        <f t="shared" ca="1" si="100"/>
        <v>ON</v>
      </c>
      <c r="AC237" s="1" t="str">
        <f t="shared" ca="1" si="101"/>
        <v>ON</v>
      </c>
      <c r="AD237" s="1" t="str">
        <f t="shared" ca="1" si="102"/>
        <v>ON</v>
      </c>
      <c r="AE237" s="1"/>
      <c r="AF237" s="20" t="str">
        <f t="shared" ca="1" si="103"/>
        <v>ON</v>
      </c>
      <c r="AG237" s="20" t="str">
        <f t="shared" ca="1" si="103"/>
        <v>ON</v>
      </c>
      <c r="AH237" s="1" t="str">
        <f t="shared" ca="1" si="104"/>
        <v>ON</v>
      </c>
      <c r="AI237" s="1" t="str">
        <f t="shared" ca="1" si="105"/>
        <v>ON</v>
      </c>
      <c r="AJ237" s="1" t="str">
        <f t="shared" ca="1" si="106"/>
        <v>ON</v>
      </c>
      <c r="AK237" s="1" t="str">
        <f t="shared" ca="1" si="107"/>
        <v>ON</v>
      </c>
      <c r="AL237" s="1"/>
      <c r="AM237" s="20" t="str">
        <f t="shared" si="108"/>
        <v>ON</v>
      </c>
      <c r="AN237" s="20" t="str">
        <f t="shared" si="108"/>
        <v>ON</v>
      </c>
      <c r="AO237" s="20" t="str">
        <f t="shared" si="109"/>
        <v>ON</v>
      </c>
    </row>
    <row r="238" spans="1:41">
      <c r="A238" t="str">
        <f t="shared" ca="1" si="83"/>
        <v>Lagos</v>
      </c>
      <c r="B238" t="str">
        <f t="shared" ca="1" si="84"/>
        <v>E</v>
      </c>
      <c r="C238" t="str">
        <f t="shared" ca="1" si="85"/>
        <v>B1</v>
      </c>
      <c r="D238" t="s">
        <v>4</v>
      </c>
      <c r="E238">
        <f t="shared" ca="1" si="86"/>
        <v>25</v>
      </c>
      <c r="F238">
        <f t="shared" ca="1" si="87"/>
        <v>2</v>
      </c>
      <c r="G238" t="str">
        <v>B</v>
      </c>
      <c r="H238" t="str">
        <v>B</v>
      </c>
      <c r="I238" t="str">
        <f ca="1">IF($A238="","",IF(COUNTA($R$2:$W$2)=6,"WK "&amp;_xlfn.ISOWEEKNUM($R$2)))</f>
        <v>WK 19</v>
      </c>
      <c r="J238" t="str">
        <f ca="1">IF($A238="","",IF(COUNTA($AF$2:$AK$2)=6,"WK "&amp;_xlfn.ISOWEEKNUM($AF$2)))</f>
        <v>WK 21</v>
      </c>
      <c r="K238" s="20" t="str">
        <f t="shared" ca="1" si="88"/>
        <v>ON</v>
      </c>
      <c r="L238" s="20" t="str">
        <f t="shared" ca="1" si="88"/>
        <v>ON</v>
      </c>
      <c r="M238" s="1" t="str">
        <f t="shared" ca="1" si="89"/>
        <v>ON</v>
      </c>
      <c r="N238" s="1" t="str">
        <f t="shared" ca="1" si="90"/>
        <v>ON</v>
      </c>
      <c r="O238" s="1" t="str">
        <f t="shared" ca="1" si="91"/>
        <v>ON</v>
      </c>
      <c r="P238" s="1" t="str">
        <f t="shared" ca="1" si="92"/>
        <v>ON</v>
      </c>
      <c r="Q238" s="1"/>
      <c r="R238" s="20" t="str">
        <f t="shared" ca="1" si="93"/>
        <v>ON</v>
      </c>
      <c r="S238" s="20" t="str">
        <f t="shared" ca="1" si="93"/>
        <v>ON</v>
      </c>
      <c r="T238" s="1" t="str">
        <f t="shared" ca="1" si="94"/>
        <v>ON</v>
      </c>
      <c r="U238" s="1" t="str">
        <f t="shared" ca="1" si="95"/>
        <v>OFF</v>
      </c>
      <c r="V238" s="1" t="str">
        <f t="shared" ca="1" si="96"/>
        <v>ON</v>
      </c>
      <c r="W238" s="1" t="str">
        <f t="shared" ca="1" si="97"/>
        <v>ON</v>
      </c>
      <c r="X238" s="1"/>
      <c r="Y238" s="20" t="str">
        <f t="shared" ca="1" si="98"/>
        <v>ON</v>
      </c>
      <c r="Z238" s="20" t="str">
        <f t="shared" ca="1" si="98"/>
        <v>ON</v>
      </c>
      <c r="AA238" s="1" t="str">
        <f t="shared" ca="1" si="99"/>
        <v>ON</v>
      </c>
      <c r="AB238" s="1" t="str">
        <f t="shared" ca="1" si="100"/>
        <v>ON</v>
      </c>
      <c r="AC238" s="1" t="str">
        <f t="shared" ca="1" si="101"/>
        <v>ON</v>
      </c>
      <c r="AD238" s="1" t="str">
        <f t="shared" ca="1" si="102"/>
        <v>ON</v>
      </c>
      <c r="AE238" s="1"/>
      <c r="AF238" s="20" t="str">
        <f t="shared" ca="1" si="103"/>
        <v>ON</v>
      </c>
      <c r="AG238" s="20" t="str">
        <f t="shared" ca="1" si="103"/>
        <v>ON</v>
      </c>
      <c r="AH238" s="1" t="str">
        <f t="shared" ca="1" si="104"/>
        <v>ON</v>
      </c>
      <c r="AI238" s="1" t="str">
        <f t="shared" ca="1" si="105"/>
        <v>OFF</v>
      </c>
      <c r="AJ238" s="1" t="str">
        <f t="shared" ca="1" si="106"/>
        <v>ON</v>
      </c>
      <c r="AK238" s="1" t="str">
        <f t="shared" ca="1" si="107"/>
        <v>ON</v>
      </c>
      <c r="AL238" s="1"/>
      <c r="AM238" s="20" t="str">
        <f t="shared" si="108"/>
        <v>ON</v>
      </c>
      <c r="AN238" s="20" t="str">
        <f t="shared" si="108"/>
        <v>ON</v>
      </c>
      <c r="AO238" s="20" t="str">
        <f t="shared" si="109"/>
        <v>ON</v>
      </c>
    </row>
    <row r="239" spans="1:41">
      <c r="A239" t="str">
        <f t="shared" ca="1" si="83"/>
        <v>Oyo</v>
      </c>
      <c r="B239" t="str">
        <f t="shared" ca="1" si="84"/>
        <v>B</v>
      </c>
      <c r="C239" t="str">
        <f t="shared" ca="1" si="85"/>
        <v>D1</v>
      </c>
      <c r="D239" t="s">
        <v>5</v>
      </c>
      <c r="E239">
        <f t="shared" ca="1" si="86"/>
        <v>25</v>
      </c>
      <c r="F239">
        <f t="shared" ca="1" si="87"/>
        <v>2</v>
      </c>
      <c r="G239" t="str">
        <v>C</v>
      </c>
      <c r="H239" t="str">
        <v>C</v>
      </c>
      <c r="I239" t="str">
        <f ca="1">IF($A239="","",IF(COUNTA($K$2:$P$2)=6,"WK "&amp;_xlfn.ISOWEEKNUM($K$2)))</f>
        <v>WK 18</v>
      </c>
      <c r="J239" t="str">
        <f ca="1">IF($A239="","",IF(COUNTA($Y$2:$AD$2)=6,"WK "&amp;_xlfn.ISOWEEKNUM($Y$2)))</f>
        <v>WK 20</v>
      </c>
      <c r="K239" s="20" t="str">
        <f t="shared" ca="1" si="88"/>
        <v>ON</v>
      </c>
      <c r="L239" s="20" t="str">
        <f t="shared" ca="1" si="88"/>
        <v>ON</v>
      </c>
      <c r="M239" s="1" t="str">
        <f t="shared" ca="1" si="89"/>
        <v>ON</v>
      </c>
      <c r="N239" s="1" t="str">
        <f t="shared" ca="1" si="90"/>
        <v>ON</v>
      </c>
      <c r="O239" s="1" t="str">
        <f t="shared" ca="1" si="91"/>
        <v>OFF</v>
      </c>
      <c r="P239" s="1" t="str">
        <f t="shared" ca="1" si="92"/>
        <v>ON</v>
      </c>
      <c r="Q239" s="1"/>
      <c r="R239" s="20" t="str">
        <f t="shared" ca="1" si="93"/>
        <v>ON</v>
      </c>
      <c r="S239" s="20" t="str">
        <f t="shared" ca="1" si="93"/>
        <v>ON</v>
      </c>
      <c r="T239" s="1" t="str">
        <f t="shared" ca="1" si="94"/>
        <v>ON</v>
      </c>
      <c r="U239" s="1" t="str">
        <f t="shared" ca="1" si="95"/>
        <v>ON</v>
      </c>
      <c r="V239" s="1" t="str">
        <f t="shared" ca="1" si="96"/>
        <v>ON</v>
      </c>
      <c r="W239" s="1" t="str">
        <f t="shared" ca="1" si="97"/>
        <v>ON</v>
      </c>
      <c r="X239" s="1"/>
      <c r="Y239" s="20" t="str">
        <f t="shared" ca="1" si="98"/>
        <v>ON</v>
      </c>
      <c r="Z239" s="20" t="str">
        <f t="shared" ca="1" si="98"/>
        <v>ON</v>
      </c>
      <c r="AA239" s="1" t="str">
        <f t="shared" ca="1" si="99"/>
        <v>ON</v>
      </c>
      <c r="AB239" s="1" t="str">
        <f t="shared" ca="1" si="100"/>
        <v>ON</v>
      </c>
      <c r="AC239" s="1" t="str">
        <f t="shared" ca="1" si="101"/>
        <v>OFF</v>
      </c>
      <c r="AD239" s="1" t="str">
        <f t="shared" ca="1" si="102"/>
        <v>ON</v>
      </c>
      <c r="AE239" s="1"/>
      <c r="AF239" s="20" t="str">
        <f t="shared" ca="1" si="103"/>
        <v>ON</v>
      </c>
      <c r="AG239" s="20" t="str">
        <f t="shared" ca="1" si="103"/>
        <v>ON</v>
      </c>
      <c r="AH239" s="1" t="str">
        <f t="shared" ca="1" si="104"/>
        <v>ON</v>
      </c>
      <c r="AI239" s="1" t="str">
        <f t="shared" ca="1" si="105"/>
        <v>ON</v>
      </c>
      <c r="AJ239" s="1" t="str">
        <f t="shared" ca="1" si="106"/>
        <v>ON</v>
      </c>
      <c r="AK239" s="1" t="str">
        <f t="shared" ca="1" si="107"/>
        <v>ON</v>
      </c>
      <c r="AL239" s="1"/>
      <c r="AM239" s="20" t="str">
        <f t="shared" si="108"/>
        <v>ON</v>
      </c>
      <c r="AN239" s="20" t="str">
        <f t="shared" si="108"/>
        <v>ON</v>
      </c>
      <c r="AO239" s="20" t="str">
        <f t="shared" si="109"/>
        <v>ON</v>
      </c>
    </row>
    <row r="240" spans="1:41">
      <c r="A240" t="str">
        <f t="shared" ca="1" si="83"/>
        <v>Oyo</v>
      </c>
      <c r="B240" t="str">
        <f t="shared" ca="1" si="84"/>
        <v>A</v>
      </c>
      <c r="C240" t="str">
        <f t="shared" ca="1" si="85"/>
        <v>C1</v>
      </c>
      <c r="D240" t="s">
        <v>5</v>
      </c>
      <c r="E240">
        <f t="shared" ca="1" si="86"/>
        <v>25</v>
      </c>
      <c r="F240">
        <f t="shared" ca="1" si="87"/>
        <v>2</v>
      </c>
      <c r="G240" t="str">
        <v>D</v>
      </c>
      <c r="H240" t="str">
        <v>D</v>
      </c>
      <c r="I240" t="str">
        <f ca="1">IF($A240="","",IF(COUNTA($R$2:$W$2)=6,"WK "&amp;_xlfn.ISOWEEKNUM($R$2)))</f>
        <v>WK 19</v>
      </c>
      <c r="J240" t="str">
        <f ca="1">IF($A240="","",IF(COUNTA($AF$2:$AK$2)=6,"WK "&amp;_xlfn.ISOWEEKNUM($AF$2)))</f>
        <v>WK 21</v>
      </c>
      <c r="K240" s="20" t="str">
        <f t="shared" ca="1" si="88"/>
        <v>ON</v>
      </c>
      <c r="L240" s="20" t="str">
        <f t="shared" ca="1" si="88"/>
        <v>ON</v>
      </c>
      <c r="M240" s="1" t="str">
        <f t="shared" ca="1" si="89"/>
        <v>ON</v>
      </c>
      <c r="N240" s="1" t="str">
        <f t="shared" ca="1" si="90"/>
        <v>ON</v>
      </c>
      <c r="O240" s="1" t="str">
        <f t="shared" ca="1" si="91"/>
        <v>ON</v>
      </c>
      <c r="P240" s="1" t="str">
        <f t="shared" ca="1" si="92"/>
        <v>ON</v>
      </c>
      <c r="Q240" s="1"/>
      <c r="R240" s="20" t="str">
        <f t="shared" ca="1" si="93"/>
        <v>ON</v>
      </c>
      <c r="S240" s="20" t="str">
        <f t="shared" ca="1" si="93"/>
        <v>ON</v>
      </c>
      <c r="T240" s="1" t="str">
        <f t="shared" ca="1" si="94"/>
        <v>ON</v>
      </c>
      <c r="U240" s="1" t="str">
        <f t="shared" ca="1" si="95"/>
        <v>ON</v>
      </c>
      <c r="V240" s="1" t="str">
        <f t="shared" ca="1" si="96"/>
        <v>ON</v>
      </c>
      <c r="W240" s="1" t="str">
        <f t="shared" ca="1" si="97"/>
        <v>OFF</v>
      </c>
      <c r="X240" s="1"/>
      <c r="Y240" s="20" t="str">
        <f t="shared" ca="1" si="98"/>
        <v>ON</v>
      </c>
      <c r="Z240" s="20" t="str">
        <f t="shared" ca="1" si="98"/>
        <v>ON</v>
      </c>
      <c r="AA240" s="1" t="str">
        <f t="shared" ca="1" si="99"/>
        <v>ON</v>
      </c>
      <c r="AB240" s="1" t="str">
        <f t="shared" ca="1" si="100"/>
        <v>ON</v>
      </c>
      <c r="AC240" s="1" t="str">
        <f t="shared" ca="1" si="101"/>
        <v>ON</v>
      </c>
      <c r="AD240" s="1" t="str">
        <f t="shared" ca="1" si="102"/>
        <v>ON</v>
      </c>
      <c r="AE240" s="1"/>
      <c r="AF240" s="20" t="str">
        <f t="shared" ca="1" si="103"/>
        <v>ON</v>
      </c>
      <c r="AG240" s="20" t="str">
        <f t="shared" ca="1" si="103"/>
        <v>ON</v>
      </c>
      <c r="AH240" s="1" t="str">
        <f t="shared" ca="1" si="104"/>
        <v>ON</v>
      </c>
      <c r="AI240" s="1" t="str">
        <f t="shared" ca="1" si="105"/>
        <v>ON</v>
      </c>
      <c r="AJ240" s="1" t="str">
        <f t="shared" ca="1" si="106"/>
        <v>ON</v>
      </c>
      <c r="AK240" s="1" t="str">
        <f t="shared" ca="1" si="107"/>
        <v>OFF</v>
      </c>
      <c r="AL240" s="1"/>
      <c r="AM240" s="20" t="str">
        <f t="shared" si="108"/>
        <v>ON</v>
      </c>
      <c r="AN240" s="20" t="str">
        <f t="shared" si="108"/>
        <v>ON</v>
      </c>
      <c r="AO240" s="20" t="str">
        <f t="shared" si="109"/>
        <v>ON</v>
      </c>
    </row>
    <row r="241" spans="1:41">
      <c r="A241" t="str">
        <f t="shared" ca="1" si="83"/>
        <v>Lagos</v>
      </c>
      <c r="B241" t="str">
        <f t="shared" ca="1" si="84"/>
        <v>D</v>
      </c>
      <c r="C241" t="str">
        <f t="shared" ca="1" si="85"/>
        <v>C1</v>
      </c>
      <c r="D241" t="s">
        <v>5</v>
      </c>
      <c r="E241">
        <f t="shared" ca="1" si="86"/>
        <v>25</v>
      </c>
      <c r="F241">
        <f t="shared" ca="1" si="87"/>
        <v>2</v>
      </c>
      <c r="G241" t="str" cm="1">
        <f t="array" ref="G241:G244">IF($G$5:$G$8={"A";"B";"C";"D"},{"D";"C";"B";"A"},{"A";"B";"C";"D"})</f>
        <v>D</v>
      </c>
      <c r="H241" t="str" cm="1">
        <f t="array" ref="H241:H244">IF($H$5:$H$8={"A";"B";"C";"D"},{"D";"C";"B";"A"},{"A";"B";"C";"D"})</f>
        <v>D</v>
      </c>
      <c r="I241" t="str">
        <f ca="1">IF($A241="","",IF(COUNTA($K$2:$P$2)=6,"WK "&amp;_xlfn.ISOWEEKNUM($K$2)))</f>
        <v>WK 18</v>
      </c>
      <c r="J241" t="str">
        <f ca="1">IF($A241="","",IF(COUNTA($Y$2:$AD$2)=6,"WK "&amp;_xlfn.ISOWEEKNUM($Y$2)))</f>
        <v>WK 20</v>
      </c>
      <c r="K241" s="20" t="str">
        <f t="shared" ca="1" si="88"/>
        <v>ON</v>
      </c>
      <c r="L241" s="20" t="str">
        <f t="shared" ca="1" si="88"/>
        <v>ON</v>
      </c>
      <c r="M241" s="1" t="str">
        <f t="shared" ca="1" si="89"/>
        <v>ON</v>
      </c>
      <c r="N241" s="1" t="str">
        <f t="shared" ca="1" si="90"/>
        <v>ON</v>
      </c>
      <c r="O241" s="1" t="str">
        <f t="shared" ca="1" si="91"/>
        <v>ON</v>
      </c>
      <c r="P241" s="1" t="str">
        <f t="shared" ca="1" si="92"/>
        <v>OFF</v>
      </c>
      <c r="Q241" s="1"/>
      <c r="R241" s="20" t="str">
        <f t="shared" ca="1" si="93"/>
        <v>ON</v>
      </c>
      <c r="S241" s="20" t="str">
        <f t="shared" ca="1" si="93"/>
        <v>ON</v>
      </c>
      <c r="T241" s="1" t="str">
        <f t="shared" ca="1" si="94"/>
        <v>ON</v>
      </c>
      <c r="U241" s="1" t="str">
        <f t="shared" ca="1" si="95"/>
        <v>ON</v>
      </c>
      <c r="V241" s="1" t="str">
        <f t="shared" ca="1" si="96"/>
        <v>ON</v>
      </c>
      <c r="W241" s="1" t="str">
        <f t="shared" ca="1" si="97"/>
        <v>ON</v>
      </c>
      <c r="X241" s="1"/>
      <c r="Y241" s="20" t="str">
        <f t="shared" ca="1" si="98"/>
        <v>ON</v>
      </c>
      <c r="Z241" s="20" t="str">
        <f t="shared" ca="1" si="98"/>
        <v>ON</v>
      </c>
      <c r="AA241" s="1" t="str">
        <f t="shared" ca="1" si="99"/>
        <v>ON</v>
      </c>
      <c r="AB241" s="1" t="str">
        <f t="shared" ca="1" si="100"/>
        <v>ON</v>
      </c>
      <c r="AC241" s="1" t="str">
        <f t="shared" ca="1" si="101"/>
        <v>ON</v>
      </c>
      <c r="AD241" s="1" t="str">
        <f t="shared" ca="1" si="102"/>
        <v>OFF</v>
      </c>
      <c r="AE241" s="1"/>
      <c r="AF241" s="20" t="str">
        <f t="shared" ca="1" si="103"/>
        <v>ON</v>
      </c>
      <c r="AG241" s="20" t="str">
        <f t="shared" ca="1" si="103"/>
        <v>ON</v>
      </c>
      <c r="AH241" s="1" t="str">
        <f t="shared" ca="1" si="104"/>
        <v>ON</v>
      </c>
      <c r="AI241" s="1" t="str">
        <f t="shared" ca="1" si="105"/>
        <v>ON</v>
      </c>
      <c r="AJ241" s="1" t="str">
        <f t="shared" ca="1" si="106"/>
        <v>ON</v>
      </c>
      <c r="AK241" s="1" t="str">
        <f t="shared" ca="1" si="107"/>
        <v>ON</v>
      </c>
      <c r="AL241" s="1"/>
      <c r="AM241" s="20" t="str">
        <f t="shared" si="108"/>
        <v>ON</v>
      </c>
      <c r="AN241" s="20" t="str">
        <f t="shared" si="108"/>
        <v>ON</v>
      </c>
      <c r="AO241" s="20" t="str">
        <f t="shared" si="109"/>
        <v>ON</v>
      </c>
    </row>
    <row r="242" spans="1:41">
      <c r="A242" t="str">
        <f t="shared" ca="1" si="83"/>
        <v>Oyo</v>
      </c>
      <c r="B242" t="str">
        <f t="shared" ca="1" si="84"/>
        <v>C</v>
      </c>
      <c r="C242" t="str">
        <f t="shared" ca="1" si="85"/>
        <v>E1</v>
      </c>
      <c r="D242" t="s">
        <v>5</v>
      </c>
      <c r="E242">
        <f t="shared" ca="1" si="86"/>
        <v>25</v>
      </c>
      <c r="F242">
        <f t="shared" ca="1" si="87"/>
        <v>2</v>
      </c>
      <c r="G242" t="str">
        <v>C</v>
      </c>
      <c r="H242" t="str">
        <v>C</v>
      </c>
      <c r="I242" t="str">
        <f ca="1">IF($A242="","",IF(COUNTA($R$2:$W$2)=6,"WK "&amp;_xlfn.ISOWEEKNUM($R$2)))</f>
        <v>WK 19</v>
      </c>
      <c r="J242" t="str">
        <f ca="1">IF($A242="","",IF(COUNTA($AF$2:$AK$2)=6,"WK "&amp;_xlfn.ISOWEEKNUM($AF$2)))</f>
        <v>WK 21</v>
      </c>
      <c r="K242" s="20" t="str">
        <f t="shared" ca="1" si="88"/>
        <v>ON</v>
      </c>
      <c r="L242" s="20" t="str">
        <f t="shared" ca="1" si="88"/>
        <v>ON</v>
      </c>
      <c r="M242" s="1" t="str">
        <f t="shared" ca="1" si="89"/>
        <v>ON</v>
      </c>
      <c r="N242" s="1" t="str">
        <f t="shared" ca="1" si="90"/>
        <v>ON</v>
      </c>
      <c r="O242" s="1" t="str">
        <f t="shared" ca="1" si="91"/>
        <v>ON</v>
      </c>
      <c r="P242" s="1" t="str">
        <f t="shared" ca="1" si="92"/>
        <v>ON</v>
      </c>
      <c r="Q242" s="1"/>
      <c r="R242" s="20" t="str">
        <f t="shared" ca="1" si="93"/>
        <v>ON</v>
      </c>
      <c r="S242" s="20" t="str">
        <f t="shared" ca="1" si="93"/>
        <v>ON</v>
      </c>
      <c r="T242" s="1" t="str">
        <f t="shared" ca="1" si="94"/>
        <v>ON</v>
      </c>
      <c r="U242" s="1" t="str">
        <f t="shared" ca="1" si="95"/>
        <v>ON</v>
      </c>
      <c r="V242" s="1" t="str">
        <f t="shared" ca="1" si="96"/>
        <v>OFF</v>
      </c>
      <c r="W242" s="1" t="str">
        <f t="shared" ca="1" si="97"/>
        <v>ON</v>
      </c>
      <c r="X242" s="1"/>
      <c r="Y242" s="20" t="str">
        <f t="shared" ca="1" si="98"/>
        <v>ON</v>
      </c>
      <c r="Z242" s="20" t="str">
        <f t="shared" ca="1" si="98"/>
        <v>ON</v>
      </c>
      <c r="AA242" s="1" t="str">
        <f t="shared" ca="1" si="99"/>
        <v>ON</v>
      </c>
      <c r="AB242" s="1" t="str">
        <f t="shared" ca="1" si="100"/>
        <v>ON</v>
      </c>
      <c r="AC242" s="1" t="str">
        <f t="shared" ca="1" si="101"/>
        <v>ON</v>
      </c>
      <c r="AD242" s="1" t="str">
        <f t="shared" ca="1" si="102"/>
        <v>ON</v>
      </c>
      <c r="AE242" s="1"/>
      <c r="AF242" s="20" t="str">
        <f t="shared" ca="1" si="103"/>
        <v>ON</v>
      </c>
      <c r="AG242" s="20" t="str">
        <f t="shared" ca="1" si="103"/>
        <v>ON</v>
      </c>
      <c r="AH242" s="1" t="str">
        <f t="shared" ca="1" si="104"/>
        <v>ON</v>
      </c>
      <c r="AI242" s="1" t="str">
        <f t="shared" ca="1" si="105"/>
        <v>ON</v>
      </c>
      <c r="AJ242" s="1" t="str">
        <f t="shared" ca="1" si="106"/>
        <v>OFF</v>
      </c>
      <c r="AK242" s="1" t="str">
        <f t="shared" ca="1" si="107"/>
        <v>ON</v>
      </c>
      <c r="AL242" s="1"/>
      <c r="AM242" s="20" t="str">
        <f t="shared" si="108"/>
        <v>ON</v>
      </c>
      <c r="AN242" s="20" t="str">
        <f t="shared" si="108"/>
        <v>ON</v>
      </c>
      <c r="AO242" s="20" t="str">
        <f t="shared" si="109"/>
        <v>ON</v>
      </c>
    </row>
    <row r="243" spans="1:41">
      <c r="A243" t="str">
        <f t="shared" ca="1" si="83"/>
        <v>Ondo</v>
      </c>
      <c r="B243" t="str">
        <f t="shared" ca="1" si="84"/>
        <v>E</v>
      </c>
      <c r="C243" t="str">
        <f t="shared" ca="1" si="85"/>
        <v>C1</v>
      </c>
      <c r="D243" t="s">
        <v>8</v>
      </c>
      <c r="E243">
        <f t="shared" ca="1" si="86"/>
        <v>25</v>
      </c>
      <c r="F243">
        <f t="shared" ca="1" si="87"/>
        <v>2</v>
      </c>
      <c r="G243" t="str">
        <v>B</v>
      </c>
      <c r="H243" t="str">
        <v>B</v>
      </c>
      <c r="I243" t="str">
        <f ca="1">IF($A243="","",IF(COUNTA($K$2:$P$2)=6,"WK "&amp;_xlfn.ISOWEEKNUM($K$2)))</f>
        <v>WK 18</v>
      </c>
      <c r="J243" t="str">
        <f ca="1">IF($A243="","",IF(COUNTA($Y$2:$AD$2)=6,"WK "&amp;_xlfn.ISOWEEKNUM($Y$2)))</f>
        <v>WK 20</v>
      </c>
      <c r="K243" s="20" t="str">
        <f t="shared" ca="1" si="88"/>
        <v>ON</v>
      </c>
      <c r="L243" s="20" t="str">
        <f t="shared" ca="1" si="88"/>
        <v>ON</v>
      </c>
      <c r="M243" s="1" t="str">
        <f t="shared" ca="1" si="89"/>
        <v>ON</v>
      </c>
      <c r="N243" s="1" t="str">
        <f t="shared" ca="1" si="90"/>
        <v>OFF</v>
      </c>
      <c r="O243" s="1" t="str">
        <f t="shared" ca="1" si="91"/>
        <v>ON</v>
      </c>
      <c r="P243" s="1" t="str">
        <f t="shared" ca="1" si="92"/>
        <v>ON</v>
      </c>
      <c r="Q243" s="1"/>
      <c r="R243" s="20" t="str">
        <f t="shared" ca="1" si="93"/>
        <v>ON</v>
      </c>
      <c r="S243" s="20" t="str">
        <f t="shared" ca="1" si="93"/>
        <v>ON</v>
      </c>
      <c r="T243" s="1" t="str">
        <f t="shared" ca="1" si="94"/>
        <v>ON</v>
      </c>
      <c r="U243" s="1" t="str">
        <f t="shared" ca="1" si="95"/>
        <v>ON</v>
      </c>
      <c r="V243" s="1" t="str">
        <f t="shared" ca="1" si="96"/>
        <v>ON</v>
      </c>
      <c r="W243" s="1" t="str">
        <f t="shared" ca="1" si="97"/>
        <v>ON</v>
      </c>
      <c r="X243" s="1"/>
      <c r="Y243" s="20" t="str">
        <f t="shared" ca="1" si="98"/>
        <v>ON</v>
      </c>
      <c r="Z243" s="20" t="str">
        <f t="shared" ca="1" si="98"/>
        <v>ON</v>
      </c>
      <c r="AA243" s="1" t="str">
        <f t="shared" ca="1" si="99"/>
        <v>ON</v>
      </c>
      <c r="AB243" s="1" t="str">
        <f t="shared" ca="1" si="100"/>
        <v>OFF</v>
      </c>
      <c r="AC243" s="1" t="str">
        <f t="shared" ca="1" si="101"/>
        <v>ON</v>
      </c>
      <c r="AD243" s="1" t="str">
        <f t="shared" ca="1" si="102"/>
        <v>ON</v>
      </c>
      <c r="AE243" s="1"/>
      <c r="AF243" s="20" t="str">
        <f t="shared" ca="1" si="103"/>
        <v>ON</v>
      </c>
      <c r="AG243" s="20" t="str">
        <f t="shared" ca="1" si="103"/>
        <v>ON</v>
      </c>
      <c r="AH243" s="1" t="str">
        <f t="shared" ca="1" si="104"/>
        <v>ON</v>
      </c>
      <c r="AI243" s="1" t="str">
        <f t="shared" ca="1" si="105"/>
        <v>ON</v>
      </c>
      <c r="AJ243" s="1" t="str">
        <f t="shared" ca="1" si="106"/>
        <v>ON</v>
      </c>
      <c r="AK243" s="1" t="str">
        <f t="shared" ca="1" si="107"/>
        <v>ON</v>
      </c>
      <c r="AL243" s="1"/>
      <c r="AM243" s="20" t="str">
        <f t="shared" si="108"/>
        <v>ON</v>
      </c>
      <c r="AN243" s="20" t="str">
        <f t="shared" si="108"/>
        <v>ON</v>
      </c>
      <c r="AO243" s="20" t="str">
        <f t="shared" si="109"/>
        <v>ON</v>
      </c>
    </row>
    <row r="244" spans="1:41">
      <c r="A244" t="str">
        <f t="shared" ca="1" si="83"/>
        <v>Ondo</v>
      </c>
      <c r="B244" t="str">
        <f t="shared" ca="1" si="84"/>
        <v>C</v>
      </c>
      <c r="C244" t="str">
        <f t="shared" ca="1" si="85"/>
        <v>E1</v>
      </c>
      <c r="D244" t="s">
        <v>7</v>
      </c>
      <c r="E244">
        <f t="shared" ca="1" si="86"/>
        <v>25</v>
      </c>
      <c r="F244">
        <f t="shared" ca="1" si="87"/>
        <v>2</v>
      </c>
      <c r="G244" t="str">
        <v>A</v>
      </c>
      <c r="H244" t="str">
        <v>A</v>
      </c>
      <c r="I244" t="str">
        <f ca="1">IF($A244="","",IF(COUNTA($R$2:$W$2)=6,"WK "&amp;_xlfn.ISOWEEKNUM($R$2)))</f>
        <v>WK 19</v>
      </c>
      <c r="J244" t="str">
        <f ca="1">IF($A244="","",IF(COUNTA($AF$2:$AK$2)=6,"WK "&amp;_xlfn.ISOWEEKNUM($AF$2)))</f>
        <v>WK 21</v>
      </c>
      <c r="K244" s="20" t="str">
        <f t="shared" ca="1" si="88"/>
        <v>ON</v>
      </c>
      <c r="L244" s="20" t="str">
        <f t="shared" ca="1" si="88"/>
        <v>ON</v>
      </c>
      <c r="M244" s="1" t="str">
        <f t="shared" ca="1" si="89"/>
        <v>ON</v>
      </c>
      <c r="N244" s="1" t="str">
        <f t="shared" ca="1" si="90"/>
        <v>ON</v>
      </c>
      <c r="O244" s="1" t="str">
        <f t="shared" ca="1" si="91"/>
        <v>ON</v>
      </c>
      <c r="P244" s="1" t="str">
        <f t="shared" ca="1" si="92"/>
        <v>ON</v>
      </c>
      <c r="Q244" s="1"/>
      <c r="R244" s="20" t="str">
        <f t="shared" ca="1" si="93"/>
        <v>ON</v>
      </c>
      <c r="S244" s="20" t="str">
        <f t="shared" ca="1" si="93"/>
        <v>ON</v>
      </c>
      <c r="T244" s="1" t="str">
        <f t="shared" ca="1" si="94"/>
        <v>OFF</v>
      </c>
      <c r="U244" s="1" t="str">
        <f t="shared" ca="1" si="95"/>
        <v>ON</v>
      </c>
      <c r="V244" s="1" t="str">
        <f t="shared" ca="1" si="96"/>
        <v>ON</v>
      </c>
      <c r="W244" s="1" t="str">
        <f t="shared" ca="1" si="97"/>
        <v>ON</v>
      </c>
      <c r="X244" s="1"/>
      <c r="Y244" s="20" t="str">
        <f t="shared" ca="1" si="98"/>
        <v>ON</v>
      </c>
      <c r="Z244" s="20" t="str">
        <f t="shared" ca="1" si="98"/>
        <v>ON</v>
      </c>
      <c r="AA244" s="1" t="str">
        <f t="shared" ca="1" si="99"/>
        <v>ON</v>
      </c>
      <c r="AB244" s="1" t="str">
        <f t="shared" ca="1" si="100"/>
        <v>ON</v>
      </c>
      <c r="AC244" s="1" t="str">
        <f t="shared" ca="1" si="101"/>
        <v>ON</v>
      </c>
      <c r="AD244" s="1" t="str">
        <f t="shared" ca="1" si="102"/>
        <v>ON</v>
      </c>
      <c r="AE244" s="1"/>
      <c r="AF244" s="20" t="str">
        <f t="shared" ca="1" si="103"/>
        <v>ON</v>
      </c>
      <c r="AG244" s="20" t="str">
        <f t="shared" ca="1" si="103"/>
        <v>ON</v>
      </c>
      <c r="AH244" s="1" t="str">
        <f t="shared" ca="1" si="104"/>
        <v>OFF</v>
      </c>
      <c r="AI244" s="1" t="str">
        <f t="shared" ca="1" si="105"/>
        <v>ON</v>
      </c>
      <c r="AJ244" s="1" t="str">
        <f t="shared" ca="1" si="106"/>
        <v>ON</v>
      </c>
      <c r="AK244" s="1" t="str">
        <f t="shared" ca="1" si="107"/>
        <v>ON</v>
      </c>
      <c r="AL244" s="1"/>
      <c r="AM244" s="20" t="str">
        <f t="shared" si="108"/>
        <v>ON</v>
      </c>
      <c r="AN244" s="20" t="str">
        <f t="shared" si="108"/>
        <v>ON</v>
      </c>
      <c r="AO244" s="20" t="str">
        <f t="shared" si="109"/>
        <v>ON</v>
      </c>
    </row>
    <row r="245" spans="1:41">
      <c r="A245" t="str">
        <f t="shared" ca="1" si="83"/>
        <v>Ekiti</v>
      </c>
      <c r="B245" t="str">
        <f t="shared" ca="1" si="84"/>
        <v>A</v>
      </c>
      <c r="C245" t="str">
        <f t="shared" ca="1" si="85"/>
        <v>B1</v>
      </c>
      <c r="D245" t="s">
        <v>7</v>
      </c>
      <c r="E245">
        <f t="shared" ca="1" si="86"/>
        <v>25</v>
      </c>
      <c r="F245">
        <f t="shared" ca="1" si="87"/>
        <v>2</v>
      </c>
      <c r="G245" t="str" cm="1">
        <f t="array" ref="G245:G248">Groups!$B$2:$B$5</f>
        <v>A</v>
      </c>
      <c r="H245" t="str" cm="1">
        <f t="array" ref="H245:H248">Groups!$B$2:$B$5</f>
        <v>A</v>
      </c>
      <c r="I245" t="str">
        <f ca="1">IF($A245="","",IF(COUNTA($K$2:$P$2)=6,"WK "&amp;_xlfn.ISOWEEKNUM($K$2)))</f>
        <v>WK 18</v>
      </c>
      <c r="J245" t="str">
        <f ca="1">IF($A245="","",IF(COUNTA($Y$2:$AD$2)=6,"WK "&amp;_xlfn.ISOWEEKNUM($Y$2)))</f>
        <v>WK 20</v>
      </c>
      <c r="K245" s="20" t="str">
        <f t="shared" ca="1" si="88"/>
        <v>ON</v>
      </c>
      <c r="L245" s="20" t="str">
        <f t="shared" ca="1" si="88"/>
        <v>ON</v>
      </c>
      <c r="M245" s="1" t="str">
        <f t="shared" ca="1" si="89"/>
        <v>OFF</v>
      </c>
      <c r="N245" s="1" t="str">
        <f t="shared" ca="1" si="90"/>
        <v>ON</v>
      </c>
      <c r="O245" s="1" t="str">
        <f t="shared" ca="1" si="91"/>
        <v>ON</v>
      </c>
      <c r="P245" s="1" t="str">
        <f t="shared" ca="1" si="92"/>
        <v>ON</v>
      </c>
      <c r="Q245" s="1"/>
      <c r="R245" s="20" t="str">
        <f t="shared" ca="1" si="93"/>
        <v>ON</v>
      </c>
      <c r="S245" s="20" t="str">
        <f t="shared" ca="1" si="93"/>
        <v>ON</v>
      </c>
      <c r="T245" s="1" t="str">
        <f t="shared" ca="1" si="94"/>
        <v>ON</v>
      </c>
      <c r="U245" s="1" t="str">
        <f t="shared" ca="1" si="95"/>
        <v>ON</v>
      </c>
      <c r="V245" s="1" t="str">
        <f t="shared" ca="1" si="96"/>
        <v>ON</v>
      </c>
      <c r="W245" s="1" t="str">
        <f t="shared" ca="1" si="97"/>
        <v>ON</v>
      </c>
      <c r="X245" s="1"/>
      <c r="Y245" s="20" t="str">
        <f t="shared" ca="1" si="98"/>
        <v>ON</v>
      </c>
      <c r="Z245" s="20" t="str">
        <f t="shared" ca="1" si="98"/>
        <v>ON</v>
      </c>
      <c r="AA245" s="1" t="str">
        <f t="shared" ca="1" si="99"/>
        <v>OFF</v>
      </c>
      <c r="AB245" s="1" t="str">
        <f t="shared" ca="1" si="100"/>
        <v>ON</v>
      </c>
      <c r="AC245" s="1" t="str">
        <f t="shared" ca="1" si="101"/>
        <v>ON</v>
      </c>
      <c r="AD245" s="1" t="str">
        <f t="shared" ca="1" si="102"/>
        <v>ON</v>
      </c>
      <c r="AE245" s="1"/>
      <c r="AF245" s="20" t="str">
        <f t="shared" ca="1" si="103"/>
        <v>ON</v>
      </c>
      <c r="AG245" s="20" t="str">
        <f t="shared" ca="1" si="103"/>
        <v>ON</v>
      </c>
      <c r="AH245" s="1" t="str">
        <f t="shared" ca="1" si="104"/>
        <v>ON</v>
      </c>
      <c r="AI245" s="1" t="str">
        <f t="shared" ca="1" si="105"/>
        <v>ON</v>
      </c>
      <c r="AJ245" s="1" t="str">
        <f t="shared" ca="1" si="106"/>
        <v>ON</v>
      </c>
      <c r="AK245" s="1" t="str">
        <f t="shared" ca="1" si="107"/>
        <v>ON</v>
      </c>
      <c r="AL245" s="1"/>
      <c r="AM245" s="20" t="str">
        <f t="shared" si="108"/>
        <v>ON</v>
      </c>
      <c r="AN245" s="20" t="str">
        <f t="shared" si="108"/>
        <v>ON</v>
      </c>
      <c r="AO245" s="20" t="str">
        <f t="shared" si="109"/>
        <v>ON</v>
      </c>
    </row>
    <row r="246" spans="1:41">
      <c r="A246" t="str">
        <f t="shared" ca="1" si="83"/>
        <v>Ondo</v>
      </c>
      <c r="B246" t="str">
        <f t="shared" ca="1" si="84"/>
        <v>A</v>
      </c>
      <c r="C246" t="str">
        <f t="shared" ca="1" si="85"/>
        <v>B1</v>
      </c>
      <c r="D246" t="s">
        <v>4</v>
      </c>
      <c r="E246">
        <f t="shared" ca="1" si="86"/>
        <v>25</v>
      </c>
      <c r="F246">
        <f t="shared" ca="1" si="87"/>
        <v>2</v>
      </c>
      <c r="G246" t="str">
        <v>B</v>
      </c>
      <c r="H246" t="str">
        <v>B</v>
      </c>
      <c r="I246" t="str">
        <f ca="1">IF($A246="","",IF(COUNTA($R$2:$W$2)=6,"WK "&amp;_xlfn.ISOWEEKNUM($R$2)))</f>
        <v>WK 19</v>
      </c>
      <c r="J246" t="str">
        <f ca="1">IF($A246="","",IF(COUNTA($AF$2:$AK$2)=6,"WK "&amp;_xlfn.ISOWEEKNUM($AF$2)))</f>
        <v>WK 21</v>
      </c>
      <c r="K246" s="20" t="str">
        <f t="shared" ca="1" si="88"/>
        <v>ON</v>
      </c>
      <c r="L246" s="20" t="str">
        <f t="shared" ca="1" si="88"/>
        <v>ON</v>
      </c>
      <c r="M246" s="1" t="str">
        <f t="shared" ca="1" si="89"/>
        <v>ON</v>
      </c>
      <c r="N246" s="1" t="str">
        <f t="shared" ca="1" si="90"/>
        <v>ON</v>
      </c>
      <c r="O246" s="1" t="str">
        <f t="shared" ca="1" si="91"/>
        <v>ON</v>
      </c>
      <c r="P246" s="1" t="str">
        <f t="shared" ca="1" si="92"/>
        <v>ON</v>
      </c>
      <c r="Q246" s="1"/>
      <c r="R246" s="20" t="str">
        <f t="shared" ca="1" si="93"/>
        <v>ON</v>
      </c>
      <c r="S246" s="20" t="str">
        <f t="shared" ca="1" si="93"/>
        <v>ON</v>
      </c>
      <c r="T246" s="1" t="str">
        <f t="shared" ca="1" si="94"/>
        <v>ON</v>
      </c>
      <c r="U246" s="1" t="str">
        <f t="shared" ca="1" si="95"/>
        <v>OFF</v>
      </c>
      <c r="V246" s="1" t="str">
        <f t="shared" ca="1" si="96"/>
        <v>ON</v>
      </c>
      <c r="W246" s="1" t="str">
        <f t="shared" ca="1" si="97"/>
        <v>ON</v>
      </c>
      <c r="X246" s="1"/>
      <c r="Y246" s="20" t="str">
        <f t="shared" ca="1" si="98"/>
        <v>ON</v>
      </c>
      <c r="Z246" s="20" t="str">
        <f t="shared" ca="1" si="98"/>
        <v>ON</v>
      </c>
      <c r="AA246" s="1" t="str">
        <f t="shared" ca="1" si="99"/>
        <v>ON</v>
      </c>
      <c r="AB246" s="1" t="str">
        <f t="shared" ca="1" si="100"/>
        <v>ON</v>
      </c>
      <c r="AC246" s="1" t="str">
        <f t="shared" ca="1" si="101"/>
        <v>ON</v>
      </c>
      <c r="AD246" s="1" t="str">
        <f t="shared" ca="1" si="102"/>
        <v>ON</v>
      </c>
      <c r="AE246" s="1"/>
      <c r="AF246" s="20" t="str">
        <f t="shared" ca="1" si="103"/>
        <v>ON</v>
      </c>
      <c r="AG246" s="20" t="str">
        <f t="shared" ca="1" si="103"/>
        <v>ON</v>
      </c>
      <c r="AH246" s="1" t="str">
        <f t="shared" ca="1" si="104"/>
        <v>ON</v>
      </c>
      <c r="AI246" s="1" t="str">
        <f t="shared" ca="1" si="105"/>
        <v>OFF</v>
      </c>
      <c r="AJ246" s="1" t="str">
        <f t="shared" ca="1" si="106"/>
        <v>ON</v>
      </c>
      <c r="AK246" s="1" t="str">
        <f t="shared" ca="1" si="107"/>
        <v>ON</v>
      </c>
      <c r="AL246" s="1"/>
      <c r="AM246" s="20" t="str">
        <f t="shared" si="108"/>
        <v>ON</v>
      </c>
      <c r="AN246" s="20" t="str">
        <f t="shared" si="108"/>
        <v>ON</v>
      </c>
      <c r="AO246" s="20" t="str">
        <f t="shared" si="109"/>
        <v>ON</v>
      </c>
    </row>
    <row r="247" spans="1:41">
      <c r="A247" t="str">
        <f t="shared" ca="1" si="83"/>
        <v>Lagos</v>
      </c>
      <c r="B247" t="str">
        <f t="shared" ca="1" si="84"/>
        <v>A</v>
      </c>
      <c r="C247" t="str">
        <f t="shared" ca="1" si="85"/>
        <v>D1</v>
      </c>
      <c r="D247" t="s">
        <v>4</v>
      </c>
      <c r="E247">
        <f t="shared" ca="1" si="86"/>
        <v>25</v>
      </c>
      <c r="F247">
        <f t="shared" ca="1" si="87"/>
        <v>2</v>
      </c>
      <c r="G247" t="str">
        <v>C</v>
      </c>
      <c r="H247" t="str">
        <v>C</v>
      </c>
      <c r="I247" t="str">
        <f ca="1">IF($A247="","",IF(COUNTA($K$2:$P$2)=6,"WK "&amp;_xlfn.ISOWEEKNUM($K$2)))</f>
        <v>WK 18</v>
      </c>
      <c r="J247" t="str">
        <f ca="1">IF($A247="","",IF(COUNTA($Y$2:$AD$2)=6,"WK "&amp;_xlfn.ISOWEEKNUM($Y$2)))</f>
        <v>WK 20</v>
      </c>
      <c r="K247" s="20" t="str">
        <f t="shared" ca="1" si="88"/>
        <v>ON</v>
      </c>
      <c r="L247" s="20" t="str">
        <f t="shared" ca="1" si="88"/>
        <v>ON</v>
      </c>
      <c r="M247" s="1" t="str">
        <f t="shared" ca="1" si="89"/>
        <v>ON</v>
      </c>
      <c r="N247" s="1" t="str">
        <f t="shared" ca="1" si="90"/>
        <v>ON</v>
      </c>
      <c r="O247" s="1" t="str">
        <f t="shared" ca="1" si="91"/>
        <v>OFF</v>
      </c>
      <c r="P247" s="1" t="str">
        <f t="shared" ca="1" si="92"/>
        <v>ON</v>
      </c>
      <c r="Q247" s="1"/>
      <c r="R247" s="20" t="str">
        <f t="shared" ca="1" si="93"/>
        <v>ON</v>
      </c>
      <c r="S247" s="20" t="str">
        <f t="shared" ca="1" si="93"/>
        <v>ON</v>
      </c>
      <c r="T247" s="1" t="str">
        <f t="shared" ca="1" si="94"/>
        <v>ON</v>
      </c>
      <c r="U247" s="1" t="str">
        <f t="shared" ca="1" si="95"/>
        <v>ON</v>
      </c>
      <c r="V247" s="1" t="str">
        <f t="shared" ca="1" si="96"/>
        <v>ON</v>
      </c>
      <c r="W247" s="1" t="str">
        <f t="shared" ca="1" si="97"/>
        <v>ON</v>
      </c>
      <c r="X247" s="1"/>
      <c r="Y247" s="20" t="str">
        <f t="shared" ca="1" si="98"/>
        <v>ON</v>
      </c>
      <c r="Z247" s="20" t="str">
        <f t="shared" ca="1" si="98"/>
        <v>ON</v>
      </c>
      <c r="AA247" s="1" t="str">
        <f t="shared" ca="1" si="99"/>
        <v>ON</v>
      </c>
      <c r="AB247" s="1" t="str">
        <f t="shared" ca="1" si="100"/>
        <v>ON</v>
      </c>
      <c r="AC247" s="1" t="str">
        <f t="shared" ca="1" si="101"/>
        <v>OFF</v>
      </c>
      <c r="AD247" s="1" t="str">
        <f t="shared" ca="1" si="102"/>
        <v>ON</v>
      </c>
      <c r="AE247" s="1"/>
      <c r="AF247" s="20" t="str">
        <f t="shared" ca="1" si="103"/>
        <v>ON</v>
      </c>
      <c r="AG247" s="20" t="str">
        <f t="shared" ca="1" si="103"/>
        <v>ON</v>
      </c>
      <c r="AH247" s="1" t="str">
        <f t="shared" ca="1" si="104"/>
        <v>ON</v>
      </c>
      <c r="AI247" s="1" t="str">
        <f t="shared" ca="1" si="105"/>
        <v>ON</v>
      </c>
      <c r="AJ247" s="1" t="str">
        <f t="shared" ca="1" si="106"/>
        <v>ON</v>
      </c>
      <c r="AK247" s="1" t="str">
        <f t="shared" ca="1" si="107"/>
        <v>ON</v>
      </c>
      <c r="AL247" s="1"/>
      <c r="AM247" s="20" t="str">
        <f t="shared" si="108"/>
        <v>ON</v>
      </c>
      <c r="AN247" s="20" t="str">
        <f t="shared" si="108"/>
        <v>ON</v>
      </c>
      <c r="AO247" s="20" t="str">
        <f t="shared" si="109"/>
        <v>ON</v>
      </c>
    </row>
    <row r="248" spans="1:41">
      <c r="A248" t="str">
        <f t="shared" ca="1" si="83"/>
        <v>Ondo</v>
      </c>
      <c r="B248" t="str">
        <f t="shared" ca="1" si="84"/>
        <v>C</v>
      </c>
      <c r="C248" t="str">
        <f t="shared" ca="1" si="85"/>
        <v>D1</v>
      </c>
      <c r="D248" t="s">
        <v>5</v>
      </c>
      <c r="E248">
        <f t="shared" ca="1" si="86"/>
        <v>25</v>
      </c>
      <c r="F248">
        <f t="shared" ca="1" si="87"/>
        <v>2</v>
      </c>
      <c r="G248" t="str">
        <v>D</v>
      </c>
      <c r="H248" t="str">
        <v>D</v>
      </c>
      <c r="I248" t="str">
        <f ca="1">IF($A248="","",IF(COUNTA($R$2:$W$2)=6,"WK "&amp;_xlfn.ISOWEEKNUM($R$2)))</f>
        <v>WK 19</v>
      </c>
      <c r="J248" t="str">
        <f ca="1">IF($A248="","",IF(COUNTA($AF$2:$AK$2)=6,"WK "&amp;_xlfn.ISOWEEKNUM($AF$2)))</f>
        <v>WK 21</v>
      </c>
      <c r="K248" s="20" t="str">
        <f t="shared" ca="1" si="88"/>
        <v>ON</v>
      </c>
      <c r="L248" s="20" t="str">
        <f t="shared" ca="1" si="88"/>
        <v>ON</v>
      </c>
      <c r="M248" s="1" t="str">
        <f t="shared" ca="1" si="89"/>
        <v>ON</v>
      </c>
      <c r="N248" s="1" t="str">
        <f t="shared" ca="1" si="90"/>
        <v>ON</v>
      </c>
      <c r="O248" s="1" t="str">
        <f t="shared" ca="1" si="91"/>
        <v>ON</v>
      </c>
      <c r="P248" s="1" t="str">
        <f t="shared" ca="1" si="92"/>
        <v>ON</v>
      </c>
      <c r="Q248" s="1"/>
      <c r="R248" s="20" t="str">
        <f t="shared" ca="1" si="93"/>
        <v>ON</v>
      </c>
      <c r="S248" s="20" t="str">
        <f t="shared" ca="1" si="93"/>
        <v>ON</v>
      </c>
      <c r="T248" s="1" t="str">
        <f t="shared" ca="1" si="94"/>
        <v>ON</v>
      </c>
      <c r="U248" s="1" t="str">
        <f t="shared" ca="1" si="95"/>
        <v>ON</v>
      </c>
      <c r="V248" s="1" t="str">
        <f t="shared" ca="1" si="96"/>
        <v>ON</v>
      </c>
      <c r="W248" s="1" t="str">
        <f t="shared" ca="1" si="97"/>
        <v>OFF</v>
      </c>
      <c r="X248" s="1"/>
      <c r="Y248" s="20" t="str">
        <f t="shared" ca="1" si="98"/>
        <v>ON</v>
      </c>
      <c r="Z248" s="20" t="str">
        <f t="shared" ca="1" si="98"/>
        <v>ON</v>
      </c>
      <c r="AA248" s="1" t="str">
        <f t="shared" ca="1" si="99"/>
        <v>ON</v>
      </c>
      <c r="AB248" s="1" t="str">
        <f t="shared" ca="1" si="100"/>
        <v>ON</v>
      </c>
      <c r="AC248" s="1" t="str">
        <f t="shared" ca="1" si="101"/>
        <v>ON</v>
      </c>
      <c r="AD248" s="1" t="str">
        <f t="shared" ca="1" si="102"/>
        <v>ON</v>
      </c>
      <c r="AE248" s="1"/>
      <c r="AF248" s="20" t="str">
        <f t="shared" ca="1" si="103"/>
        <v>ON</v>
      </c>
      <c r="AG248" s="20" t="str">
        <f t="shared" ca="1" si="103"/>
        <v>ON</v>
      </c>
      <c r="AH248" s="1" t="str">
        <f t="shared" ca="1" si="104"/>
        <v>ON</v>
      </c>
      <c r="AI248" s="1" t="str">
        <f t="shared" ca="1" si="105"/>
        <v>ON</v>
      </c>
      <c r="AJ248" s="1" t="str">
        <f t="shared" ca="1" si="106"/>
        <v>ON</v>
      </c>
      <c r="AK248" s="1" t="str">
        <f t="shared" ca="1" si="107"/>
        <v>OFF</v>
      </c>
      <c r="AL248" s="1"/>
      <c r="AM248" s="20" t="str">
        <f t="shared" si="108"/>
        <v>ON</v>
      </c>
      <c r="AN248" s="20" t="str">
        <f t="shared" si="108"/>
        <v>ON</v>
      </c>
      <c r="AO248" s="20" t="str">
        <f t="shared" si="109"/>
        <v>ON</v>
      </c>
    </row>
    <row r="249" spans="1:41">
      <c r="A249" t="str">
        <f t="shared" ca="1" si="83"/>
        <v>Ondo</v>
      </c>
      <c r="B249" t="str">
        <f t="shared" ca="1" si="84"/>
        <v>A</v>
      </c>
      <c r="C249" t="str">
        <f t="shared" ca="1" si="85"/>
        <v>C1</v>
      </c>
      <c r="D249" t="s">
        <v>5</v>
      </c>
      <c r="E249">
        <f t="shared" ca="1" si="86"/>
        <v>25</v>
      </c>
      <c r="F249">
        <f t="shared" ca="1" si="87"/>
        <v>2</v>
      </c>
      <c r="G249" t="str" cm="1">
        <f t="array" ref="G249:G252">IF($G$5:$G$8={"A";"B";"C";"D"},{"D";"C";"B";"A"},{"A";"B";"C";"D"})</f>
        <v>D</v>
      </c>
      <c r="H249" t="str" cm="1">
        <f t="array" ref="H249:H252">IF($H$5:$H$8={"A";"B";"C";"D"},{"D";"C";"B";"A"},{"A";"B";"C";"D"})</f>
        <v>D</v>
      </c>
      <c r="I249" t="str">
        <f ca="1">IF($A249="","",IF(COUNTA($K$2:$P$2)=6,"WK "&amp;_xlfn.ISOWEEKNUM($K$2)))</f>
        <v>WK 18</v>
      </c>
      <c r="J249" t="str">
        <f ca="1">IF($A249="","",IF(COUNTA($Y$2:$AD$2)=6,"WK "&amp;_xlfn.ISOWEEKNUM($Y$2)))</f>
        <v>WK 20</v>
      </c>
      <c r="K249" s="20" t="str">
        <f t="shared" ca="1" si="88"/>
        <v>ON</v>
      </c>
      <c r="L249" s="20" t="str">
        <f t="shared" ca="1" si="88"/>
        <v>ON</v>
      </c>
      <c r="M249" s="1" t="str">
        <f t="shared" ca="1" si="89"/>
        <v>ON</v>
      </c>
      <c r="N249" s="1" t="str">
        <f t="shared" ca="1" si="90"/>
        <v>ON</v>
      </c>
      <c r="O249" s="1" t="str">
        <f t="shared" ca="1" si="91"/>
        <v>ON</v>
      </c>
      <c r="P249" s="1" t="str">
        <f t="shared" ca="1" si="92"/>
        <v>OFF</v>
      </c>
      <c r="Q249" s="1"/>
      <c r="R249" s="20" t="str">
        <f t="shared" ca="1" si="93"/>
        <v>ON</v>
      </c>
      <c r="S249" s="20" t="str">
        <f t="shared" ca="1" si="93"/>
        <v>ON</v>
      </c>
      <c r="T249" s="1" t="str">
        <f t="shared" ca="1" si="94"/>
        <v>ON</v>
      </c>
      <c r="U249" s="1" t="str">
        <f t="shared" ca="1" si="95"/>
        <v>ON</v>
      </c>
      <c r="V249" s="1" t="str">
        <f t="shared" ca="1" si="96"/>
        <v>ON</v>
      </c>
      <c r="W249" s="1" t="str">
        <f t="shared" ca="1" si="97"/>
        <v>ON</v>
      </c>
      <c r="X249" s="1"/>
      <c r="Y249" s="20" t="str">
        <f t="shared" ca="1" si="98"/>
        <v>ON</v>
      </c>
      <c r="Z249" s="20" t="str">
        <f t="shared" ca="1" si="98"/>
        <v>ON</v>
      </c>
      <c r="AA249" s="1" t="str">
        <f t="shared" ca="1" si="99"/>
        <v>ON</v>
      </c>
      <c r="AB249" s="1" t="str">
        <f t="shared" ca="1" si="100"/>
        <v>ON</v>
      </c>
      <c r="AC249" s="1" t="str">
        <f t="shared" ca="1" si="101"/>
        <v>ON</v>
      </c>
      <c r="AD249" s="1" t="str">
        <f t="shared" ca="1" si="102"/>
        <v>OFF</v>
      </c>
      <c r="AE249" s="1"/>
      <c r="AF249" s="20" t="str">
        <f t="shared" ca="1" si="103"/>
        <v>ON</v>
      </c>
      <c r="AG249" s="20" t="str">
        <f t="shared" ca="1" si="103"/>
        <v>ON</v>
      </c>
      <c r="AH249" s="1" t="str">
        <f t="shared" ca="1" si="104"/>
        <v>ON</v>
      </c>
      <c r="AI249" s="1" t="str">
        <f t="shared" ca="1" si="105"/>
        <v>ON</v>
      </c>
      <c r="AJ249" s="1" t="str">
        <f t="shared" ca="1" si="106"/>
        <v>ON</v>
      </c>
      <c r="AK249" s="1" t="str">
        <f t="shared" ca="1" si="107"/>
        <v>ON</v>
      </c>
      <c r="AL249" s="1"/>
      <c r="AM249" s="20" t="str">
        <f t="shared" si="108"/>
        <v>ON</v>
      </c>
      <c r="AN249" s="20" t="str">
        <f t="shared" si="108"/>
        <v>ON</v>
      </c>
      <c r="AO249" s="20" t="str">
        <f t="shared" si="109"/>
        <v>ON</v>
      </c>
    </row>
    <row r="250" spans="1:41">
      <c r="A250" t="str">
        <f t="shared" ca="1" si="83"/>
        <v>Ondo</v>
      </c>
      <c r="B250" t="str">
        <f t="shared" ca="1" si="84"/>
        <v>C</v>
      </c>
      <c r="C250" t="str">
        <f t="shared" ca="1" si="85"/>
        <v>E1</v>
      </c>
      <c r="D250" t="s">
        <v>5</v>
      </c>
      <c r="E250">
        <f t="shared" ca="1" si="86"/>
        <v>25</v>
      </c>
      <c r="F250">
        <f t="shared" ca="1" si="87"/>
        <v>2</v>
      </c>
      <c r="G250" t="str">
        <v>C</v>
      </c>
      <c r="H250" t="str">
        <v>C</v>
      </c>
      <c r="I250" t="str">
        <f ca="1">IF($A250="","",IF(COUNTA($R$2:$W$2)=6,"WK "&amp;_xlfn.ISOWEEKNUM($R$2)))</f>
        <v>WK 19</v>
      </c>
      <c r="J250" t="str">
        <f ca="1">IF($A250="","",IF(COUNTA($AF$2:$AK$2)=6,"WK "&amp;_xlfn.ISOWEEKNUM($AF$2)))</f>
        <v>WK 21</v>
      </c>
      <c r="K250" s="20" t="str">
        <f t="shared" ca="1" si="88"/>
        <v>ON</v>
      </c>
      <c r="L250" s="20" t="str">
        <f t="shared" ca="1" si="88"/>
        <v>ON</v>
      </c>
      <c r="M250" s="1" t="str">
        <f t="shared" ca="1" si="89"/>
        <v>ON</v>
      </c>
      <c r="N250" s="1" t="str">
        <f t="shared" ca="1" si="90"/>
        <v>ON</v>
      </c>
      <c r="O250" s="1" t="str">
        <f t="shared" ca="1" si="91"/>
        <v>ON</v>
      </c>
      <c r="P250" s="1" t="str">
        <f t="shared" ca="1" si="92"/>
        <v>ON</v>
      </c>
      <c r="Q250" s="1"/>
      <c r="R250" s="20" t="str">
        <f t="shared" ca="1" si="93"/>
        <v>ON</v>
      </c>
      <c r="S250" s="20" t="str">
        <f t="shared" ca="1" si="93"/>
        <v>ON</v>
      </c>
      <c r="T250" s="1" t="str">
        <f t="shared" ca="1" si="94"/>
        <v>ON</v>
      </c>
      <c r="U250" s="1" t="str">
        <f t="shared" ca="1" si="95"/>
        <v>ON</v>
      </c>
      <c r="V250" s="1" t="str">
        <f t="shared" ca="1" si="96"/>
        <v>OFF</v>
      </c>
      <c r="W250" s="1" t="str">
        <f t="shared" ca="1" si="97"/>
        <v>ON</v>
      </c>
      <c r="X250" s="1"/>
      <c r="Y250" s="20" t="str">
        <f t="shared" ca="1" si="98"/>
        <v>ON</v>
      </c>
      <c r="Z250" s="20" t="str">
        <f t="shared" ca="1" si="98"/>
        <v>ON</v>
      </c>
      <c r="AA250" s="1" t="str">
        <f t="shared" ca="1" si="99"/>
        <v>ON</v>
      </c>
      <c r="AB250" s="1" t="str">
        <f t="shared" ca="1" si="100"/>
        <v>ON</v>
      </c>
      <c r="AC250" s="1" t="str">
        <f t="shared" ca="1" si="101"/>
        <v>ON</v>
      </c>
      <c r="AD250" s="1" t="str">
        <f t="shared" ca="1" si="102"/>
        <v>ON</v>
      </c>
      <c r="AE250" s="1"/>
      <c r="AF250" s="20" t="str">
        <f t="shared" ca="1" si="103"/>
        <v>ON</v>
      </c>
      <c r="AG250" s="20" t="str">
        <f t="shared" ca="1" si="103"/>
        <v>ON</v>
      </c>
      <c r="AH250" s="1" t="str">
        <f t="shared" ca="1" si="104"/>
        <v>ON</v>
      </c>
      <c r="AI250" s="1" t="str">
        <f t="shared" ca="1" si="105"/>
        <v>ON</v>
      </c>
      <c r="AJ250" s="1" t="str">
        <f t="shared" ca="1" si="106"/>
        <v>OFF</v>
      </c>
      <c r="AK250" s="1" t="str">
        <f t="shared" ca="1" si="107"/>
        <v>ON</v>
      </c>
      <c r="AL250" s="1"/>
      <c r="AM250" s="20" t="str">
        <f t="shared" si="108"/>
        <v>ON</v>
      </c>
      <c r="AN250" s="20" t="str">
        <f t="shared" si="108"/>
        <v>ON</v>
      </c>
      <c r="AO250" s="20" t="str">
        <f t="shared" si="109"/>
        <v>ON</v>
      </c>
    </row>
    <row r="251" spans="1:41">
      <c r="A251" t="str">
        <f t="shared" ca="1" si="83"/>
        <v>Ekiti</v>
      </c>
      <c r="B251" t="str">
        <f t="shared" ca="1" si="84"/>
        <v>D</v>
      </c>
      <c r="C251" t="str">
        <f t="shared" ca="1" si="85"/>
        <v>E1</v>
      </c>
      <c r="D251" t="s">
        <v>5</v>
      </c>
      <c r="E251">
        <f t="shared" ca="1" si="86"/>
        <v>25</v>
      </c>
      <c r="F251">
        <f t="shared" ca="1" si="87"/>
        <v>2</v>
      </c>
      <c r="G251" t="str">
        <v>B</v>
      </c>
      <c r="H251" t="str">
        <v>B</v>
      </c>
      <c r="I251" t="str">
        <f ca="1">IF($A251="","",IF(COUNTA($K$2:$P$2)=6,"WK "&amp;_xlfn.ISOWEEKNUM($K$2)))</f>
        <v>WK 18</v>
      </c>
      <c r="J251" t="str">
        <f ca="1">IF($A251="","",IF(COUNTA($Y$2:$AD$2)=6,"WK "&amp;_xlfn.ISOWEEKNUM($Y$2)))</f>
        <v>WK 20</v>
      </c>
      <c r="K251" s="20" t="str">
        <f t="shared" ca="1" si="88"/>
        <v>ON</v>
      </c>
      <c r="L251" s="20" t="str">
        <f t="shared" ca="1" si="88"/>
        <v>ON</v>
      </c>
      <c r="M251" s="1" t="str">
        <f t="shared" ca="1" si="89"/>
        <v>ON</v>
      </c>
      <c r="N251" s="1" t="str">
        <f t="shared" ca="1" si="90"/>
        <v>OFF</v>
      </c>
      <c r="O251" s="1" t="str">
        <f t="shared" ca="1" si="91"/>
        <v>ON</v>
      </c>
      <c r="P251" s="1" t="str">
        <f t="shared" ca="1" si="92"/>
        <v>ON</v>
      </c>
      <c r="Q251" s="1"/>
      <c r="R251" s="20" t="str">
        <f t="shared" ca="1" si="93"/>
        <v>ON</v>
      </c>
      <c r="S251" s="20" t="str">
        <f t="shared" ca="1" si="93"/>
        <v>ON</v>
      </c>
      <c r="T251" s="1" t="str">
        <f t="shared" ca="1" si="94"/>
        <v>ON</v>
      </c>
      <c r="U251" s="1" t="str">
        <f t="shared" ca="1" si="95"/>
        <v>ON</v>
      </c>
      <c r="V251" s="1" t="str">
        <f t="shared" ca="1" si="96"/>
        <v>ON</v>
      </c>
      <c r="W251" s="1" t="str">
        <f t="shared" ca="1" si="97"/>
        <v>ON</v>
      </c>
      <c r="X251" s="1"/>
      <c r="Y251" s="20" t="str">
        <f t="shared" ca="1" si="98"/>
        <v>ON</v>
      </c>
      <c r="Z251" s="20" t="str">
        <f t="shared" ca="1" si="98"/>
        <v>ON</v>
      </c>
      <c r="AA251" s="1" t="str">
        <f t="shared" ca="1" si="99"/>
        <v>ON</v>
      </c>
      <c r="AB251" s="1" t="str">
        <f t="shared" ca="1" si="100"/>
        <v>OFF</v>
      </c>
      <c r="AC251" s="1" t="str">
        <f t="shared" ca="1" si="101"/>
        <v>ON</v>
      </c>
      <c r="AD251" s="1" t="str">
        <f t="shared" ca="1" si="102"/>
        <v>ON</v>
      </c>
      <c r="AE251" s="1"/>
      <c r="AF251" s="20" t="str">
        <f t="shared" ca="1" si="103"/>
        <v>ON</v>
      </c>
      <c r="AG251" s="20" t="str">
        <f t="shared" ca="1" si="103"/>
        <v>ON</v>
      </c>
      <c r="AH251" s="1" t="str">
        <f t="shared" ca="1" si="104"/>
        <v>ON</v>
      </c>
      <c r="AI251" s="1" t="str">
        <f t="shared" ca="1" si="105"/>
        <v>ON</v>
      </c>
      <c r="AJ251" s="1" t="str">
        <f t="shared" ca="1" si="106"/>
        <v>ON</v>
      </c>
      <c r="AK251" s="1" t="str">
        <f t="shared" ca="1" si="107"/>
        <v>ON</v>
      </c>
      <c r="AL251" s="1"/>
      <c r="AM251" s="20" t="str">
        <f t="shared" si="108"/>
        <v>ON</v>
      </c>
      <c r="AN251" s="20" t="str">
        <f t="shared" si="108"/>
        <v>ON</v>
      </c>
      <c r="AO251" s="20" t="str">
        <f t="shared" si="109"/>
        <v>ON</v>
      </c>
    </row>
    <row r="252" spans="1:41">
      <c r="A252" t="str">
        <f t="shared" ca="1" si="83"/>
        <v>Ondo</v>
      </c>
      <c r="B252" t="str">
        <f t="shared" ca="1" si="84"/>
        <v>C</v>
      </c>
      <c r="C252" t="str">
        <f t="shared" ca="1" si="85"/>
        <v>E1</v>
      </c>
      <c r="D252" t="s">
        <v>5</v>
      </c>
      <c r="E252">
        <f t="shared" ca="1" si="86"/>
        <v>25</v>
      </c>
      <c r="F252">
        <f t="shared" ca="1" si="87"/>
        <v>2</v>
      </c>
      <c r="G252" t="str">
        <v>A</v>
      </c>
      <c r="H252" t="str">
        <v>A</v>
      </c>
      <c r="I252" t="str">
        <f ca="1">IF($A252="","",IF(COUNTA($R$2:$W$2)=6,"WK "&amp;_xlfn.ISOWEEKNUM($R$2)))</f>
        <v>WK 19</v>
      </c>
      <c r="J252" t="str">
        <f ca="1">IF($A252="","",IF(COUNTA($AF$2:$AK$2)=6,"WK "&amp;_xlfn.ISOWEEKNUM($AF$2)))</f>
        <v>WK 21</v>
      </c>
      <c r="K252" s="20" t="str">
        <f t="shared" ca="1" si="88"/>
        <v>ON</v>
      </c>
      <c r="L252" s="20" t="str">
        <f t="shared" ca="1" si="88"/>
        <v>ON</v>
      </c>
      <c r="M252" s="1" t="str">
        <f t="shared" ca="1" si="89"/>
        <v>ON</v>
      </c>
      <c r="N252" s="1" t="str">
        <f t="shared" ca="1" si="90"/>
        <v>ON</v>
      </c>
      <c r="O252" s="1" t="str">
        <f t="shared" ca="1" si="91"/>
        <v>ON</v>
      </c>
      <c r="P252" s="1" t="str">
        <f t="shared" ca="1" si="92"/>
        <v>ON</v>
      </c>
      <c r="Q252" s="1"/>
      <c r="R252" s="20" t="str">
        <f t="shared" ca="1" si="93"/>
        <v>ON</v>
      </c>
      <c r="S252" s="20" t="str">
        <f t="shared" ca="1" si="93"/>
        <v>ON</v>
      </c>
      <c r="T252" s="1" t="str">
        <f t="shared" ca="1" si="94"/>
        <v>OFF</v>
      </c>
      <c r="U252" s="1" t="str">
        <f t="shared" ca="1" si="95"/>
        <v>ON</v>
      </c>
      <c r="V252" s="1" t="str">
        <f t="shared" ca="1" si="96"/>
        <v>ON</v>
      </c>
      <c r="W252" s="1" t="str">
        <f t="shared" ca="1" si="97"/>
        <v>ON</v>
      </c>
      <c r="X252" s="1"/>
      <c r="Y252" s="20" t="str">
        <f t="shared" ca="1" si="98"/>
        <v>ON</v>
      </c>
      <c r="Z252" s="20" t="str">
        <f t="shared" ca="1" si="98"/>
        <v>ON</v>
      </c>
      <c r="AA252" s="1" t="str">
        <f t="shared" ca="1" si="99"/>
        <v>ON</v>
      </c>
      <c r="AB252" s="1" t="str">
        <f t="shared" ca="1" si="100"/>
        <v>ON</v>
      </c>
      <c r="AC252" s="1" t="str">
        <f t="shared" ca="1" si="101"/>
        <v>ON</v>
      </c>
      <c r="AD252" s="1" t="str">
        <f t="shared" ca="1" si="102"/>
        <v>ON</v>
      </c>
      <c r="AE252" s="1"/>
      <c r="AF252" s="20" t="str">
        <f t="shared" ca="1" si="103"/>
        <v>ON</v>
      </c>
      <c r="AG252" s="20" t="str">
        <f t="shared" ca="1" si="103"/>
        <v>ON</v>
      </c>
      <c r="AH252" s="1" t="str">
        <f t="shared" ca="1" si="104"/>
        <v>OFF</v>
      </c>
      <c r="AI252" s="1" t="str">
        <f t="shared" ca="1" si="105"/>
        <v>ON</v>
      </c>
      <c r="AJ252" s="1" t="str">
        <f t="shared" ca="1" si="106"/>
        <v>ON</v>
      </c>
      <c r="AK252" s="1" t="str">
        <f t="shared" ca="1" si="107"/>
        <v>ON</v>
      </c>
      <c r="AL252" s="1"/>
      <c r="AM252" s="20" t="str">
        <f t="shared" si="108"/>
        <v>ON</v>
      </c>
      <c r="AN252" s="20" t="str">
        <f t="shared" si="108"/>
        <v>ON</v>
      </c>
      <c r="AO252" s="20" t="str">
        <f t="shared" si="109"/>
        <v>ON</v>
      </c>
    </row>
    <row r="253" spans="1:41">
      <c r="A253" t="str">
        <f t="shared" ca="1" si="83"/>
        <v>Oyo</v>
      </c>
      <c r="B253" t="str">
        <f t="shared" ca="1" si="84"/>
        <v>D</v>
      </c>
      <c r="C253" t="str">
        <f t="shared" ca="1" si="85"/>
        <v>D1</v>
      </c>
      <c r="D253" t="s">
        <v>5</v>
      </c>
      <c r="E253">
        <f t="shared" ca="1" si="86"/>
        <v>25</v>
      </c>
      <c r="F253">
        <f t="shared" ca="1" si="87"/>
        <v>2</v>
      </c>
      <c r="G253" t="str" cm="1">
        <f t="array" ref="G253:G256">Groups!$B$2:$B$5</f>
        <v>A</v>
      </c>
      <c r="H253" t="str" cm="1">
        <f t="array" ref="H253:H256">Groups!$B$2:$B$5</f>
        <v>A</v>
      </c>
      <c r="I253" t="str">
        <f ca="1">IF($A253="","",IF(COUNTA($K$2:$P$2)=6,"WK "&amp;_xlfn.ISOWEEKNUM($K$2)))</f>
        <v>WK 18</v>
      </c>
      <c r="J253" t="str">
        <f ca="1">IF($A253="","",IF(COUNTA($Y$2:$AD$2)=6,"WK "&amp;_xlfn.ISOWEEKNUM($Y$2)))</f>
        <v>WK 20</v>
      </c>
      <c r="K253" s="20" t="str">
        <f t="shared" ca="1" si="88"/>
        <v>ON</v>
      </c>
      <c r="L253" s="20" t="str">
        <f t="shared" ca="1" si="88"/>
        <v>ON</v>
      </c>
      <c r="M253" s="1" t="str">
        <f t="shared" ca="1" si="89"/>
        <v>OFF</v>
      </c>
      <c r="N253" s="1" t="str">
        <f t="shared" ca="1" si="90"/>
        <v>ON</v>
      </c>
      <c r="O253" s="1" t="str">
        <f t="shared" ca="1" si="91"/>
        <v>ON</v>
      </c>
      <c r="P253" s="1" t="str">
        <f t="shared" ca="1" si="92"/>
        <v>ON</v>
      </c>
      <c r="Q253" s="1"/>
      <c r="R253" s="20" t="str">
        <f t="shared" ca="1" si="93"/>
        <v>ON</v>
      </c>
      <c r="S253" s="20" t="str">
        <f t="shared" ca="1" si="93"/>
        <v>ON</v>
      </c>
      <c r="T253" s="1" t="str">
        <f t="shared" ca="1" si="94"/>
        <v>ON</v>
      </c>
      <c r="U253" s="1" t="str">
        <f t="shared" ca="1" si="95"/>
        <v>ON</v>
      </c>
      <c r="V253" s="1" t="str">
        <f t="shared" ca="1" si="96"/>
        <v>ON</v>
      </c>
      <c r="W253" s="1" t="str">
        <f t="shared" ca="1" si="97"/>
        <v>ON</v>
      </c>
      <c r="X253" s="1"/>
      <c r="Y253" s="20" t="str">
        <f t="shared" ca="1" si="98"/>
        <v>ON</v>
      </c>
      <c r="Z253" s="20" t="str">
        <f t="shared" ca="1" si="98"/>
        <v>ON</v>
      </c>
      <c r="AA253" s="1" t="str">
        <f t="shared" ca="1" si="99"/>
        <v>OFF</v>
      </c>
      <c r="AB253" s="1" t="str">
        <f t="shared" ca="1" si="100"/>
        <v>ON</v>
      </c>
      <c r="AC253" s="1" t="str">
        <f t="shared" ca="1" si="101"/>
        <v>ON</v>
      </c>
      <c r="AD253" s="1" t="str">
        <f t="shared" ca="1" si="102"/>
        <v>ON</v>
      </c>
      <c r="AE253" s="1"/>
      <c r="AF253" s="20" t="str">
        <f t="shared" ca="1" si="103"/>
        <v>ON</v>
      </c>
      <c r="AG253" s="20" t="str">
        <f t="shared" ca="1" si="103"/>
        <v>ON</v>
      </c>
      <c r="AH253" s="1" t="str">
        <f t="shared" ca="1" si="104"/>
        <v>ON</v>
      </c>
      <c r="AI253" s="1" t="str">
        <f t="shared" ca="1" si="105"/>
        <v>ON</v>
      </c>
      <c r="AJ253" s="1" t="str">
        <f t="shared" ca="1" si="106"/>
        <v>ON</v>
      </c>
      <c r="AK253" s="1" t="str">
        <f t="shared" ca="1" si="107"/>
        <v>ON</v>
      </c>
      <c r="AL253" s="1"/>
      <c r="AM253" s="20" t="str">
        <f t="shared" si="108"/>
        <v>ON</v>
      </c>
      <c r="AN253" s="20" t="str">
        <f t="shared" si="108"/>
        <v>ON</v>
      </c>
      <c r="AO253" s="20" t="str">
        <f t="shared" si="109"/>
        <v>ON</v>
      </c>
    </row>
    <row r="254" spans="1:41">
      <c r="A254" t="str">
        <f t="shared" ca="1" si="83"/>
        <v>Ondo</v>
      </c>
      <c r="B254" t="str">
        <f t="shared" ca="1" si="84"/>
        <v>C</v>
      </c>
      <c r="C254" t="str">
        <f t="shared" ca="1" si="85"/>
        <v>D1</v>
      </c>
      <c r="D254" t="s">
        <v>5</v>
      </c>
      <c r="E254">
        <f t="shared" ca="1" si="86"/>
        <v>25</v>
      </c>
      <c r="F254">
        <f t="shared" ca="1" si="87"/>
        <v>2</v>
      </c>
      <c r="G254" t="str">
        <v>B</v>
      </c>
      <c r="H254" t="str">
        <v>B</v>
      </c>
      <c r="I254" t="str">
        <f ca="1">IF($A254="","",IF(COUNTA($R$2:$W$2)=6,"WK "&amp;_xlfn.ISOWEEKNUM($R$2)))</f>
        <v>WK 19</v>
      </c>
      <c r="J254" t="str">
        <f ca="1">IF($A254="","",IF(COUNTA($AF$2:$AK$2)=6,"WK "&amp;_xlfn.ISOWEEKNUM($AF$2)))</f>
        <v>WK 21</v>
      </c>
      <c r="K254" s="20" t="str">
        <f t="shared" ca="1" si="88"/>
        <v>ON</v>
      </c>
      <c r="L254" s="20" t="str">
        <f t="shared" ca="1" si="88"/>
        <v>ON</v>
      </c>
      <c r="M254" s="1" t="str">
        <f t="shared" ca="1" si="89"/>
        <v>ON</v>
      </c>
      <c r="N254" s="1" t="str">
        <f t="shared" ca="1" si="90"/>
        <v>ON</v>
      </c>
      <c r="O254" s="1" t="str">
        <f t="shared" ca="1" si="91"/>
        <v>ON</v>
      </c>
      <c r="P254" s="1" t="str">
        <f t="shared" ca="1" si="92"/>
        <v>ON</v>
      </c>
      <c r="Q254" s="1"/>
      <c r="R254" s="20" t="str">
        <f t="shared" ca="1" si="93"/>
        <v>ON</v>
      </c>
      <c r="S254" s="20" t="str">
        <f t="shared" ca="1" si="93"/>
        <v>ON</v>
      </c>
      <c r="T254" s="1" t="str">
        <f t="shared" ca="1" si="94"/>
        <v>ON</v>
      </c>
      <c r="U254" s="1" t="str">
        <f t="shared" ca="1" si="95"/>
        <v>OFF</v>
      </c>
      <c r="V254" s="1" t="str">
        <f t="shared" ca="1" si="96"/>
        <v>ON</v>
      </c>
      <c r="W254" s="1" t="str">
        <f t="shared" ca="1" si="97"/>
        <v>ON</v>
      </c>
      <c r="X254" s="1"/>
      <c r="Y254" s="20" t="str">
        <f t="shared" ca="1" si="98"/>
        <v>ON</v>
      </c>
      <c r="Z254" s="20" t="str">
        <f t="shared" ca="1" si="98"/>
        <v>ON</v>
      </c>
      <c r="AA254" s="1" t="str">
        <f t="shared" ca="1" si="99"/>
        <v>ON</v>
      </c>
      <c r="AB254" s="1" t="str">
        <f t="shared" ca="1" si="100"/>
        <v>ON</v>
      </c>
      <c r="AC254" s="1" t="str">
        <f t="shared" ca="1" si="101"/>
        <v>ON</v>
      </c>
      <c r="AD254" s="1" t="str">
        <f t="shared" ca="1" si="102"/>
        <v>ON</v>
      </c>
      <c r="AE254" s="1"/>
      <c r="AF254" s="20" t="str">
        <f t="shared" ca="1" si="103"/>
        <v>ON</v>
      </c>
      <c r="AG254" s="20" t="str">
        <f t="shared" ca="1" si="103"/>
        <v>ON</v>
      </c>
      <c r="AH254" s="1" t="str">
        <f t="shared" ca="1" si="104"/>
        <v>ON</v>
      </c>
      <c r="AI254" s="1" t="str">
        <f t="shared" ca="1" si="105"/>
        <v>OFF</v>
      </c>
      <c r="AJ254" s="1" t="str">
        <f t="shared" ca="1" si="106"/>
        <v>ON</v>
      </c>
      <c r="AK254" s="1" t="str">
        <f t="shared" ca="1" si="107"/>
        <v>ON</v>
      </c>
      <c r="AL254" s="1"/>
      <c r="AM254" s="20" t="str">
        <f t="shared" si="108"/>
        <v>ON</v>
      </c>
      <c r="AN254" s="20" t="str">
        <f t="shared" si="108"/>
        <v>ON</v>
      </c>
      <c r="AO254" s="20" t="str">
        <f t="shared" si="109"/>
        <v>ON</v>
      </c>
    </row>
    <row r="255" spans="1:41">
      <c r="A255" t="str">
        <f t="shared" ca="1" si="83"/>
        <v>Lagos</v>
      </c>
      <c r="B255" t="str">
        <f t="shared" ca="1" si="84"/>
        <v>A</v>
      </c>
      <c r="C255" t="str">
        <f t="shared" ca="1" si="85"/>
        <v>D1</v>
      </c>
      <c r="D255" t="s">
        <v>5</v>
      </c>
      <c r="E255">
        <f t="shared" ca="1" si="86"/>
        <v>25</v>
      </c>
      <c r="F255">
        <f t="shared" ca="1" si="87"/>
        <v>2</v>
      </c>
      <c r="G255" t="str">
        <v>C</v>
      </c>
      <c r="H255" t="str">
        <v>C</v>
      </c>
      <c r="I255" t="str">
        <f ca="1">IF($A255="","",IF(COUNTA($K$2:$P$2)=6,"WK "&amp;_xlfn.ISOWEEKNUM($K$2)))</f>
        <v>WK 18</v>
      </c>
      <c r="J255" t="str">
        <f ca="1">IF($A255="","",IF(COUNTA($Y$2:$AD$2)=6,"WK "&amp;_xlfn.ISOWEEKNUM($Y$2)))</f>
        <v>WK 20</v>
      </c>
      <c r="K255" s="20" t="str">
        <f t="shared" ca="1" si="88"/>
        <v>ON</v>
      </c>
      <c r="L255" s="20" t="str">
        <f t="shared" ca="1" si="88"/>
        <v>ON</v>
      </c>
      <c r="M255" s="1" t="str">
        <f t="shared" ca="1" si="89"/>
        <v>ON</v>
      </c>
      <c r="N255" s="1" t="str">
        <f t="shared" ca="1" si="90"/>
        <v>ON</v>
      </c>
      <c r="O255" s="1" t="str">
        <f t="shared" ca="1" si="91"/>
        <v>OFF</v>
      </c>
      <c r="P255" s="1" t="str">
        <f t="shared" ca="1" si="92"/>
        <v>ON</v>
      </c>
      <c r="Q255" s="1"/>
      <c r="R255" s="20" t="str">
        <f t="shared" ca="1" si="93"/>
        <v>ON</v>
      </c>
      <c r="S255" s="20" t="str">
        <f t="shared" ca="1" si="93"/>
        <v>ON</v>
      </c>
      <c r="T255" s="1" t="str">
        <f t="shared" ca="1" si="94"/>
        <v>ON</v>
      </c>
      <c r="U255" s="1" t="str">
        <f t="shared" ca="1" si="95"/>
        <v>ON</v>
      </c>
      <c r="V255" s="1" t="str">
        <f t="shared" ca="1" si="96"/>
        <v>ON</v>
      </c>
      <c r="W255" s="1" t="str">
        <f t="shared" ca="1" si="97"/>
        <v>ON</v>
      </c>
      <c r="X255" s="1"/>
      <c r="Y255" s="20" t="str">
        <f t="shared" ca="1" si="98"/>
        <v>ON</v>
      </c>
      <c r="Z255" s="20" t="str">
        <f t="shared" ca="1" si="98"/>
        <v>ON</v>
      </c>
      <c r="AA255" s="1" t="str">
        <f t="shared" ca="1" si="99"/>
        <v>ON</v>
      </c>
      <c r="AB255" s="1" t="str">
        <f t="shared" ca="1" si="100"/>
        <v>ON</v>
      </c>
      <c r="AC255" s="1" t="str">
        <f t="shared" ca="1" si="101"/>
        <v>OFF</v>
      </c>
      <c r="AD255" s="1" t="str">
        <f t="shared" ca="1" si="102"/>
        <v>ON</v>
      </c>
      <c r="AE255" s="1"/>
      <c r="AF255" s="20" t="str">
        <f t="shared" ca="1" si="103"/>
        <v>ON</v>
      </c>
      <c r="AG255" s="20" t="str">
        <f t="shared" ca="1" si="103"/>
        <v>ON</v>
      </c>
      <c r="AH255" s="1" t="str">
        <f t="shared" ca="1" si="104"/>
        <v>ON</v>
      </c>
      <c r="AI255" s="1" t="str">
        <f t="shared" ca="1" si="105"/>
        <v>ON</v>
      </c>
      <c r="AJ255" s="1" t="str">
        <f t="shared" ca="1" si="106"/>
        <v>ON</v>
      </c>
      <c r="AK255" s="1" t="str">
        <f t="shared" ca="1" si="107"/>
        <v>ON</v>
      </c>
      <c r="AL255" s="1"/>
      <c r="AM255" s="20" t="str">
        <f t="shared" si="108"/>
        <v>ON</v>
      </c>
      <c r="AN255" s="20" t="str">
        <f t="shared" si="108"/>
        <v>ON</v>
      </c>
      <c r="AO255" s="20" t="str">
        <f t="shared" si="109"/>
        <v>ON</v>
      </c>
    </row>
    <row r="256" spans="1:41">
      <c r="A256" t="str">
        <f t="shared" ca="1" si="83"/>
        <v>Lagos</v>
      </c>
      <c r="B256" t="str">
        <f t="shared" ca="1" si="84"/>
        <v>B</v>
      </c>
      <c r="C256" t="str">
        <f t="shared" ca="1" si="85"/>
        <v>C1</v>
      </c>
      <c r="D256" t="s">
        <v>8</v>
      </c>
      <c r="E256">
        <f t="shared" ca="1" si="86"/>
        <v>25</v>
      </c>
      <c r="F256">
        <f t="shared" ca="1" si="87"/>
        <v>2</v>
      </c>
      <c r="G256" t="str">
        <v>D</v>
      </c>
      <c r="H256" t="str">
        <v>D</v>
      </c>
      <c r="I256" t="str">
        <f ca="1">IF($A256="","",IF(COUNTA($R$2:$W$2)=6,"WK "&amp;_xlfn.ISOWEEKNUM($R$2)))</f>
        <v>WK 19</v>
      </c>
      <c r="J256" t="str">
        <f ca="1">IF($A256="","",IF(COUNTA($AF$2:$AK$2)=6,"WK "&amp;_xlfn.ISOWEEKNUM($AF$2)))</f>
        <v>WK 21</v>
      </c>
      <c r="K256" s="20" t="str">
        <f t="shared" ca="1" si="88"/>
        <v>ON</v>
      </c>
      <c r="L256" s="20" t="str">
        <f t="shared" ca="1" si="88"/>
        <v>ON</v>
      </c>
      <c r="M256" s="1" t="str">
        <f t="shared" ca="1" si="89"/>
        <v>ON</v>
      </c>
      <c r="N256" s="1" t="str">
        <f t="shared" ca="1" si="90"/>
        <v>ON</v>
      </c>
      <c r="O256" s="1" t="str">
        <f t="shared" ca="1" si="91"/>
        <v>ON</v>
      </c>
      <c r="P256" s="1" t="str">
        <f t="shared" ca="1" si="92"/>
        <v>ON</v>
      </c>
      <c r="Q256" s="1"/>
      <c r="R256" s="20" t="str">
        <f t="shared" ca="1" si="93"/>
        <v>ON</v>
      </c>
      <c r="S256" s="20" t="str">
        <f t="shared" ca="1" si="93"/>
        <v>ON</v>
      </c>
      <c r="T256" s="1" t="str">
        <f t="shared" ca="1" si="94"/>
        <v>ON</v>
      </c>
      <c r="U256" s="1" t="str">
        <f t="shared" ca="1" si="95"/>
        <v>ON</v>
      </c>
      <c r="V256" s="1" t="str">
        <f t="shared" ca="1" si="96"/>
        <v>ON</v>
      </c>
      <c r="W256" s="1" t="str">
        <f t="shared" ca="1" si="97"/>
        <v>OFF</v>
      </c>
      <c r="X256" s="1"/>
      <c r="Y256" s="20" t="str">
        <f t="shared" ca="1" si="98"/>
        <v>ON</v>
      </c>
      <c r="Z256" s="20" t="str">
        <f t="shared" ca="1" si="98"/>
        <v>ON</v>
      </c>
      <c r="AA256" s="1" t="str">
        <f t="shared" ca="1" si="99"/>
        <v>ON</v>
      </c>
      <c r="AB256" s="1" t="str">
        <f t="shared" ca="1" si="100"/>
        <v>ON</v>
      </c>
      <c r="AC256" s="1" t="str">
        <f t="shared" ca="1" si="101"/>
        <v>ON</v>
      </c>
      <c r="AD256" s="1" t="str">
        <f t="shared" ca="1" si="102"/>
        <v>ON</v>
      </c>
      <c r="AE256" s="1"/>
      <c r="AF256" s="20" t="str">
        <f t="shared" ca="1" si="103"/>
        <v>ON</v>
      </c>
      <c r="AG256" s="20" t="str">
        <f t="shared" ca="1" si="103"/>
        <v>ON</v>
      </c>
      <c r="AH256" s="1" t="str">
        <f t="shared" ca="1" si="104"/>
        <v>ON</v>
      </c>
      <c r="AI256" s="1" t="str">
        <f t="shared" ca="1" si="105"/>
        <v>ON</v>
      </c>
      <c r="AJ256" s="1" t="str">
        <f t="shared" ca="1" si="106"/>
        <v>ON</v>
      </c>
      <c r="AK256" s="1" t="str">
        <f t="shared" ca="1" si="107"/>
        <v>OFF</v>
      </c>
      <c r="AL256" s="1"/>
      <c r="AM256" s="20" t="str">
        <f t="shared" si="108"/>
        <v>ON</v>
      </c>
      <c r="AN256" s="20" t="str">
        <f t="shared" si="108"/>
        <v>ON</v>
      </c>
      <c r="AO256" s="20" t="str">
        <f t="shared" si="109"/>
        <v>ON</v>
      </c>
    </row>
    <row r="257" spans="1:41">
      <c r="A257" t="str">
        <f t="shared" ca="1" si="83"/>
        <v>Oyo</v>
      </c>
      <c r="B257" t="str">
        <f t="shared" ca="1" si="84"/>
        <v>E</v>
      </c>
      <c r="C257" t="str">
        <f t="shared" ca="1" si="85"/>
        <v>E1</v>
      </c>
      <c r="D257" t="s">
        <v>8</v>
      </c>
      <c r="E257">
        <f t="shared" ca="1" si="86"/>
        <v>25</v>
      </c>
      <c r="F257">
        <f t="shared" ca="1" si="87"/>
        <v>2</v>
      </c>
      <c r="G257" t="str" cm="1">
        <f t="array" ref="G257:G260">IF($G$5:$G$8={"A";"B";"C";"D"},{"D";"C";"B";"A"},{"A";"B";"C";"D"})</f>
        <v>D</v>
      </c>
      <c r="H257" t="str" cm="1">
        <f t="array" ref="H257:H260">IF($H$5:$H$8={"A";"B";"C";"D"},{"D";"C";"B";"A"},{"A";"B";"C";"D"})</f>
        <v>D</v>
      </c>
      <c r="I257" t="str">
        <f ca="1">IF($A257="","",IF(COUNTA($K$2:$P$2)=6,"WK "&amp;_xlfn.ISOWEEKNUM($K$2)))</f>
        <v>WK 18</v>
      </c>
      <c r="J257" t="str">
        <f ca="1">IF($A257="","",IF(COUNTA($Y$2:$AD$2)=6,"WK "&amp;_xlfn.ISOWEEKNUM($Y$2)))</f>
        <v>WK 20</v>
      </c>
      <c r="K257" s="20" t="str">
        <f t="shared" ca="1" si="88"/>
        <v>ON</v>
      </c>
      <c r="L257" s="20" t="str">
        <f t="shared" ca="1" si="88"/>
        <v>ON</v>
      </c>
      <c r="M257" s="1" t="str">
        <f t="shared" ca="1" si="89"/>
        <v>ON</v>
      </c>
      <c r="N257" s="1" t="str">
        <f t="shared" ca="1" si="90"/>
        <v>ON</v>
      </c>
      <c r="O257" s="1" t="str">
        <f t="shared" ca="1" si="91"/>
        <v>ON</v>
      </c>
      <c r="P257" s="1" t="str">
        <f t="shared" ca="1" si="92"/>
        <v>OFF</v>
      </c>
      <c r="Q257" s="1"/>
      <c r="R257" s="20" t="str">
        <f t="shared" ca="1" si="93"/>
        <v>ON</v>
      </c>
      <c r="S257" s="20" t="str">
        <f t="shared" ca="1" si="93"/>
        <v>ON</v>
      </c>
      <c r="T257" s="1" t="str">
        <f t="shared" ca="1" si="94"/>
        <v>ON</v>
      </c>
      <c r="U257" s="1" t="str">
        <f t="shared" ca="1" si="95"/>
        <v>ON</v>
      </c>
      <c r="V257" s="1" t="str">
        <f t="shared" ca="1" si="96"/>
        <v>ON</v>
      </c>
      <c r="W257" s="1" t="str">
        <f t="shared" ca="1" si="97"/>
        <v>ON</v>
      </c>
      <c r="X257" s="1"/>
      <c r="Y257" s="20" t="str">
        <f t="shared" ca="1" si="98"/>
        <v>ON</v>
      </c>
      <c r="Z257" s="20" t="str">
        <f t="shared" ca="1" si="98"/>
        <v>ON</v>
      </c>
      <c r="AA257" s="1" t="str">
        <f t="shared" ca="1" si="99"/>
        <v>ON</v>
      </c>
      <c r="AB257" s="1" t="str">
        <f t="shared" ca="1" si="100"/>
        <v>ON</v>
      </c>
      <c r="AC257" s="1" t="str">
        <f t="shared" ca="1" si="101"/>
        <v>ON</v>
      </c>
      <c r="AD257" s="1" t="str">
        <f t="shared" ca="1" si="102"/>
        <v>OFF</v>
      </c>
      <c r="AE257" s="1"/>
      <c r="AF257" s="20" t="str">
        <f t="shared" ca="1" si="103"/>
        <v>ON</v>
      </c>
      <c r="AG257" s="20" t="str">
        <f t="shared" ca="1" si="103"/>
        <v>ON</v>
      </c>
      <c r="AH257" s="1" t="str">
        <f t="shared" ca="1" si="104"/>
        <v>ON</v>
      </c>
      <c r="AI257" s="1" t="str">
        <f t="shared" ca="1" si="105"/>
        <v>ON</v>
      </c>
      <c r="AJ257" s="1" t="str">
        <f t="shared" ca="1" si="106"/>
        <v>ON</v>
      </c>
      <c r="AK257" s="1" t="str">
        <f t="shared" ca="1" si="107"/>
        <v>ON</v>
      </c>
      <c r="AL257" s="1"/>
      <c r="AM257" s="20" t="str">
        <f t="shared" si="108"/>
        <v>ON</v>
      </c>
      <c r="AN257" s="20" t="str">
        <f t="shared" si="108"/>
        <v>ON</v>
      </c>
      <c r="AO257" s="20" t="str">
        <f t="shared" si="109"/>
        <v>ON</v>
      </c>
    </row>
    <row r="258" spans="1:41">
      <c r="A258" t="str">
        <f t="shared" ca="1" si="83"/>
        <v>Ekiti</v>
      </c>
      <c r="B258" t="str">
        <f t="shared" ca="1" si="84"/>
        <v>C</v>
      </c>
      <c r="C258" t="str">
        <f t="shared" ca="1" si="85"/>
        <v>B1</v>
      </c>
      <c r="D258" t="s">
        <v>7</v>
      </c>
      <c r="E258">
        <f t="shared" ca="1" si="86"/>
        <v>25</v>
      </c>
      <c r="F258">
        <f t="shared" ca="1" si="87"/>
        <v>2</v>
      </c>
      <c r="G258" t="str">
        <v>C</v>
      </c>
      <c r="H258" t="str">
        <v>C</v>
      </c>
      <c r="I258" t="str">
        <f ca="1">IF($A258="","",IF(COUNTA($R$2:$W$2)=6,"WK "&amp;_xlfn.ISOWEEKNUM($R$2)))</f>
        <v>WK 19</v>
      </c>
      <c r="J258" t="str">
        <f ca="1">IF($A258="","",IF(COUNTA($AF$2:$AK$2)=6,"WK "&amp;_xlfn.ISOWEEKNUM($AF$2)))</f>
        <v>WK 21</v>
      </c>
      <c r="K258" s="20" t="str">
        <f t="shared" ca="1" si="88"/>
        <v>ON</v>
      </c>
      <c r="L258" s="20" t="str">
        <f t="shared" ca="1" si="88"/>
        <v>ON</v>
      </c>
      <c r="M258" s="1" t="str">
        <f t="shared" ca="1" si="89"/>
        <v>ON</v>
      </c>
      <c r="N258" s="1" t="str">
        <f t="shared" ca="1" si="90"/>
        <v>ON</v>
      </c>
      <c r="O258" s="1" t="str">
        <f t="shared" ca="1" si="91"/>
        <v>ON</v>
      </c>
      <c r="P258" s="1" t="str">
        <f t="shared" ca="1" si="92"/>
        <v>ON</v>
      </c>
      <c r="Q258" s="1"/>
      <c r="R258" s="20" t="str">
        <f t="shared" ca="1" si="93"/>
        <v>ON</v>
      </c>
      <c r="S258" s="20" t="str">
        <f t="shared" ca="1" si="93"/>
        <v>ON</v>
      </c>
      <c r="T258" s="1" t="str">
        <f t="shared" ca="1" si="94"/>
        <v>ON</v>
      </c>
      <c r="U258" s="1" t="str">
        <f t="shared" ca="1" si="95"/>
        <v>ON</v>
      </c>
      <c r="V258" s="1" t="str">
        <f t="shared" ca="1" si="96"/>
        <v>OFF</v>
      </c>
      <c r="W258" s="1" t="str">
        <f t="shared" ca="1" si="97"/>
        <v>ON</v>
      </c>
      <c r="X258" s="1"/>
      <c r="Y258" s="20" t="str">
        <f t="shared" ca="1" si="98"/>
        <v>ON</v>
      </c>
      <c r="Z258" s="20" t="str">
        <f t="shared" ca="1" si="98"/>
        <v>ON</v>
      </c>
      <c r="AA258" s="1" t="str">
        <f t="shared" ca="1" si="99"/>
        <v>ON</v>
      </c>
      <c r="AB258" s="1" t="str">
        <f t="shared" ca="1" si="100"/>
        <v>ON</v>
      </c>
      <c r="AC258" s="1" t="str">
        <f t="shared" ca="1" si="101"/>
        <v>ON</v>
      </c>
      <c r="AD258" s="1" t="str">
        <f t="shared" ca="1" si="102"/>
        <v>ON</v>
      </c>
      <c r="AE258" s="1"/>
      <c r="AF258" s="20" t="str">
        <f t="shared" ca="1" si="103"/>
        <v>ON</v>
      </c>
      <c r="AG258" s="20" t="str">
        <f t="shared" ca="1" si="103"/>
        <v>ON</v>
      </c>
      <c r="AH258" s="1" t="str">
        <f t="shared" ca="1" si="104"/>
        <v>ON</v>
      </c>
      <c r="AI258" s="1" t="str">
        <f t="shared" ca="1" si="105"/>
        <v>ON</v>
      </c>
      <c r="AJ258" s="1" t="str">
        <f t="shared" ca="1" si="106"/>
        <v>OFF</v>
      </c>
      <c r="AK258" s="1" t="str">
        <f t="shared" ca="1" si="107"/>
        <v>ON</v>
      </c>
      <c r="AL258" s="1"/>
      <c r="AM258" s="20" t="str">
        <f t="shared" si="108"/>
        <v>ON</v>
      </c>
      <c r="AN258" s="20" t="str">
        <f t="shared" si="108"/>
        <v>ON</v>
      </c>
      <c r="AO258" s="20" t="str">
        <f t="shared" si="109"/>
        <v>ON</v>
      </c>
    </row>
    <row r="259" spans="1:41">
      <c r="A259" t="str">
        <f t="shared" ca="1" si="83"/>
        <v>Oyo</v>
      </c>
      <c r="B259" t="str">
        <f t="shared" ca="1" si="84"/>
        <v>E</v>
      </c>
      <c r="C259" t="str">
        <f t="shared" ca="1" si="85"/>
        <v>D1</v>
      </c>
      <c r="D259" t="s">
        <v>4</v>
      </c>
      <c r="E259">
        <f t="shared" ca="1" si="86"/>
        <v>25</v>
      </c>
      <c r="F259">
        <f t="shared" ca="1" si="87"/>
        <v>2</v>
      </c>
      <c r="G259" t="str">
        <v>B</v>
      </c>
      <c r="H259" t="str">
        <v>B</v>
      </c>
      <c r="I259" t="str">
        <f ca="1">IF($A259="","",IF(COUNTA($K$2:$P$2)=6,"WK "&amp;_xlfn.ISOWEEKNUM($K$2)))</f>
        <v>WK 18</v>
      </c>
      <c r="J259" t="str">
        <f ca="1">IF($A259="","",IF(COUNTA($Y$2:$AD$2)=6,"WK "&amp;_xlfn.ISOWEEKNUM($Y$2)))</f>
        <v>WK 20</v>
      </c>
      <c r="K259" s="20" t="str">
        <f t="shared" ca="1" si="88"/>
        <v>ON</v>
      </c>
      <c r="L259" s="20" t="str">
        <f t="shared" ca="1" si="88"/>
        <v>ON</v>
      </c>
      <c r="M259" s="1" t="str">
        <f t="shared" ca="1" si="89"/>
        <v>ON</v>
      </c>
      <c r="N259" s="1" t="str">
        <f t="shared" ca="1" si="90"/>
        <v>OFF</v>
      </c>
      <c r="O259" s="1" t="str">
        <f t="shared" ca="1" si="91"/>
        <v>ON</v>
      </c>
      <c r="P259" s="1" t="str">
        <f t="shared" ca="1" si="92"/>
        <v>ON</v>
      </c>
      <c r="Q259" s="1"/>
      <c r="R259" s="20" t="str">
        <f t="shared" ca="1" si="93"/>
        <v>ON</v>
      </c>
      <c r="S259" s="20" t="str">
        <f t="shared" ca="1" si="93"/>
        <v>ON</v>
      </c>
      <c r="T259" s="1" t="str">
        <f t="shared" ca="1" si="94"/>
        <v>ON</v>
      </c>
      <c r="U259" s="1" t="str">
        <f t="shared" ca="1" si="95"/>
        <v>ON</v>
      </c>
      <c r="V259" s="1" t="str">
        <f t="shared" ca="1" si="96"/>
        <v>ON</v>
      </c>
      <c r="W259" s="1" t="str">
        <f t="shared" ca="1" si="97"/>
        <v>ON</v>
      </c>
      <c r="X259" s="1"/>
      <c r="Y259" s="20" t="str">
        <f t="shared" ca="1" si="98"/>
        <v>ON</v>
      </c>
      <c r="Z259" s="20" t="str">
        <f t="shared" ca="1" si="98"/>
        <v>ON</v>
      </c>
      <c r="AA259" s="1" t="str">
        <f t="shared" ca="1" si="99"/>
        <v>ON</v>
      </c>
      <c r="AB259" s="1" t="str">
        <f t="shared" ca="1" si="100"/>
        <v>OFF</v>
      </c>
      <c r="AC259" s="1" t="str">
        <f t="shared" ca="1" si="101"/>
        <v>ON</v>
      </c>
      <c r="AD259" s="1" t="str">
        <f t="shared" ca="1" si="102"/>
        <v>ON</v>
      </c>
      <c r="AE259" s="1"/>
      <c r="AF259" s="20" t="str">
        <f t="shared" ca="1" si="103"/>
        <v>ON</v>
      </c>
      <c r="AG259" s="20" t="str">
        <f t="shared" ca="1" si="103"/>
        <v>ON</v>
      </c>
      <c r="AH259" s="1" t="str">
        <f t="shared" ca="1" si="104"/>
        <v>ON</v>
      </c>
      <c r="AI259" s="1" t="str">
        <f t="shared" ca="1" si="105"/>
        <v>ON</v>
      </c>
      <c r="AJ259" s="1" t="str">
        <f t="shared" ca="1" si="106"/>
        <v>ON</v>
      </c>
      <c r="AK259" s="1" t="str">
        <f t="shared" ca="1" si="107"/>
        <v>ON</v>
      </c>
      <c r="AL259" s="1"/>
      <c r="AM259" s="20" t="str">
        <f t="shared" si="108"/>
        <v>ON</v>
      </c>
      <c r="AN259" s="20" t="str">
        <f t="shared" si="108"/>
        <v>ON</v>
      </c>
      <c r="AO259" s="20" t="str">
        <f t="shared" si="109"/>
        <v>ON</v>
      </c>
    </row>
    <row r="260" spans="1:41">
      <c r="A260" t="str">
        <f t="shared" ca="1" si="83"/>
        <v>Ekiti</v>
      </c>
      <c r="B260" t="str">
        <f t="shared" ca="1" si="84"/>
        <v>B</v>
      </c>
      <c r="C260" t="str">
        <f t="shared" ca="1" si="85"/>
        <v>D1</v>
      </c>
      <c r="D260" t="s">
        <v>4</v>
      </c>
      <c r="E260">
        <f t="shared" ca="1" si="86"/>
        <v>25</v>
      </c>
      <c r="F260">
        <f t="shared" ca="1" si="87"/>
        <v>2</v>
      </c>
      <c r="G260" t="str">
        <v>A</v>
      </c>
      <c r="H260" t="str">
        <v>A</v>
      </c>
      <c r="I260" t="str">
        <f ca="1">IF($A260="","",IF(COUNTA($R$2:$W$2)=6,"WK "&amp;_xlfn.ISOWEEKNUM($R$2)))</f>
        <v>WK 19</v>
      </c>
      <c r="J260" t="str">
        <f ca="1">IF($A260="","",IF(COUNTA($AF$2:$AK$2)=6,"WK "&amp;_xlfn.ISOWEEKNUM($AF$2)))</f>
        <v>WK 21</v>
      </c>
      <c r="K260" s="20" t="str">
        <f t="shared" ca="1" si="88"/>
        <v>ON</v>
      </c>
      <c r="L260" s="20" t="str">
        <f t="shared" ca="1" si="88"/>
        <v>ON</v>
      </c>
      <c r="M260" s="1" t="str">
        <f t="shared" ca="1" si="89"/>
        <v>ON</v>
      </c>
      <c r="N260" s="1" t="str">
        <f t="shared" ca="1" si="90"/>
        <v>ON</v>
      </c>
      <c r="O260" s="1" t="str">
        <f t="shared" ca="1" si="91"/>
        <v>ON</v>
      </c>
      <c r="P260" s="1" t="str">
        <f t="shared" ca="1" si="92"/>
        <v>ON</v>
      </c>
      <c r="Q260" s="1"/>
      <c r="R260" s="20" t="str">
        <f t="shared" ca="1" si="93"/>
        <v>ON</v>
      </c>
      <c r="S260" s="20" t="str">
        <f t="shared" ca="1" si="93"/>
        <v>ON</v>
      </c>
      <c r="T260" s="1" t="str">
        <f t="shared" ca="1" si="94"/>
        <v>OFF</v>
      </c>
      <c r="U260" s="1" t="str">
        <f t="shared" ca="1" si="95"/>
        <v>ON</v>
      </c>
      <c r="V260" s="1" t="str">
        <f t="shared" ca="1" si="96"/>
        <v>ON</v>
      </c>
      <c r="W260" s="1" t="str">
        <f t="shared" ca="1" si="97"/>
        <v>ON</v>
      </c>
      <c r="X260" s="1"/>
      <c r="Y260" s="20" t="str">
        <f t="shared" ca="1" si="98"/>
        <v>ON</v>
      </c>
      <c r="Z260" s="20" t="str">
        <f t="shared" ca="1" si="98"/>
        <v>ON</v>
      </c>
      <c r="AA260" s="1" t="str">
        <f t="shared" ca="1" si="99"/>
        <v>ON</v>
      </c>
      <c r="AB260" s="1" t="str">
        <f t="shared" ca="1" si="100"/>
        <v>ON</v>
      </c>
      <c r="AC260" s="1" t="str">
        <f t="shared" ca="1" si="101"/>
        <v>ON</v>
      </c>
      <c r="AD260" s="1" t="str">
        <f t="shared" ca="1" si="102"/>
        <v>ON</v>
      </c>
      <c r="AE260" s="1"/>
      <c r="AF260" s="20" t="str">
        <f t="shared" ca="1" si="103"/>
        <v>ON</v>
      </c>
      <c r="AG260" s="20" t="str">
        <f t="shared" ca="1" si="103"/>
        <v>ON</v>
      </c>
      <c r="AH260" s="1" t="str">
        <f t="shared" ca="1" si="104"/>
        <v>OFF</v>
      </c>
      <c r="AI260" s="1" t="str">
        <f t="shared" ca="1" si="105"/>
        <v>ON</v>
      </c>
      <c r="AJ260" s="1" t="str">
        <f t="shared" ca="1" si="106"/>
        <v>ON</v>
      </c>
      <c r="AK260" s="1" t="str">
        <f t="shared" ca="1" si="107"/>
        <v>ON</v>
      </c>
      <c r="AL260" s="1"/>
      <c r="AM260" s="20" t="str">
        <f t="shared" si="108"/>
        <v>ON</v>
      </c>
      <c r="AN260" s="20" t="str">
        <f t="shared" si="108"/>
        <v>ON</v>
      </c>
      <c r="AO260" s="20" t="str">
        <f t="shared" si="109"/>
        <v>ON</v>
      </c>
    </row>
    <row r="261" spans="1:41">
      <c r="A261" t="str">
        <f t="shared" ca="1" si="83"/>
        <v>Oyo</v>
      </c>
      <c r="B261" t="str">
        <f t="shared" ca="1" si="84"/>
        <v>C</v>
      </c>
      <c r="C261" t="str">
        <f t="shared" ca="1" si="85"/>
        <v>A1</v>
      </c>
      <c r="D261" t="s">
        <v>5</v>
      </c>
      <c r="E261">
        <f t="shared" ca="1" si="86"/>
        <v>25</v>
      </c>
      <c r="F261">
        <f t="shared" ca="1" si="87"/>
        <v>2</v>
      </c>
      <c r="G261" t="str" cm="1">
        <f t="array" ref="G261:G264">Groups!$B$2:$B$5</f>
        <v>A</v>
      </c>
      <c r="H261" t="str" cm="1">
        <f t="array" ref="H261:H264">Groups!$B$2:$B$5</f>
        <v>A</v>
      </c>
      <c r="I261" t="str">
        <f ca="1">IF($A261="","",IF(COUNTA($K$2:$P$2)=6,"WK "&amp;_xlfn.ISOWEEKNUM($K$2)))</f>
        <v>WK 18</v>
      </c>
      <c r="J261" t="str">
        <f ca="1">IF($A261="","",IF(COUNTA($Y$2:$AD$2)=6,"WK "&amp;_xlfn.ISOWEEKNUM($Y$2)))</f>
        <v>WK 20</v>
      </c>
      <c r="K261" s="20" t="str">
        <f t="shared" ca="1" si="88"/>
        <v>ON</v>
      </c>
      <c r="L261" s="20" t="str">
        <f t="shared" ca="1" si="88"/>
        <v>ON</v>
      </c>
      <c r="M261" s="1" t="str">
        <f t="shared" ca="1" si="89"/>
        <v>OFF</v>
      </c>
      <c r="N261" s="1" t="str">
        <f t="shared" ca="1" si="90"/>
        <v>ON</v>
      </c>
      <c r="O261" s="1" t="str">
        <f t="shared" ca="1" si="91"/>
        <v>ON</v>
      </c>
      <c r="P261" s="1" t="str">
        <f t="shared" ca="1" si="92"/>
        <v>ON</v>
      </c>
      <c r="Q261" s="1"/>
      <c r="R261" s="20" t="str">
        <f t="shared" ca="1" si="93"/>
        <v>ON</v>
      </c>
      <c r="S261" s="20" t="str">
        <f t="shared" ca="1" si="93"/>
        <v>ON</v>
      </c>
      <c r="T261" s="1" t="str">
        <f t="shared" ca="1" si="94"/>
        <v>ON</v>
      </c>
      <c r="U261" s="1" t="str">
        <f t="shared" ca="1" si="95"/>
        <v>ON</v>
      </c>
      <c r="V261" s="1" t="str">
        <f t="shared" ca="1" si="96"/>
        <v>ON</v>
      </c>
      <c r="W261" s="1" t="str">
        <f t="shared" ca="1" si="97"/>
        <v>ON</v>
      </c>
      <c r="X261" s="1"/>
      <c r="Y261" s="20" t="str">
        <f t="shared" ca="1" si="98"/>
        <v>ON</v>
      </c>
      <c r="Z261" s="20" t="str">
        <f t="shared" ca="1" si="98"/>
        <v>ON</v>
      </c>
      <c r="AA261" s="1" t="str">
        <f t="shared" ca="1" si="99"/>
        <v>OFF</v>
      </c>
      <c r="AB261" s="1" t="str">
        <f t="shared" ca="1" si="100"/>
        <v>ON</v>
      </c>
      <c r="AC261" s="1" t="str">
        <f t="shared" ca="1" si="101"/>
        <v>ON</v>
      </c>
      <c r="AD261" s="1" t="str">
        <f t="shared" ca="1" si="102"/>
        <v>ON</v>
      </c>
      <c r="AE261" s="1"/>
      <c r="AF261" s="20" t="str">
        <f t="shared" ca="1" si="103"/>
        <v>ON</v>
      </c>
      <c r="AG261" s="20" t="str">
        <f t="shared" ca="1" si="103"/>
        <v>ON</v>
      </c>
      <c r="AH261" s="1" t="str">
        <f t="shared" ca="1" si="104"/>
        <v>ON</v>
      </c>
      <c r="AI261" s="1" t="str">
        <f t="shared" ca="1" si="105"/>
        <v>ON</v>
      </c>
      <c r="AJ261" s="1" t="str">
        <f t="shared" ca="1" si="106"/>
        <v>ON</v>
      </c>
      <c r="AK261" s="1" t="str">
        <f t="shared" ca="1" si="107"/>
        <v>ON</v>
      </c>
      <c r="AL261" s="1"/>
      <c r="AM261" s="20" t="str">
        <f t="shared" si="108"/>
        <v>ON</v>
      </c>
      <c r="AN261" s="20" t="str">
        <f t="shared" si="108"/>
        <v>ON</v>
      </c>
      <c r="AO261" s="20" t="str">
        <f t="shared" si="109"/>
        <v>ON</v>
      </c>
    </row>
    <row r="262" spans="1:41">
      <c r="A262" t="str">
        <f t="shared" ref="A262:A325" ca="1" si="110">CHOOSE(RANDBETWEEN(1,5),"Lagos","Ogun","Ondo","Oyo","Ekiti")</f>
        <v>Ogun</v>
      </c>
      <c r="B262" t="str">
        <f t="shared" ref="B262:B325" ca="1" si="111">CHOOSE(RANDBETWEEN(1,5),"A","B","C","D","E")</f>
        <v>C</v>
      </c>
      <c r="C262" t="str">
        <f t="shared" ref="C262:C325" ca="1" si="112">CHOOSE(RANDBETWEEN(1,5),"A1","B1","C1","D1","E1")</f>
        <v>D1</v>
      </c>
      <c r="D262" t="s">
        <v>5</v>
      </c>
      <c r="E262">
        <f t="shared" ref="E262:E325" ca="1" si="113">COUNTIF(K262:AO262, "ON")</f>
        <v>25</v>
      </c>
      <c r="F262">
        <f t="shared" ref="F262:F325" ca="1" si="114">COUNTIF(K262:AO262, "OFF")</f>
        <v>2</v>
      </c>
      <c r="G262" t="str">
        <v>B</v>
      </c>
      <c r="H262" t="str">
        <v>B</v>
      </c>
      <c r="I262" t="str">
        <f ca="1">IF($A262="","",IF(COUNTA($R$2:$W$2)=6,"WK "&amp;_xlfn.ISOWEEKNUM($R$2)))</f>
        <v>WK 19</v>
      </c>
      <c r="J262" t="str">
        <f ca="1">IF($A262="","",IF(COUNTA($AF$2:$AK$2)=6,"WK "&amp;_xlfn.ISOWEEKNUM($AF$2)))</f>
        <v>WK 21</v>
      </c>
      <c r="K262" s="20" t="str">
        <f t="shared" ref="K262:L293" ca="1" si="115">IF($A262="","",IF(COUNTA($K$2:$AO$2)-4,IF(OR(K$4="Mon",K$4="Tue"),$E$1,$D$1)))</f>
        <v>ON</v>
      </c>
      <c r="L262" s="20" t="str">
        <f t="shared" ca="1" si="115"/>
        <v>ON</v>
      </c>
      <c r="M262" s="1" t="str">
        <f t="shared" ref="M262:M325" ca="1" si="116">IF($A262="","",IF(COUNTA($K$2:$AO$2)-4,IF(OR(M$4&lt;&gt;"Mon",M$4&lt;&gt;"Tue"),IF(AND($G262="A",$H262="A",$I262="WK "&amp;_xlfn.ISOWEEKNUM($K$2)),$D$1,$E$1))))</f>
        <v>ON</v>
      </c>
      <c r="N262" s="1" t="str">
        <f t="shared" ref="N262:N325" ca="1" si="117">IF($A262="","",IF(COUNTA($K$2:$AO$2)-4,IF(OR(N$4&lt;&gt;"Mon",N$4&lt;&gt;"Tue"),IF(AND($G262="B",$H262="B",$I262="WK "&amp;_xlfn.ISOWEEKNUM($K$2)),$D$1,$E$1))))</f>
        <v>ON</v>
      </c>
      <c r="O262" s="1" t="str">
        <f t="shared" ref="O262:O325" ca="1" si="118">IF($A262="","",IF(COUNTA($K$2:$AO$2)-4,IF(OR(O$4&lt;&gt;"Mon",O$4&lt;&gt;"Tue"),IF(AND($G262="C",$H262="C",$I262="WK "&amp;_xlfn.ISOWEEKNUM($K$2)),$D$1,$E$1))))</f>
        <v>ON</v>
      </c>
      <c r="P262" s="1" t="str">
        <f t="shared" ref="P262:P325" ca="1" si="119">IF($A262="","",IF(COUNTA($K$2:$AO$2)-4,IF(OR(P$4&lt;&gt;"Mon",P$4&lt;&gt;"Tue"),IF(AND($G262="D",$H262="D",$I262="WK "&amp;_xlfn.ISOWEEKNUM($K$2)),$D$1,$E$1))))</f>
        <v>ON</v>
      </c>
      <c r="Q262" s="1"/>
      <c r="R262" s="20" t="str">
        <f t="shared" ref="R262:S293" ca="1" si="120">IF($A262="","",IF(COUNTA($K$2:$AO$2)-4,IF(OR(R$4="Mon",R$4="Tue"),$E$1,$D$1)))</f>
        <v>ON</v>
      </c>
      <c r="S262" s="20" t="str">
        <f t="shared" ca="1" si="120"/>
        <v>ON</v>
      </c>
      <c r="T262" s="1" t="str">
        <f t="shared" ref="T262:T325" ca="1" si="121">IF($A262="","",IF(COUNTA($K$2:$AO$2)-4,IF(OR(T$4&lt;&gt;"Mon",T$4&lt;&gt;"Tue"),IF(AND($G262="A",$H262="A",$I262="WK "&amp;_xlfn.ISOWEEKNUM($R$2)),$D$1,$E$1))))</f>
        <v>ON</v>
      </c>
      <c r="U262" s="1" t="str">
        <f t="shared" ref="U262:U325" ca="1" si="122">IF($A262="","",IF(COUNTA($K$2:$AO$2)-4,IF(OR(U$4&lt;&gt;"Mon",U$4&lt;&gt;"Tue"),IF(AND($G262="B",$H262="B",$I262="WK "&amp;_xlfn.ISOWEEKNUM($R$2)),$D$1,$E$1))))</f>
        <v>OFF</v>
      </c>
      <c r="V262" s="1" t="str">
        <f t="shared" ref="V262:V325" ca="1" si="123">IF($A262="","",IF(COUNTA($K$2:$AO$2)-4,IF(OR(V$4&lt;&gt;"Mon",V$4&lt;&gt;"Tue"),IF(AND($G262="C",$H262="C",$I262="WK "&amp;_xlfn.ISOWEEKNUM($R$2)),$D$1,$E$1))))</f>
        <v>ON</v>
      </c>
      <c r="W262" s="1" t="str">
        <f t="shared" ref="W262:W325" ca="1" si="124">IF($A262="","",IF(COUNTA($K$2:$AO$2)-4,IF(OR(W$4&lt;&gt;"Mon",W$4&lt;&gt;"Tue"),IF(AND($G262="D",$H262="D",$I262="WK "&amp;_xlfn.ISOWEEKNUM($R$2)),$D$1,$E$1))))</f>
        <v>ON</v>
      </c>
      <c r="X262" s="1"/>
      <c r="Y262" s="20" t="str">
        <f t="shared" ref="Y262:Z293" ca="1" si="125">IF($A262="","",IF(COUNTA($K$2:$AO$2)-4,IF(OR(Y$4="Mon",Y$4="Tue"),$E$1,$D$1)))</f>
        <v>ON</v>
      </c>
      <c r="Z262" s="20" t="str">
        <f t="shared" ca="1" si="125"/>
        <v>ON</v>
      </c>
      <c r="AA262" s="1" t="str">
        <f t="shared" ref="AA262:AA325" ca="1" si="126">IF($A262="","",IF(COUNTA($K$2:$AO$2)-4,IF(OR(AA$4&lt;&gt;"Mon",AA$4&lt;&gt;"Tue"),IF(AND($G262="A",$H262="A",$J262="WK "&amp;_xlfn.ISOWEEKNUM($Y$2)),$D$1,$E$1))))</f>
        <v>ON</v>
      </c>
      <c r="AB262" s="1" t="str">
        <f t="shared" ref="AB262:AB325" ca="1" si="127">IF($A262="","",IF(COUNTA($K$2:$AO$2)-4,IF(OR(AB$4&lt;&gt;"Mon",AB$4&lt;&gt;"Tue"),IF(AND($G262="B",$H262="B",$J262="WK "&amp;_xlfn.ISOWEEKNUM($Y$2)),$D$1,$E$1))))</f>
        <v>ON</v>
      </c>
      <c r="AC262" s="1" t="str">
        <f t="shared" ref="AC262:AC325" ca="1" si="128">IF($A262="","",IF(COUNTA($K$2:$AO$2)-4,IF(OR(AC$4&lt;&gt;"Mon",AC$4&lt;&gt;"Tue"),IF(AND($G262="C",$H262="C",$J262="WK "&amp;_xlfn.ISOWEEKNUM($Y$2)),$D$1,$E$1))))</f>
        <v>ON</v>
      </c>
      <c r="AD262" s="1" t="str">
        <f t="shared" ref="AD262:AD325" ca="1" si="129">IF($A262="","",IF(COUNTA($K$2:$AO$2)-4,IF(OR(AD$4&lt;&gt;"Mon",AD$4&lt;&gt;"Tue"),IF(AND($G262="D",$H262="D",$J262="WK "&amp;_xlfn.ISOWEEKNUM($Y$2)),$D$1,$E$1))))</f>
        <v>ON</v>
      </c>
      <c r="AE262" s="1"/>
      <c r="AF262" s="20" t="str">
        <f t="shared" ref="AF262:AG293" ca="1" si="130">IF($A262="","",IF(COUNTA($K$2:$AO$2)-4,IF(OR(AF$4="Mon",AF$4="Tue"),$E$1,$D$1)))</f>
        <v>ON</v>
      </c>
      <c r="AG262" s="20" t="str">
        <f t="shared" ca="1" si="130"/>
        <v>ON</v>
      </c>
      <c r="AH262" s="1" t="str">
        <f t="shared" ref="AH262:AH325" ca="1" si="131">IF($A262="","",IF(COUNTA($K$2:$AO$2)-4,IF(OR(AH$4&lt;&gt;"Mon",AH$4&lt;&gt;"Tue"),IF(AND($G262="A",$H262="A",$J262="WK "&amp;_xlfn.ISOWEEKNUM($AF$2)),$D$1,$E$1))))</f>
        <v>ON</v>
      </c>
      <c r="AI262" s="1" t="str">
        <f t="shared" ref="AI262:AI325" ca="1" si="132">IF($A262="","",IF(COUNTA($K$2:$AO$2)-4,IF(OR(AI$4&lt;&gt;"Mon",AI$4&lt;&gt;"Tue"),IF(AND($G262="B",$H262="B",$J262="WK "&amp;_xlfn.ISOWEEKNUM($AF$2)),$D$1,$E$1))))</f>
        <v>OFF</v>
      </c>
      <c r="AJ262" s="1" t="str">
        <f t="shared" ref="AJ262:AJ325" ca="1" si="133">IF($A262="","",IF(COUNTA($K$2:$AO$2)-4,IF(OR(AJ$4&lt;&gt;"Mon",AJ$4&lt;&gt;"Tue"),IF(AND($G262="C",$H262="C",$J262="WK "&amp;_xlfn.ISOWEEKNUM($AF$2)),$D$1,$E$1))))</f>
        <v>ON</v>
      </c>
      <c r="AK262" s="1" t="str">
        <f t="shared" ref="AK262:AK325" ca="1" si="134">IF($A262="","",IF(COUNTA($K$2:$AO$2)-4,IF(OR(AK$4&lt;&gt;"Mon",AK$4&lt;&gt;"Tue"),IF(AND($G262="D",$H262="D",$J262="WK "&amp;_xlfn.ISOWEEKNUM($AF$2)),$D$1,$E$1))))</f>
        <v>ON</v>
      </c>
      <c r="AL262" s="1"/>
      <c r="AM262" s="20" t="str">
        <f t="shared" ref="AM262:AN293" si="135">IF(COUNTA($K$2:$AO$2)-4,IF(OR(AM$4="Mon",AM$4="Tue"),$E$1,$D$1))</f>
        <v>ON</v>
      </c>
      <c r="AN262" s="20" t="str">
        <f t="shared" si="135"/>
        <v>ON</v>
      </c>
      <c r="AO262" s="20" t="str">
        <f t="shared" ref="AO262:AO325" si="136">IF(COUNTA($K$2:$AO$2)-4,IF(OR(AO$4="Mon",AO$4="Tue",AO$4="Wed"),$E$1,$D$1))</f>
        <v>ON</v>
      </c>
    </row>
    <row r="263" spans="1:41">
      <c r="A263" t="str">
        <f t="shared" ca="1" si="110"/>
        <v>Oyo</v>
      </c>
      <c r="B263" t="str">
        <f t="shared" ca="1" si="111"/>
        <v>C</v>
      </c>
      <c r="C263" t="str">
        <f t="shared" ca="1" si="112"/>
        <v>B1</v>
      </c>
      <c r="D263" t="s">
        <v>5</v>
      </c>
      <c r="E263">
        <f t="shared" ca="1" si="113"/>
        <v>25</v>
      </c>
      <c r="F263">
        <f t="shared" ca="1" si="114"/>
        <v>2</v>
      </c>
      <c r="G263" t="str">
        <v>C</v>
      </c>
      <c r="H263" t="str">
        <v>C</v>
      </c>
      <c r="I263" t="str">
        <f ca="1">IF($A263="","",IF(COUNTA($K$2:$P$2)=6,"WK "&amp;_xlfn.ISOWEEKNUM($K$2)))</f>
        <v>WK 18</v>
      </c>
      <c r="J263" t="str">
        <f ca="1">IF($A263="","",IF(COUNTA($Y$2:$AD$2)=6,"WK "&amp;_xlfn.ISOWEEKNUM($Y$2)))</f>
        <v>WK 20</v>
      </c>
      <c r="K263" s="20" t="str">
        <f t="shared" ca="1" si="115"/>
        <v>ON</v>
      </c>
      <c r="L263" s="20" t="str">
        <f t="shared" ca="1" si="115"/>
        <v>ON</v>
      </c>
      <c r="M263" s="1" t="str">
        <f t="shared" ca="1" si="116"/>
        <v>ON</v>
      </c>
      <c r="N263" s="1" t="str">
        <f t="shared" ca="1" si="117"/>
        <v>ON</v>
      </c>
      <c r="O263" s="1" t="str">
        <f t="shared" ca="1" si="118"/>
        <v>OFF</v>
      </c>
      <c r="P263" s="1" t="str">
        <f t="shared" ca="1" si="119"/>
        <v>ON</v>
      </c>
      <c r="Q263" s="1"/>
      <c r="R263" s="20" t="str">
        <f t="shared" ca="1" si="120"/>
        <v>ON</v>
      </c>
      <c r="S263" s="20" t="str">
        <f t="shared" ca="1" si="120"/>
        <v>ON</v>
      </c>
      <c r="T263" s="1" t="str">
        <f t="shared" ca="1" si="121"/>
        <v>ON</v>
      </c>
      <c r="U263" s="1" t="str">
        <f t="shared" ca="1" si="122"/>
        <v>ON</v>
      </c>
      <c r="V263" s="1" t="str">
        <f t="shared" ca="1" si="123"/>
        <v>ON</v>
      </c>
      <c r="W263" s="1" t="str">
        <f t="shared" ca="1" si="124"/>
        <v>ON</v>
      </c>
      <c r="X263" s="1"/>
      <c r="Y263" s="20" t="str">
        <f t="shared" ca="1" si="125"/>
        <v>ON</v>
      </c>
      <c r="Z263" s="20" t="str">
        <f t="shared" ca="1" si="125"/>
        <v>ON</v>
      </c>
      <c r="AA263" s="1" t="str">
        <f t="shared" ca="1" si="126"/>
        <v>ON</v>
      </c>
      <c r="AB263" s="1" t="str">
        <f t="shared" ca="1" si="127"/>
        <v>ON</v>
      </c>
      <c r="AC263" s="1" t="str">
        <f t="shared" ca="1" si="128"/>
        <v>OFF</v>
      </c>
      <c r="AD263" s="1" t="str">
        <f t="shared" ca="1" si="129"/>
        <v>ON</v>
      </c>
      <c r="AE263" s="1"/>
      <c r="AF263" s="20" t="str">
        <f t="shared" ca="1" si="130"/>
        <v>ON</v>
      </c>
      <c r="AG263" s="20" t="str">
        <f t="shared" ca="1" si="130"/>
        <v>ON</v>
      </c>
      <c r="AH263" s="1" t="str">
        <f t="shared" ca="1" si="131"/>
        <v>ON</v>
      </c>
      <c r="AI263" s="1" t="str">
        <f t="shared" ca="1" si="132"/>
        <v>ON</v>
      </c>
      <c r="AJ263" s="1" t="str">
        <f t="shared" ca="1" si="133"/>
        <v>ON</v>
      </c>
      <c r="AK263" s="1" t="str">
        <f t="shared" ca="1" si="134"/>
        <v>ON</v>
      </c>
      <c r="AL263" s="1"/>
      <c r="AM263" s="20" t="str">
        <f t="shared" si="135"/>
        <v>ON</v>
      </c>
      <c r="AN263" s="20" t="str">
        <f t="shared" si="135"/>
        <v>ON</v>
      </c>
      <c r="AO263" s="20" t="str">
        <f t="shared" si="136"/>
        <v>ON</v>
      </c>
    </row>
    <row r="264" spans="1:41">
      <c r="A264" t="str">
        <f t="shared" ca="1" si="110"/>
        <v>Ekiti</v>
      </c>
      <c r="B264" t="str">
        <f t="shared" ca="1" si="111"/>
        <v>A</v>
      </c>
      <c r="C264" t="str">
        <f t="shared" ca="1" si="112"/>
        <v>B1</v>
      </c>
      <c r="D264" t="s">
        <v>5</v>
      </c>
      <c r="E264">
        <f t="shared" ca="1" si="113"/>
        <v>25</v>
      </c>
      <c r="F264">
        <f t="shared" ca="1" si="114"/>
        <v>2</v>
      </c>
      <c r="G264" t="str">
        <v>D</v>
      </c>
      <c r="H264" t="str">
        <v>D</v>
      </c>
      <c r="I264" t="str">
        <f ca="1">IF($A264="","",IF(COUNTA($R$2:$W$2)=6,"WK "&amp;_xlfn.ISOWEEKNUM($R$2)))</f>
        <v>WK 19</v>
      </c>
      <c r="J264" t="str">
        <f ca="1">IF($A264="","",IF(COUNTA($AF$2:$AK$2)=6,"WK "&amp;_xlfn.ISOWEEKNUM($AF$2)))</f>
        <v>WK 21</v>
      </c>
      <c r="K264" s="20" t="str">
        <f t="shared" ca="1" si="115"/>
        <v>ON</v>
      </c>
      <c r="L264" s="20" t="str">
        <f t="shared" ca="1" si="115"/>
        <v>ON</v>
      </c>
      <c r="M264" s="1" t="str">
        <f t="shared" ca="1" si="116"/>
        <v>ON</v>
      </c>
      <c r="N264" s="1" t="str">
        <f t="shared" ca="1" si="117"/>
        <v>ON</v>
      </c>
      <c r="O264" s="1" t="str">
        <f t="shared" ca="1" si="118"/>
        <v>ON</v>
      </c>
      <c r="P264" s="1" t="str">
        <f t="shared" ca="1" si="119"/>
        <v>ON</v>
      </c>
      <c r="Q264" s="1"/>
      <c r="R264" s="20" t="str">
        <f t="shared" ca="1" si="120"/>
        <v>ON</v>
      </c>
      <c r="S264" s="20" t="str">
        <f t="shared" ca="1" si="120"/>
        <v>ON</v>
      </c>
      <c r="T264" s="1" t="str">
        <f t="shared" ca="1" si="121"/>
        <v>ON</v>
      </c>
      <c r="U264" s="1" t="str">
        <f t="shared" ca="1" si="122"/>
        <v>ON</v>
      </c>
      <c r="V264" s="1" t="str">
        <f t="shared" ca="1" si="123"/>
        <v>ON</v>
      </c>
      <c r="W264" s="1" t="str">
        <f t="shared" ca="1" si="124"/>
        <v>OFF</v>
      </c>
      <c r="X264" s="1"/>
      <c r="Y264" s="20" t="str">
        <f t="shared" ca="1" si="125"/>
        <v>ON</v>
      </c>
      <c r="Z264" s="20" t="str">
        <f t="shared" ca="1" si="125"/>
        <v>ON</v>
      </c>
      <c r="AA264" s="1" t="str">
        <f t="shared" ca="1" si="126"/>
        <v>ON</v>
      </c>
      <c r="AB264" s="1" t="str">
        <f t="shared" ca="1" si="127"/>
        <v>ON</v>
      </c>
      <c r="AC264" s="1" t="str">
        <f t="shared" ca="1" si="128"/>
        <v>ON</v>
      </c>
      <c r="AD264" s="1" t="str">
        <f t="shared" ca="1" si="129"/>
        <v>ON</v>
      </c>
      <c r="AE264" s="1"/>
      <c r="AF264" s="20" t="str">
        <f t="shared" ca="1" si="130"/>
        <v>ON</v>
      </c>
      <c r="AG264" s="20" t="str">
        <f t="shared" ca="1" si="130"/>
        <v>ON</v>
      </c>
      <c r="AH264" s="1" t="str">
        <f t="shared" ca="1" si="131"/>
        <v>ON</v>
      </c>
      <c r="AI264" s="1" t="str">
        <f t="shared" ca="1" si="132"/>
        <v>ON</v>
      </c>
      <c r="AJ264" s="1" t="str">
        <f t="shared" ca="1" si="133"/>
        <v>ON</v>
      </c>
      <c r="AK264" s="1" t="str">
        <f t="shared" ca="1" si="134"/>
        <v>OFF</v>
      </c>
      <c r="AL264" s="1"/>
      <c r="AM264" s="20" t="str">
        <f t="shared" si="135"/>
        <v>ON</v>
      </c>
      <c r="AN264" s="20" t="str">
        <f t="shared" si="135"/>
        <v>ON</v>
      </c>
      <c r="AO264" s="20" t="str">
        <f t="shared" si="136"/>
        <v>ON</v>
      </c>
    </row>
    <row r="265" spans="1:41">
      <c r="A265" t="str">
        <f t="shared" ca="1" si="110"/>
        <v>Ekiti</v>
      </c>
      <c r="B265" t="str">
        <f t="shared" ca="1" si="111"/>
        <v>A</v>
      </c>
      <c r="C265" t="str">
        <f t="shared" ca="1" si="112"/>
        <v>C1</v>
      </c>
      <c r="D265" t="s">
        <v>5</v>
      </c>
      <c r="E265">
        <f t="shared" ca="1" si="113"/>
        <v>25</v>
      </c>
      <c r="F265">
        <f t="shared" ca="1" si="114"/>
        <v>2</v>
      </c>
      <c r="G265" t="str" cm="1">
        <f t="array" ref="G265:G268">IF($G$5:$G$8={"A";"B";"C";"D"},{"D";"C";"B";"A"},{"A";"B";"C";"D"})</f>
        <v>D</v>
      </c>
      <c r="H265" t="str" cm="1">
        <f t="array" ref="H265:H268">IF($H$5:$H$8={"A";"B";"C";"D"},{"D";"C";"B";"A"},{"A";"B";"C";"D"})</f>
        <v>D</v>
      </c>
      <c r="I265" t="str">
        <f ca="1">IF($A265="","",IF(COUNTA($K$2:$P$2)=6,"WK "&amp;_xlfn.ISOWEEKNUM($K$2)))</f>
        <v>WK 18</v>
      </c>
      <c r="J265" t="str">
        <f ca="1">IF($A265="","",IF(COUNTA($Y$2:$AD$2)=6,"WK "&amp;_xlfn.ISOWEEKNUM($Y$2)))</f>
        <v>WK 20</v>
      </c>
      <c r="K265" s="20" t="str">
        <f t="shared" ca="1" si="115"/>
        <v>ON</v>
      </c>
      <c r="L265" s="20" t="str">
        <f t="shared" ca="1" si="115"/>
        <v>ON</v>
      </c>
      <c r="M265" s="1" t="str">
        <f t="shared" ca="1" si="116"/>
        <v>ON</v>
      </c>
      <c r="N265" s="1" t="str">
        <f t="shared" ca="1" si="117"/>
        <v>ON</v>
      </c>
      <c r="O265" s="1" t="str">
        <f t="shared" ca="1" si="118"/>
        <v>ON</v>
      </c>
      <c r="P265" s="1" t="str">
        <f t="shared" ca="1" si="119"/>
        <v>OFF</v>
      </c>
      <c r="Q265" s="1"/>
      <c r="R265" s="20" t="str">
        <f t="shared" ca="1" si="120"/>
        <v>ON</v>
      </c>
      <c r="S265" s="20" t="str">
        <f t="shared" ca="1" si="120"/>
        <v>ON</v>
      </c>
      <c r="T265" s="1" t="str">
        <f t="shared" ca="1" si="121"/>
        <v>ON</v>
      </c>
      <c r="U265" s="1" t="str">
        <f t="shared" ca="1" si="122"/>
        <v>ON</v>
      </c>
      <c r="V265" s="1" t="str">
        <f t="shared" ca="1" si="123"/>
        <v>ON</v>
      </c>
      <c r="W265" s="1" t="str">
        <f t="shared" ca="1" si="124"/>
        <v>ON</v>
      </c>
      <c r="X265" s="1"/>
      <c r="Y265" s="20" t="str">
        <f t="shared" ca="1" si="125"/>
        <v>ON</v>
      </c>
      <c r="Z265" s="20" t="str">
        <f t="shared" ca="1" si="125"/>
        <v>ON</v>
      </c>
      <c r="AA265" s="1" t="str">
        <f t="shared" ca="1" si="126"/>
        <v>ON</v>
      </c>
      <c r="AB265" s="1" t="str">
        <f t="shared" ca="1" si="127"/>
        <v>ON</v>
      </c>
      <c r="AC265" s="1" t="str">
        <f t="shared" ca="1" si="128"/>
        <v>ON</v>
      </c>
      <c r="AD265" s="1" t="str">
        <f t="shared" ca="1" si="129"/>
        <v>OFF</v>
      </c>
      <c r="AE265" s="1"/>
      <c r="AF265" s="20" t="str">
        <f t="shared" ca="1" si="130"/>
        <v>ON</v>
      </c>
      <c r="AG265" s="20" t="str">
        <f t="shared" ca="1" si="130"/>
        <v>ON</v>
      </c>
      <c r="AH265" s="1" t="str">
        <f t="shared" ca="1" si="131"/>
        <v>ON</v>
      </c>
      <c r="AI265" s="1" t="str">
        <f t="shared" ca="1" si="132"/>
        <v>ON</v>
      </c>
      <c r="AJ265" s="1" t="str">
        <f t="shared" ca="1" si="133"/>
        <v>ON</v>
      </c>
      <c r="AK265" s="1" t="str">
        <f t="shared" ca="1" si="134"/>
        <v>ON</v>
      </c>
      <c r="AL265" s="1"/>
      <c r="AM265" s="20" t="str">
        <f t="shared" si="135"/>
        <v>ON</v>
      </c>
      <c r="AN265" s="20" t="str">
        <f t="shared" si="135"/>
        <v>ON</v>
      </c>
      <c r="AO265" s="20" t="str">
        <f t="shared" si="136"/>
        <v>ON</v>
      </c>
    </row>
    <row r="266" spans="1:41">
      <c r="A266" t="str">
        <f t="shared" ca="1" si="110"/>
        <v>Ogun</v>
      </c>
      <c r="B266" t="str">
        <f t="shared" ca="1" si="111"/>
        <v>B</v>
      </c>
      <c r="C266" t="str">
        <f t="shared" ca="1" si="112"/>
        <v>B1</v>
      </c>
      <c r="D266" t="s">
        <v>5</v>
      </c>
      <c r="E266">
        <f t="shared" ca="1" si="113"/>
        <v>25</v>
      </c>
      <c r="F266">
        <f t="shared" ca="1" si="114"/>
        <v>2</v>
      </c>
      <c r="G266" t="str">
        <v>C</v>
      </c>
      <c r="H266" t="str">
        <v>C</v>
      </c>
      <c r="I266" t="str">
        <f ca="1">IF($A266="","",IF(COUNTA($R$2:$W$2)=6,"WK "&amp;_xlfn.ISOWEEKNUM($R$2)))</f>
        <v>WK 19</v>
      </c>
      <c r="J266" t="str">
        <f ca="1">IF($A266="","",IF(COUNTA($AF$2:$AK$2)=6,"WK "&amp;_xlfn.ISOWEEKNUM($AF$2)))</f>
        <v>WK 21</v>
      </c>
      <c r="K266" s="20" t="str">
        <f t="shared" ca="1" si="115"/>
        <v>ON</v>
      </c>
      <c r="L266" s="20" t="str">
        <f t="shared" ca="1" si="115"/>
        <v>ON</v>
      </c>
      <c r="M266" s="1" t="str">
        <f t="shared" ca="1" si="116"/>
        <v>ON</v>
      </c>
      <c r="N266" s="1" t="str">
        <f t="shared" ca="1" si="117"/>
        <v>ON</v>
      </c>
      <c r="O266" s="1" t="str">
        <f t="shared" ca="1" si="118"/>
        <v>ON</v>
      </c>
      <c r="P266" s="1" t="str">
        <f t="shared" ca="1" si="119"/>
        <v>ON</v>
      </c>
      <c r="Q266" s="1"/>
      <c r="R266" s="20" t="str">
        <f t="shared" ca="1" si="120"/>
        <v>ON</v>
      </c>
      <c r="S266" s="20" t="str">
        <f t="shared" ca="1" si="120"/>
        <v>ON</v>
      </c>
      <c r="T266" s="1" t="str">
        <f t="shared" ca="1" si="121"/>
        <v>ON</v>
      </c>
      <c r="U266" s="1" t="str">
        <f t="shared" ca="1" si="122"/>
        <v>ON</v>
      </c>
      <c r="V266" s="1" t="str">
        <f t="shared" ca="1" si="123"/>
        <v>OFF</v>
      </c>
      <c r="W266" s="1" t="str">
        <f t="shared" ca="1" si="124"/>
        <v>ON</v>
      </c>
      <c r="X266" s="1"/>
      <c r="Y266" s="20" t="str">
        <f t="shared" ca="1" si="125"/>
        <v>ON</v>
      </c>
      <c r="Z266" s="20" t="str">
        <f t="shared" ca="1" si="125"/>
        <v>ON</v>
      </c>
      <c r="AA266" s="1" t="str">
        <f t="shared" ca="1" si="126"/>
        <v>ON</v>
      </c>
      <c r="AB266" s="1" t="str">
        <f t="shared" ca="1" si="127"/>
        <v>ON</v>
      </c>
      <c r="AC266" s="1" t="str">
        <f t="shared" ca="1" si="128"/>
        <v>ON</v>
      </c>
      <c r="AD266" s="1" t="str">
        <f t="shared" ca="1" si="129"/>
        <v>ON</v>
      </c>
      <c r="AE266" s="1"/>
      <c r="AF266" s="20" t="str">
        <f t="shared" ca="1" si="130"/>
        <v>ON</v>
      </c>
      <c r="AG266" s="20" t="str">
        <f t="shared" ca="1" si="130"/>
        <v>ON</v>
      </c>
      <c r="AH266" s="1" t="str">
        <f t="shared" ca="1" si="131"/>
        <v>ON</v>
      </c>
      <c r="AI266" s="1" t="str">
        <f t="shared" ca="1" si="132"/>
        <v>ON</v>
      </c>
      <c r="AJ266" s="1" t="str">
        <f t="shared" ca="1" si="133"/>
        <v>OFF</v>
      </c>
      <c r="AK266" s="1" t="str">
        <f t="shared" ca="1" si="134"/>
        <v>ON</v>
      </c>
      <c r="AL266" s="1"/>
      <c r="AM266" s="20" t="str">
        <f t="shared" si="135"/>
        <v>ON</v>
      </c>
      <c r="AN266" s="20" t="str">
        <f t="shared" si="135"/>
        <v>ON</v>
      </c>
      <c r="AO266" s="20" t="str">
        <f t="shared" si="136"/>
        <v>ON</v>
      </c>
    </row>
    <row r="267" spans="1:41">
      <c r="A267" t="str">
        <f t="shared" ca="1" si="110"/>
        <v>Ekiti</v>
      </c>
      <c r="B267" t="str">
        <f t="shared" ca="1" si="111"/>
        <v>C</v>
      </c>
      <c r="C267" t="str">
        <f t="shared" ca="1" si="112"/>
        <v>B1</v>
      </c>
      <c r="D267" t="s">
        <v>5</v>
      </c>
      <c r="E267">
        <f t="shared" ca="1" si="113"/>
        <v>25</v>
      </c>
      <c r="F267">
        <f t="shared" ca="1" si="114"/>
        <v>2</v>
      </c>
      <c r="G267" t="str">
        <v>B</v>
      </c>
      <c r="H267" t="str">
        <v>B</v>
      </c>
      <c r="I267" t="str">
        <f ca="1">IF($A267="","",IF(COUNTA($K$2:$P$2)=6,"WK "&amp;_xlfn.ISOWEEKNUM($K$2)))</f>
        <v>WK 18</v>
      </c>
      <c r="J267" t="str">
        <f ca="1">IF($A267="","",IF(COUNTA($Y$2:$AD$2)=6,"WK "&amp;_xlfn.ISOWEEKNUM($Y$2)))</f>
        <v>WK 20</v>
      </c>
      <c r="K267" s="20" t="str">
        <f t="shared" ca="1" si="115"/>
        <v>ON</v>
      </c>
      <c r="L267" s="20" t="str">
        <f t="shared" ca="1" si="115"/>
        <v>ON</v>
      </c>
      <c r="M267" s="1" t="str">
        <f t="shared" ca="1" si="116"/>
        <v>ON</v>
      </c>
      <c r="N267" s="1" t="str">
        <f t="shared" ca="1" si="117"/>
        <v>OFF</v>
      </c>
      <c r="O267" s="1" t="str">
        <f t="shared" ca="1" si="118"/>
        <v>ON</v>
      </c>
      <c r="P267" s="1" t="str">
        <f t="shared" ca="1" si="119"/>
        <v>ON</v>
      </c>
      <c r="Q267" s="1"/>
      <c r="R267" s="20" t="str">
        <f t="shared" ca="1" si="120"/>
        <v>ON</v>
      </c>
      <c r="S267" s="20" t="str">
        <f t="shared" ca="1" si="120"/>
        <v>ON</v>
      </c>
      <c r="T267" s="1" t="str">
        <f t="shared" ca="1" si="121"/>
        <v>ON</v>
      </c>
      <c r="U267" s="1" t="str">
        <f t="shared" ca="1" si="122"/>
        <v>ON</v>
      </c>
      <c r="V267" s="1" t="str">
        <f t="shared" ca="1" si="123"/>
        <v>ON</v>
      </c>
      <c r="W267" s="1" t="str">
        <f t="shared" ca="1" si="124"/>
        <v>ON</v>
      </c>
      <c r="X267" s="1"/>
      <c r="Y267" s="20" t="str">
        <f t="shared" ca="1" si="125"/>
        <v>ON</v>
      </c>
      <c r="Z267" s="20" t="str">
        <f t="shared" ca="1" si="125"/>
        <v>ON</v>
      </c>
      <c r="AA267" s="1" t="str">
        <f t="shared" ca="1" si="126"/>
        <v>ON</v>
      </c>
      <c r="AB267" s="1" t="str">
        <f t="shared" ca="1" si="127"/>
        <v>OFF</v>
      </c>
      <c r="AC267" s="1" t="str">
        <f t="shared" ca="1" si="128"/>
        <v>ON</v>
      </c>
      <c r="AD267" s="1" t="str">
        <f t="shared" ca="1" si="129"/>
        <v>ON</v>
      </c>
      <c r="AE267" s="1"/>
      <c r="AF267" s="20" t="str">
        <f t="shared" ca="1" si="130"/>
        <v>ON</v>
      </c>
      <c r="AG267" s="20" t="str">
        <f t="shared" ca="1" si="130"/>
        <v>ON</v>
      </c>
      <c r="AH267" s="1" t="str">
        <f t="shared" ca="1" si="131"/>
        <v>ON</v>
      </c>
      <c r="AI267" s="1" t="str">
        <f t="shared" ca="1" si="132"/>
        <v>ON</v>
      </c>
      <c r="AJ267" s="1" t="str">
        <f t="shared" ca="1" si="133"/>
        <v>ON</v>
      </c>
      <c r="AK267" s="1" t="str">
        <f t="shared" ca="1" si="134"/>
        <v>ON</v>
      </c>
      <c r="AL267" s="1"/>
      <c r="AM267" s="20" t="str">
        <f t="shared" si="135"/>
        <v>ON</v>
      </c>
      <c r="AN267" s="20" t="str">
        <f t="shared" si="135"/>
        <v>ON</v>
      </c>
      <c r="AO267" s="20" t="str">
        <f t="shared" si="136"/>
        <v>ON</v>
      </c>
    </row>
    <row r="268" spans="1:41">
      <c r="A268" t="str">
        <f t="shared" ca="1" si="110"/>
        <v>Ogun</v>
      </c>
      <c r="B268" t="str">
        <f t="shared" ca="1" si="111"/>
        <v>D</v>
      </c>
      <c r="C268" t="str">
        <f t="shared" ca="1" si="112"/>
        <v>C1</v>
      </c>
      <c r="D268" t="s">
        <v>5</v>
      </c>
      <c r="E268">
        <f t="shared" ca="1" si="113"/>
        <v>25</v>
      </c>
      <c r="F268">
        <f t="shared" ca="1" si="114"/>
        <v>2</v>
      </c>
      <c r="G268" t="str">
        <v>A</v>
      </c>
      <c r="H268" t="str">
        <v>A</v>
      </c>
      <c r="I268" t="str">
        <f ca="1">IF($A268="","",IF(COUNTA($R$2:$W$2)=6,"WK "&amp;_xlfn.ISOWEEKNUM($R$2)))</f>
        <v>WK 19</v>
      </c>
      <c r="J268" t="str">
        <f ca="1">IF($A268="","",IF(COUNTA($AF$2:$AK$2)=6,"WK "&amp;_xlfn.ISOWEEKNUM($AF$2)))</f>
        <v>WK 21</v>
      </c>
      <c r="K268" s="20" t="str">
        <f t="shared" ca="1" si="115"/>
        <v>ON</v>
      </c>
      <c r="L268" s="20" t="str">
        <f t="shared" ca="1" si="115"/>
        <v>ON</v>
      </c>
      <c r="M268" s="1" t="str">
        <f t="shared" ca="1" si="116"/>
        <v>ON</v>
      </c>
      <c r="N268" s="1" t="str">
        <f t="shared" ca="1" si="117"/>
        <v>ON</v>
      </c>
      <c r="O268" s="1" t="str">
        <f t="shared" ca="1" si="118"/>
        <v>ON</v>
      </c>
      <c r="P268" s="1" t="str">
        <f t="shared" ca="1" si="119"/>
        <v>ON</v>
      </c>
      <c r="Q268" s="1"/>
      <c r="R268" s="20" t="str">
        <f t="shared" ca="1" si="120"/>
        <v>ON</v>
      </c>
      <c r="S268" s="20" t="str">
        <f t="shared" ca="1" si="120"/>
        <v>ON</v>
      </c>
      <c r="T268" s="1" t="str">
        <f t="shared" ca="1" si="121"/>
        <v>OFF</v>
      </c>
      <c r="U268" s="1" t="str">
        <f t="shared" ca="1" si="122"/>
        <v>ON</v>
      </c>
      <c r="V268" s="1" t="str">
        <f t="shared" ca="1" si="123"/>
        <v>ON</v>
      </c>
      <c r="W268" s="1" t="str">
        <f t="shared" ca="1" si="124"/>
        <v>ON</v>
      </c>
      <c r="X268" s="1"/>
      <c r="Y268" s="20" t="str">
        <f t="shared" ca="1" si="125"/>
        <v>ON</v>
      </c>
      <c r="Z268" s="20" t="str">
        <f t="shared" ca="1" si="125"/>
        <v>ON</v>
      </c>
      <c r="AA268" s="1" t="str">
        <f t="shared" ca="1" si="126"/>
        <v>ON</v>
      </c>
      <c r="AB268" s="1" t="str">
        <f t="shared" ca="1" si="127"/>
        <v>ON</v>
      </c>
      <c r="AC268" s="1" t="str">
        <f t="shared" ca="1" si="128"/>
        <v>ON</v>
      </c>
      <c r="AD268" s="1" t="str">
        <f t="shared" ca="1" si="129"/>
        <v>ON</v>
      </c>
      <c r="AE268" s="1"/>
      <c r="AF268" s="20" t="str">
        <f t="shared" ca="1" si="130"/>
        <v>ON</v>
      </c>
      <c r="AG268" s="20" t="str">
        <f t="shared" ca="1" si="130"/>
        <v>ON</v>
      </c>
      <c r="AH268" s="1" t="str">
        <f t="shared" ca="1" si="131"/>
        <v>OFF</v>
      </c>
      <c r="AI268" s="1" t="str">
        <f t="shared" ca="1" si="132"/>
        <v>ON</v>
      </c>
      <c r="AJ268" s="1" t="str">
        <f t="shared" ca="1" si="133"/>
        <v>ON</v>
      </c>
      <c r="AK268" s="1" t="str">
        <f t="shared" ca="1" si="134"/>
        <v>ON</v>
      </c>
      <c r="AL268" s="1"/>
      <c r="AM268" s="20" t="str">
        <f t="shared" si="135"/>
        <v>ON</v>
      </c>
      <c r="AN268" s="20" t="str">
        <f t="shared" si="135"/>
        <v>ON</v>
      </c>
      <c r="AO268" s="20" t="str">
        <f t="shared" si="136"/>
        <v>ON</v>
      </c>
    </row>
    <row r="269" spans="1:41">
      <c r="A269" t="str">
        <f t="shared" ca="1" si="110"/>
        <v>Oyo</v>
      </c>
      <c r="B269" t="str">
        <f t="shared" ca="1" si="111"/>
        <v>B</v>
      </c>
      <c r="C269" t="str">
        <f t="shared" ca="1" si="112"/>
        <v>D1</v>
      </c>
      <c r="D269" t="s">
        <v>5</v>
      </c>
      <c r="E269">
        <f t="shared" ca="1" si="113"/>
        <v>25</v>
      </c>
      <c r="F269">
        <f t="shared" ca="1" si="114"/>
        <v>2</v>
      </c>
      <c r="G269" t="str" cm="1">
        <f t="array" ref="G269:G272">Groups!$B$2:$B$5</f>
        <v>A</v>
      </c>
      <c r="H269" t="str" cm="1">
        <f t="array" ref="H269:H272">Groups!$B$2:$B$5</f>
        <v>A</v>
      </c>
      <c r="I269" t="str">
        <f ca="1">IF($A269="","",IF(COUNTA($K$2:$P$2)=6,"WK "&amp;_xlfn.ISOWEEKNUM($K$2)))</f>
        <v>WK 18</v>
      </c>
      <c r="J269" t="str">
        <f ca="1">IF($A269="","",IF(COUNTA($Y$2:$AD$2)=6,"WK "&amp;_xlfn.ISOWEEKNUM($Y$2)))</f>
        <v>WK 20</v>
      </c>
      <c r="K269" s="20" t="str">
        <f t="shared" ca="1" si="115"/>
        <v>ON</v>
      </c>
      <c r="L269" s="20" t="str">
        <f t="shared" ca="1" si="115"/>
        <v>ON</v>
      </c>
      <c r="M269" s="1" t="str">
        <f t="shared" ca="1" si="116"/>
        <v>OFF</v>
      </c>
      <c r="N269" s="1" t="str">
        <f t="shared" ca="1" si="117"/>
        <v>ON</v>
      </c>
      <c r="O269" s="1" t="str">
        <f t="shared" ca="1" si="118"/>
        <v>ON</v>
      </c>
      <c r="P269" s="1" t="str">
        <f t="shared" ca="1" si="119"/>
        <v>ON</v>
      </c>
      <c r="Q269" s="1"/>
      <c r="R269" s="20" t="str">
        <f t="shared" ca="1" si="120"/>
        <v>ON</v>
      </c>
      <c r="S269" s="20" t="str">
        <f t="shared" ca="1" si="120"/>
        <v>ON</v>
      </c>
      <c r="T269" s="1" t="str">
        <f t="shared" ca="1" si="121"/>
        <v>ON</v>
      </c>
      <c r="U269" s="1" t="str">
        <f t="shared" ca="1" si="122"/>
        <v>ON</v>
      </c>
      <c r="V269" s="1" t="str">
        <f t="shared" ca="1" si="123"/>
        <v>ON</v>
      </c>
      <c r="W269" s="1" t="str">
        <f t="shared" ca="1" si="124"/>
        <v>ON</v>
      </c>
      <c r="X269" s="1"/>
      <c r="Y269" s="20" t="str">
        <f t="shared" ca="1" si="125"/>
        <v>ON</v>
      </c>
      <c r="Z269" s="20" t="str">
        <f t="shared" ca="1" si="125"/>
        <v>ON</v>
      </c>
      <c r="AA269" s="1" t="str">
        <f t="shared" ca="1" si="126"/>
        <v>OFF</v>
      </c>
      <c r="AB269" s="1" t="str">
        <f t="shared" ca="1" si="127"/>
        <v>ON</v>
      </c>
      <c r="AC269" s="1" t="str">
        <f t="shared" ca="1" si="128"/>
        <v>ON</v>
      </c>
      <c r="AD269" s="1" t="str">
        <f t="shared" ca="1" si="129"/>
        <v>ON</v>
      </c>
      <c r="AE269" s="1"/>
      <c r="AF269" s="20" t="str">
        <f t="shared" ca="1" si="130"/>
        <v>ON</v>
      </c>
      <c r="AG269" s="20" t="str">
        <f t="shared" ca="1" si="130"/>
        <v>ON</v>
      </c>
      <c r="AH269" s="1" t="str">
        <f t="shared" ca="1" si="131"/>
        <v>ON</v>
      </c>
      <c r="AI269" s="1" t="str">
        <f t="shared" ca="1" si="132"/>
        <v>ON</v>
      </c>
      <c r="AJ269" s="1" t="str">
        <f t="shared" ca="1" si="133"/>
        <v>ON</v>
      </c>
      <c r="AK269" s="1" t="str">
        <f t="shared" ca="1" si="134"/>
        <v>ON</v>
      </c>
      <c r="AL269" s="1"/>
      <c r="AM269" s="20" t="str">
        <f t="shared" si="135"/>
        <v>ON</v>
      </c>
      <c r="AN269" s="20" t="str">
        <f t="shared" si="135"/>
        <v>ON</v>
      </c>
      <c r="AO269" s="20" t="str">
        <f t="shared" si="136"/>
        <v>ON</v>
      </c>
    </row>
    <row r="270" spans="1:41">
      <c r="A270" t="str">
        <f t="shared" ca="1" si="110"/>
        <v>Ogun</v>
      </c>
      <c r="B270" t="str">
        <f t="shared" ca="1" si="111"/>
        <v>C</v>
      </c>
      <c r="C270" t="str">
        <f t="shared" ca="1" si="112"/>
        <v>C1</v>
      </c>
      <c r="D270" t="s">
        <v>8</v>
      </c>
      <c r="E270">
        <f t="shared" ca="1" si="113"/>
        <v>25</v>
      </c>
      <c r="F270">
        <f t="shared" ca="1" si="114"/>
        <v>2</v>
      </c>
      <c r="G270" t="str">
        <v>B</v>
      </c>
      <c r="H270" t="str">
        <v>B</v>
      </c>
      <c r="I270" t="str">
        <f ca="1">IF($A270="","",IF(COUNTA($R$2:$W$2)=6,"WK "&amp;_xlfn.ISOWEEKNUM($R$2)))</f>
        <v>WK 19</v>
      </c>
      <c r="J270" t="str">
        <f ca="1">IF($A270="","",IF(COUNTA($AF$2:$AK$2)=6,"WK "&amp;_xlfn.ISOWEEKNUM($AF$2)))</f>
        <v>WK 21</v>
      </c>
      <c r="K270" s="20" t="str">
        <f t="shared" ca="1" si="115"/>
        <v>ON</v>
      </c>
      <c r="L270" s="20" t="str">
        <f t="shared" ca="1" si="115"/>
        <v>ON</v>
      </c>
      <c r="M270" s="1" t="str">
        <f t="shared" ca="1" si="116"/>
        <v>ON</v>
      </c>
      <c r="N270" s="1" t="str">
        <f t="shared" ca="1" si="117"/>
        <v>ON</v>
      </c>
      <c r="O270" s="1" t="str">
        <f t="shared" ca="1" si="118"/>
        <v>ON</v>
      </c>
      <c r="P270" s="1" t="str">
        <f t="shared" ca="1" si="119"/>
        <v>ON</v>
      </c>
      <c r="Q270" s="1"/>
      <c r="R270" s="20" t="str">
        <f t="shared" ca="1" si="120"/>
        <v>ON</v>
      </c>
      <c r="S270" s="20" t="str">
        <f t="shared" ca="1" si="120"/>
        <v>ON</v>
      </c>
      <c r="T270" s="1" t="str">
        <f t="shared" ca="1" si="121"/>
        <v>ON</v>
      </c>
      <c r="U270" s="1" t="str">
        <f t="shared" ca="1" si="122"/>
        <v>OFF</v>
      </c>
      <c r="V270" s="1" t="str">
        <f t="shared" ca="1" si="123"/>
        <v>ON</v>
      </c>
      <c r="W270" s="1" t="str">
        <f t="shared" ca="1" si="124"/>
        <v>ON</v>
      </c>
      <c r="X270" s="1"/>
      <c r="Y270" s="20" t="str">
        <f t="shared" ca="1" si="125"/>
        <v>ON</v>
      </c>
      <c r="Z270" s="20" t="str">
        <f t="shared" ca="1" si="125"/>
        <v>ON</v>
      </c>
      <c r="AA270" s="1" t="str">
        <f t="shared" ca="1" si="126"/>
        <v>ON</v>
      </c>
      <c r="AB270" s="1" t="str">
        <f t="shared" ca="1" si="127"/>
        <v>ON</v>
      </c>
      <c r="AC270" s="1" t="str">
        <f t="shared" ca="1" si="128"/>
        <v>ON</v>
      </c>
      <c r="AD270" s="1" t="str">
        <f t="shared" ca="1" si="129"/>
        <v>ON</v>
      </c>
      <c r="AE270" s="1"/>
      <c r="AF270" s="20" t="str">
        <f t="shared" ca="1" si="130"/>
        <v>ON</v>
      </c>
      <c r="AG270" s="20" t="str">
        <f t="shared" ca="1" si="130"/>
        <v>ON</v>
      </c>
      <c r="AH270" s="1" t="str">
        <f t="shared" ca="1" si="131"/>
        <v>ON</v>
      </c>
      <c r="AI270" s="1" t="str">
        <f t="shared" ca="1" si="132"/>
        <v>OFF</v>
      </c>
      <c r="AJ270" s="1" t="str">
        <f t="shared" ca="1" si="133"/>
        <v>ON</v>
      </c>
      <c r="AK270" s="1" t="str">
        <f t="shared" ca="1" si="134"/>
        <v>ON</v>
      </c>
      <c r="AL270" s="1"/>
      <c r="AM270" s="20" t="str">
        <f t="shared" si="135"/>
        <v>ON</v>
      </c>
      <c r="AN270" s="20" t="str">
        <f t="shared" si="135"/>
        <v>ON</v>
      </c>
      <c r="AO270" s="20" t="str">
        <f t="shared" si="136"/>
        <v>ON</v>
      </c>
    </row>
    <row r="271" spans="1:41">
      <c r="A271" t="str">
        <f t="shared" ca="1" si="110"/>
        <v>Oyo</v>
      </c>
      <c r="B271" t="str">
        <f t="shared" ca="1" si="111"/>
        <v>C</v>
      </c>
      <c r="C271" t="str">
        <f t="shared" ca="1" si="112"/>
        <v>E1</v>
      </c>
      <c r="D271" t="s">
        <v>8</v>
      </c>
      <c r="E271">
        <f t="shared" ca="1" si="113"/>
        <v>25</v>
      </c>
      <c r="F271">
        <f t="shared" ca="1" si="114"/>
        <v>2</v>
      </c>
      <c r="G271" t="str">
        <v>C</v>
      </c>
      <c r="H271" t="str">
        <v>C</v>
      </c>
      <c r="I271" t="str">
        <f ca="1">IF($A271="","",IF(COUNTA($K$2:$P$2)=6,"WK "&amp;_xlfn.ISOWEEKNUM($K$2)))</f>
        <v>WK 18</v>
      </c>
      <c r="J271" t="str">
        <f ca="1">IF($A271="","",IF(COUNTA($Y$2:$AD$2)=6,"WK "&amp;_xlfn.ISOWEEKNUM($Y$2)))</f>
        <v>WK 20</v>
      </c>
      <c r="K271" s="20" t="str">
        <f t="shared" ca="1" si="115"/>
        <v>ON</v>
      </c>
      <c r="L271" s="20" t="str">
        <f t="shared" ca="1" si="115"/>
        <v>ON</v>
      </c>
      <c r="M271" s="1" t="str">
        <f t="shared" ca="1" si="116"/>
        <v>ON</v>
      </c>
      <c r="N271" s="1" t="str">
        <f t="shared" ca="1" si="117"/>
        <v>ON</v>
      </c>
      <c r="O271" s="1" t="str">
        <f t="shared" ca="1" si="118"/>
        <v>OFF</v>
      </c>
      <c r="P271" s="1" t="str">
        <f t="shared" ca="1" si="119"/>
        <v>ON</v>
      </c>
      <c r="Q271" s="1"/>
      <c r="R271" s="20" t="str">
        <f t="shared" ca="1" si="120"/>
        <v>ON</v>
      </c>
      <c r="S271" s="20" t="str">
        <f t="shared" ca="1" si="120"/>
        <v>ON</v>
      </c>
      <c r="T271" s="1" t="str">
        <f t="shared" ca="1" si="121"/>
        <v>ON</v>
      </c>
      <c r="U271" s="1" t="str">
        <f t="shared" ca="1" si="122"/>
        <v>ON</v>
      </c>
      <c r="V271" s="1" t="str">
        <f t="shared" ca="1" si="123"/>
        <v>ON</v>
      </c>
      <c r="W271" s="1" t="str">
        <f t="shared" ca="1" si="124"/>
        <v>ON</v>
      </c>
      <c r="X271" s="1"/>
      <c r="Y271" s="20" t="str">
        <f t="shared" ca="1" si="125"/>
        <v>ON</v>
      </c>
      <c r="Z271" s="20" t="str">
        <f t="shared" ca="1" si="125"/>
        <v>ON</v>
      </c>
      <c r="AA271" s="1" t="str">
        <f t="shared" ca="1" si="126"/>
        <v>ON</v>
      </c>
      <c r="AB271" s="1" t="str">
        <f t="shared" ca="1" si="127"/>
        <v>ON</v>
      </c>
      <c r="AC271" s="1" t="str">
        <f t="shared" ca="1" si="128"/>
        <v>OFF</v>
      </c>
      <c r="AD271" s="1" t="str">
        <f t="shared" ca="1" si="129"/>
        <v>ON</v>
      </c>
      <c r="AE271" s="1"/>
      <c r="AF271" s="20" t="str">
        <f t="shared" ca="1" si="130"/>
        <v>ON</v>
      </c>
      <c r="AG271" s="20" t="str">
        <f t="shared" ca="1" si="130"/>
        <v>ON</v>
      </c>
      <c r="AH271" s="1" t="str">
        <f t="shared" ca="1" si="131"/>
        <v>ON</v>
      </c>
      <c r="AI271" s="1" t="str">
        <f t="shared" ca="1" si="132"/>
        <v>ON</v>
      </c>
      <c r="AJ271" s="1" t="str">
        <f t="shared" ca="1" si="133"/>
        <v>ON</v>
      </c>
      <c r="AK271" s="1" t="str">
        <f t="shared" ca="1" si="134"/>
        <v>ON</v>
      </c>
      <c r="AL271" s="1"/>
      <c r="AM271" s="20" t="str">
        <f t="shared" si="135"/>
        <v>ON</v>
      </c>
      <c r="AN271" s="20" t="str">
        <f t="shared" si="135"/>
        <v>ON</v>
      </c>
      <c r="AO271" s="20" t="str">
        <f t="shared" si="136"/>
        <v>ON</v>
      </c>
    </row>
    <row r="272" spans="1:41">
      <c r="A272" t="str">
        <f t="shared" ca="1" si="110"/>
        <v>Oyo</v>
      </c>
      <c r="B272" t="str">
        <f t="shared" ca="1" si="111"/>
        <v>C</v>
      </c>
      <c r="C272" t="str">
        <f t="shared" ca="1" si="112"/>
        <v>E1</v>
      </c>
      <c r="D272" s="8" t="s">
        <v>4</v>
      </c>
      <c r="E272">
        <f t="shared" ca="1" si="113"/>
        <v>25</v>
      </c>
      <c r="F272">
        <f t="shared" ca="1" si="114"/>
        <v>2</v>
      </c>
      <c r="G272" t="str">
        <v>D</v>
      </c>
      <c r="H272" t="str">
        <v>D</v>
      </c>
      <c r="I272" t="str">
        <f ca="1">IF($A272="","",IF(COUNTA($R$2:$W$2)=6,"WK "&amp;_xlfn.ISOWEEKNUM($R$2)))</f>
        <v>WK 19</v>
      </c>
      <c r="J272" t="str">
        <f ca="1">IF($A272="","",IF(COUNTA($AF$2:$AK$2)=6,"WK "&amp;_xlfn.ISOWEEKNUM($AF$2)))</f>
        <v>WK 21</v>
      </c>
      <c r="K272" s="20" t="str">
        <f t="shared" ca="1" si="115"/>
        <v>ON</v>
      </c>
      <c r="L272" s="20" t="str">
        <f t="shared" ca="1" si="115"/>
        <v>ON</v>
      </c>
      <c r="M272" s="1" t="str">
        <f t="shared" ca="1" si="116"/>
        <v>ON</v>
      </c>
      <c r="N272" s="1" t="str">
        <f t="shared" ca="1" si="117"/>
        <v>ON</v>
      </c>
      <c r="O272" s="1" t="str">
        <f t="shared" ca="1" si="118"/>
        <v>ON</v>
      </c>
      <c r="P272" s="1" t="str">
        <f t="shared" ca="1" si="119"/>
        <v>ON</v>
      </c>
      <c r="Q272" s="1"/>
      <c r="R272" s="20" t="str">
        <f t="shared" ca="1" si="120"/>
        <v>ON</v>
      </c>
      <c r="S272" s="20" t="str">
        <f t="shared" ca="1" si="120"/>
        <v>ON</v>
      </c>
      <c r="T272" s="1" t="str">
        <f t="shared" ca="1" si="121"/>
        <v>ON</v>
      </c>
      <c r="U272" s="1" t="str">
        <f t="shared" ca="1" si="122"/>
        <v>ON</v>
      </c>
      <c r="V272" s="1" t="str">
        <f t="shared" ca="1" si="123"/>
        <v>ON</v>
      </c>
      <c r="W272" s="1" t="str">
        <f t="shared" ca="1" si="124"/>
        <v>OFF</v>
      </c>
      <c r="X272" s="1"/>
      <c r="Y272" s="20" t="str">
        <f t="shared" ca="1" si="125"/>
        <v>ON</v>
      </c>
      <c r="Z272" s="20" t="str">
        <f t="shared" ca="1" si="125"/>
        <v>ON</v>
      </c>
      <c r="AA272" s="1" t="str">
        <f t="shared" ca="1" si="126"/>
        <v>ON</v>
      </c>
      <c r="AB272" s="1" t="str">
        <f t="shared" ca="1" si="127"/>
        <v>ON</v>
      </c>
      <c r="AC272" s="1" t="str">
        <f t="shared" ca="1" si="128"/>
        <v>ON</v>
      </c>
      <c r="AD272" s="1" t="str">
        <f t="shared" ca="1" si="129"/>
        <v>ON</v>
      </c>
      <c r="AE272" s="1"/>
      <c r="AF272" s="20" t="str">
        <f t="shared" ca="1" si="130"/>
        <v>ON</v>
      </c>
      <c r="AG272" s="20" t="str">
        <f t="shared" ca="1" si="130"/>
        <v>ON</v>
      </c>
      <c r="AH272" s="1" t="str">
        <f t="shared" ca="1" si="131"/>
        <v>ON</v>
      </c>
      <c r="AI272" s="1" t="str">
        <f t="shared" ca="1" si="132"/>
        <v>ON</v>
      </c>
      <c r="AJ272" s="1" t="str">
        <f t="shared" ca="1" si="133"/>
        <v>ON</v>
      </c>
      <c r="AK272" s="1" t="str">
        <f t="shared" ca="1" si="134"/>
        <v>OFF</v>
      </c>
      <c r="AL272" s="1"/>
      <c r="AM272" s="20" t="str">
        <f t="shared" si="135"/>
        <v>ON</v>
      </c>
      <c r="AN272" s="20" t="str">
        <f t="shared" si="135"/>
        <v>ON</v>
      </c>
      <c r="AO272" s="20" t="str">
        <f t="shared" si="136"/>
        <v>ON</v>
      </c>
    </row>
    <row r="273" spans="1:41">
      <c r="A273" t="str">
        <f t="shared" ca="1" si="110"/>
        <v>Ogun</v>
      </c>
      <c r="B273" t="str">
        <f t="shared" ca="1" si="111"/>
        <v>D</v>
      </c>
      <c r="C273" t="str">
        <f t="shared" ca="1" si="112"/>
        <v>C1</v>
      </c>
      <c r="D273" s="8" t="s">
        <v>4</v>
      </c>
      <c r="E273">
        <f t="shared" ca="1" si="113"/>
        <v>25</v>
      </c>
      <c r="F273">
        <f t="shared" ca="1" si="114"/>
        <v>2</v>
      </c>
      <c r="G273" t="str" cm="1">
        <f t="array" ref="G273:G276">IF($G$5:$G$8={"A";"B";"C";"D"},{"D";"C";"B";"A"},{"A";"B";"C";"D"})</f>
        <v>D</v>
      </c>
      <c r="H273" t="str" cm="1">
        <f t="array" ref="H273:H276">IF($H$5:$H$8={"A";"B";"C";"D"},{"D";"C";"B";"A"},{"A";"B";"C";"D"})</f>
        <v>D</v>
      </c>
      <c r="I273" t="str">
        <f ca="1">IF($A273="","",IF(COUNTA($K$2:$P$2)=6,"WK "&amp;_xlfn.ISOWEEKNUM($K$2)))</f>
        <v>WK 18</v>
      </c>
      <c r="J273" t="str">
        <f ca="1">IF($A273="","",IF(COUNTA($Y$2:$AD$2)=6,"WK "&amp;_xlfn.ISOWEEKNUM($Y$2)))</f>
        <v>WK 20</v>
      </c>
      <c r="K273" s="20" t="str">
        <f t="shared" ca="1" si="115"/>
        <v>ON</v>
      </c>
      <c r="L273" s="20" t="str">
        <f t="shared" ca="1" si="115"/>
        <v>ON</v>
      </c>
      <c r="M273" s="1" t="str">
        <f t="shared" ca="1" si="116"/>
        <v>ON</v>
      </c>
      <c r="N273" s="1" t="str">
        <f t="shared" ca="1" si="117"/>
        <v>ON</v>
      </c>
      <c r="O273" s="1" t="str">
        <f t="shared" ca="1" si="118"/>
        <v>ON</v>
      </c>
      <c r="P273" s="1" t="str">
        <f t="shared" ca="1" si="119"/>
        <v>OFF</v>
      </c>
      <c r="Q273" s="1"/>
      <c r="R273" s="20" t="str">
        <f t="shared" ca="1" si="120"/>
        <v>ON</v>
      </c>
      <c r="S273" s="20" t="str">
        <f t="shared" ca="1" si="120"/>
        <v>ON</v>
      </c>
      <c r="T273" s="1" t="str">
        <f t="shared" ca="1" si="121"/>
        <v>ON</v>
      </c>
      <c r="U273" s="1" t="str">
        <f t="shared" ca="1" si="122"/>
        <v>ON</v>
      </c>
      <c r="V273" s="1" t="str">
        <f t="shared" ca="1" si="123"/>
        <v>ON</v>
      </c>
      <c r="W273" s="1" t="str">
        <f t="shared" ca="1" si="124"/>
        <v>ON</v>
      </c>
      <c r="X273" s="1"/>
      <c r="Y273" s="20" t="str">
        <f t="shared" ca="1" si="125"/>
        <v>ON</v>
      </c>
      <c r="Z273" s="20" t="str">
        <f t="shared" ca="1" si="125"/>
        <v>ON</v>
      </c>
      <c r="AA273" s="1" t="str">
        <f t="shared" ca="1" si="126"/>
        <v>ON</v>
      </c>
      <c r="AB273" s="1" t="str">
        <f t="shared" ca="1" si="127"/>
        <v>ON</v>
      </c>
      <c r="AC273" s="1" t="str">
        <f t="shared" ca="1" si="128"/>
        <v>ON</v>
      </c>
      <c r="AD273" s="1" t="str">
        <f t="shared" ca="1" si="129"/>
        <v>OFF</v>
      </c>
      <c r="AE273" s="1"/>
      <c r="AF273" s="20" t="str">
        <f t="shared" ca="1" si="130"/>
        <v>ON</v>
      </c>
      <c r="AG273" s="20" t="str">
        <f t="shared" ca="1" si="130"/>
        <v>ON</v>
      </c>
      <c r="AH273" s="1" t="str">
        <f t="shared" ca="1" si="131"/>
        <v>ON</v>
      </c>
      <c r="AI273" s="1" t="str">
        <f t="shared" ca="1" si="132"/>
        <v>ON</v>
      </c>
      <c r="AJ273" s="1" t="str">
        <f t="shared" ca="1" si="133"/>
        <v>ON</v>
      </c>
      <c r="AK273" s="1" t="str">
        <f t="shared" ca="1" si="134"/>
        <v>ON</v>
      </c>
      <c r="AL273" s="1"/>
      <c r="AM273" s="20" t="str">
        <f t="shared" si="135"/>
        <v>ON</v>
      </c>
      <c r="AN273" s="20" t="str">
        <f t="shared" si="135"/>
        <v>ON</v>
      </c>
      <c r="AO273" s="20" t="str">
        <f t="shared" si="136"/>
        <v>ON</v>
      </c>
    </row>
    <row r="274" spans="1:41">
      <c r="A274" t="str">
        <f t="shared" ca="1" si="110"/>
        <v>Ekiti</v>
      </c>
      <c r="B274" t="str">
        <f t="shared" ca="1" si="111"/>
        <v>B</v>
      </c>
      <c r="C274" t="str">
        <f t="shared" ca="1" si="112"/>
        <v>C1</v>
      </c>
      <c r="D274" s="8" t="s">
        <v>4</v>
      </c>
      <c r="E274">
        <f t="shared" ca="1" si="113"/>
        <v>25</v>
      </c>
      <c r="F274">
        <f t="shared" ca="1" si="114"/>
        <v>2</v>
      </c>
      <c r="G274" t="str">
        <v>C</v>
      </c>
      <c r="H274" t="str">
        <v>C</v>
      </c>
      <c r="I274" t="str">
        <f ca="1">IF($A274="","",IF(COUNTA($R$2:$W$2)=6,"WK "&amp;_xlfn.ISOWEEKNUM($R$2)))</f>
        <v>WK 19</v>
      </c>
      <c r="J274" t="str">
        <f ca="1">IF($A274="","",IF(COUNTA($AF$2:$AK$2)=6,"WK "&amp;_xlfn.ISOWEEKNUM($AF$2)))</f>
        <v>WK 21</v>
      </c>
      <c r="K274" s="20" t="str">
        <f t="shared" ca="1" si="115"/>
        <v>ON</v>
      </c>
      <c r="L274" s="20" t="str">
        <f t="shared" ca="1" si="115"/>
        <v>ON</v>
      </c>
      <c r="M274" s="1" t="str">
        <f t="shared" ca="1" si="116"/>
        <v>ON</v>
      </c>
      <c r="N274" s="1" t="str">
        <f t="shared" ca="1" si="117"/>
        <v>ON</v>
      </c>
      <c r="O274" s="1" t="str">
        <f t="shared" ca="1" si="118"/>
        <v>ON</v>
      </c>
      <c r="P274" s="1" t="str">
        <f t="shared" ca="1" si="119"/>
        <v>ON</v>
      </c>
      <c r="Q274" s="1"/>
      <c r="R274" s="20" t="str">
        <f t="shared" ca="1" si="120"/>
        <v>ON</v>
      </c>
      <c r="S274" s="20" t="str">
        <f t="shared" ca="1" si="120"/>
        <v>ON</v>
      </c>
      <c r="T274" s="1" t="str">
        <f t="shared" ca="1" si="121"/>
        <v>ON</v>
      </c>
      <c r="U274" s="1" t="str">
        <f t="shared" ca="1" si="122"/>
        <v>ON</v>
      </c>
      <c r="V274" s="1" t="str">
        <f t="shared" ca="1" si="123"/>
        <v>OFF</v>
      </c>
      <c r="W274" s="1" t="str">
        <f t="shared" ca="1" si="124"/>
        <v>ON</v>
      </c>
      <c r="X274" s="1"/>
      <c r="Y274" s="20" t="str">
        <f t="shared" ca="1" si="125"/>
        <v>ON</v>
      </c>
      <c r="Z274" s="20" t="str">
        <f t="shared" ca="1" si="125"/>
        <v>ON</v>
      </c>
      <c r="AA274" s="1" t="str">
        <f t="shared" ca="1" si="126"/>
        <v>ON</v>
      </c>
      <c r="AB274" s="1" t="str">
        <f t="shared" ca="1" si="127"/>
        <v>ON</v>
      </c>
      <c r="AC274" s="1" t="str">
        <f t="shared" ca="1" si="128"/>
        <v>ON</v>
      </c>
      <c r="AD274" s="1" t="str">
        <f t="shared" ca="1" si="129"/>
        <v>ON</v>
      </c>
      <c r="AE274" s="1"/>
      <c r="AF274" s="20" t="str">
        <f t="shared" ca="1" si="130"/>
        <v>ON</v>
      </c>
      <c r="AG274" s="20" t="str">
        <f t="shared" ca="1" si="130"/>
        <v>ON</v>
      </c>
      <c r="AH274" s="1" t="str">
        <f t="shared" ca="1" si="131"/>
        <v>ON</v>
      </c>
      <c r="AI274" s="1" t="str">
        <f t="shared" ca="1" si="132"/>
        <v>ON</v>
      </c>
      <c r="AJ274" s="1" t="str">
        <f t="shared" ca="1" si="133"/>
        <v>OFF</v>
      </c>
      <c r="AK274" s="1" t="str">
        <f t="shared" ca="1" si="134"/>
        <v>ON</v>
      </c>
      <c r="AL274" s="1"/>
      <c r="AM274" s="20" t="str">
        <f t="shared" si="135"/>
        <v>ON</v>
      </c>
      <c r="AN274" s="20" t="str">
        <f t="shared" si="135"/>
        <v>ON</v>
      </c>
      <c r="AO274" s="20" t="str">
        <f t="shared" si="136"/>
        <v>ON</v>
      </c>
    </row>
    <row r="275" spans="1:41">
      <c r="A275" t="str">
        <f t="shared" ca="1" si="110"/>
        <v>Ogun</v>
      </c>
      <c r="B275" t="str">
        <f t="shared" ca="1" si="111"/>
        <v>E</v>
      </c>
      <c r="C275" t="str">
        <f t="shared" ca="1" si="112"/>
        <v>B1</v>
      </c>
      <c r="D275" s="8" t="s">
        <v>4</v>
      </c>
      <c r="E275">
        <f t="shared" ca="1" si="113"/>
        <v>25</v>
      </c>
      <c r="F275">
        <f t="shared" ca="1" si="114"/>
        <v>2</v>
      </c>
      <c r="G275" t="str">
        <v>B</v>
      </c>
      <c r="H275" t="str">
        <v>B</v>
      </c>
      <c r="I275" t="str">
        <f ca="1">IF($A275="","",IF(COUNTA($K$2:$P$2)=6,"WK "&amp;_xlfn.ISOWEEKNUM($K$2)))</f>
        <v>WK 18</v>
      </c>
      <c r="J275" t="str">
        <f ca="1">IF($A275="","",IF(COUNTA($Y$2:$AD$2)=6,"WK "&amp;_xlfn.ISOWEEKNUM($Y$2)))</f>
        <v>WK 20</v>
      </c>
      <c r="K275" s="20" t="str">
        <f t="shared" ca="1" si="115"/>
        <v>ON</v>
      </c>
      <c r="L275" s="20" t="str">
        <f t="shared" ca="1" si="115"/>
        <v>ON</v>
      </c>
      <c r="M275" s="1" t="str">
        <f t="shared" ca="1" si="116"/>
        <v>ON</v>
      </c>
      <c r="N275" s="1" t="str">
        <f t="shared" ca="1" si="117"/>
        <v>OFF</v>
      </c>
      <c r="O275" s="1" t="str">
        <f t="shared" ca="1" si="118"/>
        <v>ON</v>
      </c>
      <c r="P275" s="1" t="str">
        <f t="shared" ca="1" si="119"/>
        <v>ON</v>
      </c>
      <c r="Q275" s="1"/>
      <c r="R275" s="20" t="str">
        <f t="shared" ca="1" si="120"/>
        <v>ON</v>
      </c>
      <c r="S275" s="20" t="str">
        <f t="shared" ca="1" si="120"/>
        <v>ON</v>
      </c>
      <c r="T275" s="1" t="str">
        <f t="shared" ca="1" si="121"/>
        <v>ON</v>
      </c>
      <c r="U275" s="1" t="str">
        <f t="shared" ca="1" si="122"/>
        <v>ON</v>
      </c>
      <c r="V275" s="1" t="str">
        <f t="shared" ca="1" si="123"/>
        <v>ON</v>
      </c>
      <c r="W275" s="1" t="str">
        <f t="shared" ca="1" si="124"/>
        <v>ON</v>
      </c>
      <c r="X275" s="1"/>
      <c r="Y275" s="20" t="str">
        <f t="shared" ca="1" si="125"/>
        <v>ON</v>
      </c>
      <c r="Z275" s="20" t="str">
        <f t="shared" ca="1" si="125"/>
        <v>ON</v>
      </c>
      <c r="AA275" s="1" t="str">
        <f t="shared" ca="1" si="126"/>
        <v>ON</v>
      </c>
      <c r="AB275" s="1" t="str">
        <f t="shared" ca="1" si="127"/>
        <v>OFF</v>
      </c>
      <c r="AC275" s="1" t="str">
        <f t="shared" ca="1" si="128"/>
        <v>ON</v>
      </c>
      <c r="AD275" s="1" t="str">
        <f t="shared" ca="1" si="129"/>
        <v>ON</v>
      </c>
      <c r="AE275" s="1"/>
      <c r="AF275" s="20" t="str">
        <f t="shared" ca="1" si="130"/>
        <v>ON</v>
      </c>
      <c r="AG275" s="20" t="str">
        <f t="shared" ca="1" si="130"/>
        <v>ON</v>
      </c>
      <c r="AH275" s="1" t="str">
        <f t="shared" ca="1" si="131"/>
        <v>ON</v>
      </c>
      <c r="AI275" s="1" t="str">
        <f t="shared" ca="1" si="132"/>
        <v>ON</v>
      </c>
      <c r="AJ275" s="1" t="str">
        <f t="shared" ca="1" si="133"/>
        <v>ON</v>
      </c>
      <c r="AK275" s="1" t="str">
        <f t="shared" ca="1" si="134"/>
        <v>ON</v>
      </c>
      <c r="AL275" s="1"/>
      <c r="AM275" s="20" t="str">
        <f t="shared" si="135"/>
        <v>ON</v>
      </c>
      <c r="AN275" s="20" t="str">
        <f t="shared" si="135"/>
        <v>ON</v>
      </c>
      <c r="AO275" s="20" t="str">
        <f t="shared" si="136"/>
        <v>ON</v>
      </c>
    </row>
    <row r="276" spans="1:41">
      <c r="A276" t="str">
        <f t="shared" ca="1" si="110"/>
        <v>Oyo</v>
      </c>
      <c r="B276" t="str">
        <f t="shared" ca="1" si="111"/>
        <v>B</v>
      </c>
      <c r="C276" t="str">
        <f t="shared" ca="1" si="112"/>
        <v>C1</v>
      </c>
      <c r="D276" s="8" t="s">
        <v>4</v>
      </c>
      <c r="E276">
        <f t="shared" ca="1" si="113"/>
        <v>25</v>
      </c>
      <c r="F276">
        <f t="shared" ca="1" si="114"/>
        <v>2</v>
      </c>
      <c r="G276" t="str">
        <v>A</v>
      </c>
      <c r="H276" t="str">
        <v>A</v>
      </c>
      <c r="I276" t="str">
        <f ca="1">IF($A276="","",IF(COUNTA($R$2:$W$2)=6,"WK "&amp;_xlfn.ISOWEEKNUM($R$2)))</f>
        <v>WK 19</v>
      </c>
      <c r="J276" t="str">
        <f ca="1">IF($A276="","",IF(COUNTA($AF$2:$AK$2)=6,"WK "&amp;_xlfn.ISOWEEKNUM($AF$2)))</f>
        <v>WK 21</v>
      </c>
      <c r="K276" s="20" t="str">
        <f t="shared" ca="1" si="115"/>
        <v>ON</v>
      </c>
      <c r="L276" s="20" t="str">
        <f t="shared" ca="1" si="115"/>
        <v>ON</v>
      </c>
      <c r="M276" s="1" t="str">
        <f t="shared" ca="1" si="116"/>
        <v>ON</v>
      </c>
      <c r="N276" s="1" t="str">
        <f t="shared" ca="1" si="117"/>
        <v>ON</v>
      </c>
      <c r="O276" s="1" t="str">
        <f t="shared" ca="1" si="118"/>
        <v>ON</v>
      </c>
      <c r="P276" s="1" t="str">
        <f t="shared" ca="1" si="119"/>
        <v>ON</v>
      </c>
      <c r="Q276" s="1"/>
      <c r="R276" s="20" t="str">
        <f t="shared" ca="1" si="120"/>
        <v>ON</v>
      </c>
      <c r="S276" s="20" t="str">
        <f t="shared" ca="1" si="120"/>
        <v>ON</v>
      </c>
      <c r="T276" s="1" t="str">
        <f t="shared" ca="1" si="121"/>
        <v>OFF</v>
      </c>
      <c r="U276" s="1" t="str">
        <f t="shared" ca="1" si="122"/>
        <v>ON</v>
      </c>
      <c r="V276" s="1" t="str">
        <f t="shared" ca="1" si="123"/>
        <v>ON</v>
      </c>
      <c r="W276" s="1" t="str">
        <f t="shared" ca="1" si="124"/>
        <v>ON</v>
      </c>
      <c r="X276" s="1"/>
      <c r="Y276" s="20" t="str">
        <f t="shared" ca="1" si="125"/>
        <v>ON</v>
      </c>
      <c r="Z276" s="20" t="str">
        <f t="shared" ca="1" si="125"/>
        <v>ON</v>
      </c>
      <c r="AA276" s="1" t="str">
        <f t="shared" ca="1" si="126"/>
        <v>ON</v>
      </c>
      <c r="AB276" s="1" t="str">
        <f t="shared" ca="1" si="127"/>
        <v>ON</v>
      </c>
      <c r="AC276" s="1" t="str">
        <f t="shared" ca="1" si="128"/>
        <v>ON</v>
      </c>
      <c r="AD276" s="1" t="str">
        <f t="shared" ca="1" si="129"/>
        <v>ON</v>
      </c>
      <c r="AE276" s="1"/>
      <c r="AF276" s="20" t="str">
        <f t="shared" ca="1" si="130"/>
        <v>ON</v>
      </c>
      <c r="AG276" s="20" t="str">
        <f t="shared" ca="1" si="130"/>
        <v>ON</v>
      </c>
      <c r="AH276" s="1" t="str">
        <f t="shared" ca="1" si="131"/>
        <v>OFF</v>
      </c>
      <c r="AI276" s="1" t="str">
        <f t="shared" ca="1" si="132"/>
        <v>ON</v>
      </c>
      <c r="AJ276" s="1" t="str">
        <f t="shared" ca="1" si="133"/>
        <v>ON</v>
      </c>
      <c r="AK276" s="1" t="str">
        <f t="shared" ca="1" si="134"/>
        <v>ON</v>
      </c>
      <c r="AL276" s="1"/>
      <c r="AM276" s="20" t="str">
        <f t="shared" si="135"/>
        <v>ON</v>
      </c>
      <c r="AN276" s="20" t="str">
        <f t="shared" si="135"/>
        <v>ON</v>
      </c>
      <c r="AO276" s="20" t="str">
        <f t="shared" si="136"/>
        <v>ON</v>
      </c>
    </row>
    <row r="277" spans="1:41">
      <c r="A277" t="str">
        <f t="shared" ca="1" si="110"/>
        <v>Oyo</v>
      </c>
      <c r="B277" t="str">
        <f t="shared" ca="1" si="111"/>
        <v>B</v>
      </c>
      <c r="C277" t="str">
        <f t="shared" ca="1" si="112"/>
        <v>E1</v>
      </c>
      <c r="D277" s="8" t="s">
        <v>4</v>
      </c>
      <c r="E277">
        <f t="shared" ca="1" si="113"/>
        <v>25</v>
      </c>
      <c r="F277">
        <f t="shared" ca="1" si="114"/>
        <v>2</v>
      </c>
      <c r="G277" t="str" cm="1">
        <f t="array" ref="G277:G280">Groups!$B$2:$B$5</f>
        <v>A</v>
      </c>
      <c r="H277" t="str" cm="1">
        <f t="array" ref="H277:H280">Groups!$B$2:$B$5</f>
        <v>A</v>
      </c>
      <c r="I277" t="str">
        <f ca="1">IF($A277="","",IF(COUNTA($K$2:$P$2)=6,"WK "&amp;_xlfn.ISOWEEKNUM($K$2)))</f>
        <v>WK 18</v>
      </c>
      <c r="J277" t="str">
        <f ca="1">IF($A277="","",IF(COUNTA($Y$2:$AD$2)=6,"WK "&amp;_xlfn.ISOWEEKNUM($Y$2)))</f>
        <v>WK 20</v>
      </c>
      <c r="K277" s="20" t="str">
        <f t="shared" ca="1" si="115"/>
        <v>ON</v>
      </c>
      <c r="L277" s="20" t="str">
        <f t="shared" ca="1" si="115"/>
        <v>ON</v>
      </c>
      <c r="M277" s="1" t="str">
        <f t="shared" ca="1" si="116"/>
        <v>OFF</v>
      </c>
      <c r="N277" s="1" t="str">
        <f t="shared" ca="1" si="117"/>
        <v>ON</v>
      </c>
      <c r="O277" s="1" t="str">
        <f t="shared" ca="1" si="118"/>
        <v>ON</v>
      </c>
      <c r="P277" s="1" t="str">
        <f t="shared" ca="1" si="119"/>
        <v>ON</v>
      </c>
      <c r="Q277" s="1"/>
      <c r="R277" s="20" t="str">
        <f t="shared" ca="1" si="120"/>
        <v>ON</v>
      </c>
      <c r="S277" s="20" t="str">
        <f t="shared" ca="1" si="120"/>
        <v>ON</v>
      </c>
      <c r="T277" s="1" t="str">
        <f t="shared" ca="1" si="121"/>
        <v>ON</v>
      </c>
      <c r="U277" s="1" t="str">
        <f t="shared" ca="1" si="122"/>
        <v>ON</v>
      </c>
      <c r="V277" s="1" t="str">
        <f t="shared" ca="1" si="123"/>
        <v>ON</v>
      </c>
      <c r="W277" s="1" t="str">
        <f t="shared" ca="1" si="124"/>
        <v>ON</v>
      </c>
      <c r="X277" s="1"/>
      <c r="Y277" s="20" t="str">
        <f t="shared" ca="1" si="125"/>
        <v>ON</v>
      </c>
      <c r="Z277" s="20" t="str">
        <f t="shared" ca="1" si="125"/>
        <v>ON</v>
      </c>
      <c r="AA277" s="1" t="str">
        <f t="shared" ca="1" si="126"/>
        <v>OFF</v>
      </c>
      <c r="AB277" s="1" t="str">
        <f t="shared" ca="1" si="127"/>
        <v>ON</v>
      </c>
      <c r="AC277" s="1" t="str">
        <f t="shared" ca="1" si="128"/>
        <v>ON</v>
      </c>
      <c r="AD277" s="1" t="str">
        <f t="shared" ca="1" si="129"/>
        <v>ON</v>
      </c>
      <c r="AE277" s="1"/>
      <c r="AF277" s="20" t="str">
        <f t="shared" ca="1" si="130"/>
        <v>ON</v>
      </c>
      <c r="AG277" s="20" t="str">
        <f t="shared" ca="1" si="130"/>
        <v>ON</v>
      </c>
      <c r="AH277" s="1" t="str">
        <f t="shared" ca="1" si="131"/>
        <v>ON</v>
      </c>
      <c r="AI277" s="1" t="str">
        <f t="shared" ca="1" si="132"/>
        <v>ON</v>
      </c>
      <c r="AJ277" s="1" t="str">
        <f t="shared" ca="1" si="133"/>
        <v>ON</v>
      </c>
      <c r="AK277" s="1" t="str">
        <f t="shared" ca="1" si="134"/>
        <v>ON</v>
      </c>
      <c r="AL277" s="1"/>
      <c r="AM277" s="20" t="str">
        <f t="shared" si="135"/>
        <v>ON</v>
      </c>
      <c r="AN277" s="20" t="str">
        <f t="shared" si="135"/>
        <v>ON</v>
      </c>
      <c r="AO277" s="20" t="str">
        <f t="shared" si="136"/>
        <v>ON</v>
      </c>
    </row>
    <row r="278" spans="1:41">
      <c r="A278" t="str">
        <f t="shared" ca="1" si="110"/>
        <v>Ondo</v>
      </c>
      <c r="B278" t="str">
        <f t="shared" ca="1" si="111"/>
        <v>C</v>
      </c>
      <c r="C278" t="str">
        <f t="shared" ca="1" si="112"/>
        <v>A1</v>
      </c>
      <c r="D278" s="8" t="s">
        <v>4</v>
      </c>
      <c r="E278">
        <f t="shared" ca="1" si="113"/>
        <v>25</v>
      </c>
      <c r="F278">
        <f t="shared" ca="1" si="114"/>
        <v>2</v>
      </c>
      <c r="G278" t="str">
        <v>B</v>
      </c>
      <c r="H278" t="str">
        <v>B</v>
      </c>
      <c r="I278" t="str">
        <f ca="1">IF($A278="","",IF(COUNTA($R$2:$W$2)=6,"WK "&amp;_xlfn.ISOWEEKNUM($R$2)))</f>
        <v>WK 19</v>
      </c>
      <c r="J278" t="str">
        <f ca="1">IF($A278="","",IF(COUNTA($AF$2:$AK$2)=6,"WK "&amp;_xlfn.ISOWEEKNUM($AF$2)))</f>
        <v>WK 21</v>
      </c>
      <c r="K278" s="20" t="str">
        <f t="shared" ca="1" si="115"/>
        <v>ON</v>
      </c>
      <c r="L278" s="20" t="str">
        <f t="shared" ca="1" si="115"/>
        <v>ON</v>
      </c>
      <c r="M278" s="1" t="str">
        <f t="shared" ca="1" si="116"/>
        <v>ON</v>
      </c>
      <c r="N278" s="1" t="str">
        <f t="shared" ca="1" si="117"/>
        <v>ON</v>
      </c>
      <c r="O278" s="1" t="str">
        <f t="shared" ca="1" si="118"/>
        <v>ON</v>
      </c>
      <c r="P278" s="1" t="str">
        <f t="shared" ca="1" si="119"/>
        <v>ON</v>
      </c>
      <c r="Q278" s="1"/>
      <c r="R278" s="20" t="str">
        <f t="shared" ca="1" si="120"/>
        <v>ON</v>
      </c>
      <c r="S278" s="20" t="str">
        <f t="shared" ca="1" si="120"/>
        <v>ON</v>
      </c>
      <c r="T278" s="1" t="str">
        <f t="shared" ca="1" si="121"/>
        <v>ON</v>
      </c>
      <c r="U278" s="1" t="str">
        <f t="shared" ca="1" si="122"/>
        <v>OFF</v>
      </c>
      <c r="V278" s="1" t="str">
        <f t="shared" ca="1" si="123"/>
        <v>ON</v>
      </c>
      <c r="W278" s="1" t="str">
        <f t="shared" ca="1" si="124"/>
        <v>ON</v>
      </c>
      <c r="X278" s="1"/>
      <c r="Y278" s="20" t="str">
        <f t="shared" ca="1" si="125"/>
        <v>ON</v>
      </c>
      <c r="Z278" s="20" t="str">
        <f t="shared" ca="1" si="125"/>
        <v>ON</v>
      </c>
      <c r="AA278" s="1" t="str">
        <f t="shared" ca="1" si="126"/>
        <v>ON</v>
      </c>
      <c r="AB278" s="1" t="str">
        <f t="shared" ca="1" si="127"/>
        <v>ON</v>
      </c>
      <c r="AC278" s="1" t="str">
        <f t="shared" ca="1" si="128"/>
        <v>ON</v>
      </c>
      <c r="AD278" s="1" t="str">
        <f t="shared" ca="1" si="129"/>
        <v>ON</v>
      </c>
      <c r="AE278" s="1"/>
      <c r="AF278" s="20" t="str">
        <f t="shared" ca="1" si="130"/>
        <v>ON</v>
      </c>
      <c r="AG278" s="20" t="str">
        <f t="shared" ca="1" si="130"/>
        <v>ON</v>
      </c>
      <c r="AH278" s="1" t="str">
        <f t="shared" ca="1" si="131"/>
        <v>ON</v>
      </c>
      <c r="AI278" s="1" t="str">
        <f t="shared" ca="1" si="132"/>
        <v>OFF</v>
      </c>
      <c r="AJ278" s="1" t="str">
        <f t="shared" ca="1" si="133"/>
        <v>ON</v>
      </c>
      <c r="AK278" s="1" t="str">
        <f t="shared" ca="1" si="134"/>
        <v>ON</v>
      </c>
      <c r="AL278" s="1"/>
      <c r="AM278" s="20" t="str">
        <f t="shared" si="135"/>
        <v>ON</v>
      </c>
      <c r="AN278" s="20" t="str">
        <f t="shared" si="135"/>
        <v>ON</v>
      </c>
      <c r="AO278" s="20" t="str">
        <f t="shared" si="136"/>
        <v>ON</v>
      </c>
    </row>
    <row r="279" spans="1:41">
      <c r="A279" t="str">
        <f t="shared" ca="1" si="110"/>
        <v>Ekiti</v>
      </c>
      <c r="B279" t="str">
        <f t="shared" ca="1" si="111"/>
        <v>B</v>
      </c>
      <c r="C279" t="str">
        <f t="shared" ca="1" si="112"/>
        <v>C1</v>
      </c>
      <c r="D279" t="s">
        <v>5</v>
      </c>
      <c r="E279">
        <f t="shared" ca="1" si="113"/>
        <v>25</v>
      </c>
      <c r="F279">
        <f t="shared" ca="1" si="114"/>
        <v>2</v>
      </c>
      <c r="G279" t="str">
        <v>C</v>
      </c>
      <c r="H279" t="str">
        <v>C</v>
      </c>
      <c r="I279" t="str">
        <f ca="1">IF($A279="","",IF(COUNTA($K$2:$P$2)=6,"WK "&amp;_xlfn.ISOWEEKNUM($K$2)))</f>
        <v>WK 18</v>
      </c>
      <c r="J279" t="str">
        <f ca="1">IF($A279="","",IF(COUNTA($Y$2:$AD$2)=6,"WK "&amp;_xlfn.ISOWEEKNUM($Y$2)))</f>
        <v>WK 20</v>
      </c>
      <c r="K279" s="20" t="str">
        <f t="shared" ca="1" si="115"/>
        <v>ON</v>
      </c>
      <c r="L279" s="20" t="str">
        <f t="shared" ca="1" si="115"/>
        <v>ON</v>
      </c>
      <c r="M279" s="1" t="str">
        <f t="shared" ca="1" si="116"/>
        <v>ON</v>
      </c>
      <c r="N279" s="1" t="str">
        <f t="shared" ca="1" si="117"/>
        <v>ON</v>
      </c>
      <c r="O279" s="1" t="str">
        <f t="shared" ca="1" si="118"/>
        <v>OFF</v>
      </c>
      <c r="P279" s="1" t="str">
        <f t="shared" ca="1" si="119"/>
        <v>ON</v>
      </c>
      <c r="Q279" s="1"/>
      <c r="R279" s="20" t="str">
        <f t="shared" ca="1" si="120"/>
        <v>ON</v>
      </c>
      <c r="S279" s="20" t="str">
        <f t="shared" ca="1" si="120"/>
        <v>ON</v>
      </c>
      <c r="T279" s="1" t="str">
        <f t="shared" ca="1" si="121"/>
        <v>ON</v>
      </c>
      <c r="U279" s="1" t="str">
        <f t="shared" ca="1" si="122"/>
        <v>ON</v>
      </c>
      <c r="V279" s="1" t="str">
        <f t="shared" ca="1" si="123"/>
        <v>ON</v>
      </c>
      <c r="W279" s="1" t="str">
        <f t="shared" ca="1" si="124"/>
        <v>ON</v>
      </c>
      <c r="X279" s="1"/>
      <c r="Y279" s="20" t="str">
        <f t="shared" ca="1" si="125"/>
        <v>ON</v>
      </c>
      <c r="Z279" s="20" t="str">
        <f t="shared" ca="1" si="125"/>
        <v>ON</v>
      </c>
      <c r="AA279" s="1" t="str">
        <f t="shared" ca="1" si="126"/>
        <v>ON</v>
      </c>
      <c r="AB279" s="1" t="str">
        <f t="shared" ca="1" si="127"/>
        <v>ON</v>
      </c>
      <c r="AC279" s="1" t="str">
        <f t="shared" ca="1" si="128"/>
        <v>OFF</v>
      </c>
      <c r="AD279" s="1" t="str">
        <f t="shared" ca="1" si="129"/>
        <v>ON</v>
      </c>
      <c r="AE279" s="1"/>
      <c r="AF279" s="20" t="str">
        <f t="shared" ca="1" si="130"/>
        <v>ON</v>
      </c>
      <c r="AG279" s="20" t="str">
        <f t="shared" ca="1" si="130"/>
        <v>ON</v>
      </c>
      <c r="AH279" s="1" t="str">
        <f t="shared" ca="1" si="131"/>
        <v>ON</v>
      </c>
      <c r="AI279" s="1" t="str">
        <f t="shared" ca="1" si="132"/>
        <v>ON</v>
      </c>
      <c r="AJ279" s="1" t="str">
        <f t="shared" ca="1" si="133"/>
        <v>ON</v>
      </c>
      <c r="AK279" s="1" t="str">
        <f t="shared" ca="1" si="134"/>
        <v>ON</v>
      </c>
      <c r="AL279" s="1"/>
      <c r="AM279" s="20" t="str">
        <f t="shared" si="135"/>
        <v>ON</v>
      </c>
      <c r="AN279" s="20" t="str">
        <f t="shared" si="135"/>
        <v>ON</v>
      </c>
      <c r="AO279" s="20" t="str">
        <f t="shared" si="136"/>
        <v>ON</v>
      </c>
    </row>
    <row r="280" spans="1:41">
      <c r="A280" t="str">
        <f t="shared" ca="1" si="110"/>
        <v>Ondo</v>
      </c>
      <c r="B280" t="str">
        <f t="shared" ca="1" si="111"/>
        <v>A</v>
      </c>
      <c r="C280" t="str">
        <f t="shared" ca="1" si="112"/>
        <v>D1</v>
      </c>
      <c r="D280" t="s">
        <v>5</v>
      </c>
      <c r="E280">
        <f t="shared" ca="1" si="113"/>
        <v>25</v>
      </c>
      <c r="F280">
        <f t="shared" ca="1" si="114"/>
        <v>2</v>
      </c>
      <c r="G280" t="str">
        <v>D</v>
      </c>
      <c r="H280" t="str">
        <v>D</v>
      </c>
      <c r="I280" t="str">
        <f ca="1">IF($A280="","",IF(COUNTA($R$2:$W$2)=6,"WK "&amp;_xlfn.ISOWEEKNUM($R$2)))</f>
        <v>WK 19</v>
      </c>
      <c r="J280" t="str">
        <f ca="1">IF($A280="","",IF(COUNTA($AF$2:$AK$2)=6,"WK "&amp;_xlfn.ISOWEEKNUM($AF$2)))</f>
        <v>WK 21</v>
      </c>
      <c r="K280" s="20" t="str">
        <f t="shared" ca="1" si="115"/>
        <v>ON</v>
      </c>
      <c r="L280" s="20" t="str">
        <f t="shared" ca="1" si="115"/>
        <v>ON</v>
      </c>
      <c r="M280" s="1" t="str">
        <f t="shared" ca="1" si="116"/>
        <v>ON</v>
      </c>
      <c r="N280" s="1" t="str">
        <f t="shared" ca="1" si="117"/>
        <v>ON</v>
      </c>
      <c r="O280" s="1" t="str">
        <f t="shared" ca="1" si="118"/>
        <v>ON</v>
      </c>
      <c r="P280" s="1" t="str">
        <f t="shared" ca="1" si="119"/>
        <v>ON</v>
      </c>
      <c r="Q280" s="1"/>
      <c r="R280" s="20" t="str">
        <f t="shared" ca="1" si="120"/>
        <v>ON</v>
      </c>
      <c r="S280" s="20" t="str">
        <f t="shared" ca="1" si="120"/>
        <v>ON</v>
      </c>
      <c r="T280" s="1" t="str">
        <f t="shared" ca="1" si="121"/>
        <v>ON</v>
      </c>
      <c r="U280" s="1" t="str">
        <f t="shared" ca="1" si="122"/>
        <v>ON</v>
      </c>
      <c r="V280" s="1" t="str">
        <f t="shared" ca="1" si="123"/>
        <v>ON</v>
      </c>
      <c r="W280" s="1" t="str">
        <f t="shared" ca="1" si="124"/>
        <v>OFF</v>
      </c>
      <c r="X280" s="1"/>
      <c r="Y280" s="20" t="str">
        <f t="shared" ca="1" si="125"/>
        <v>ON</v>
      </c>
      <c r="Z280" s="20" t="str">
        <f t="shared" ca="1" si="125"/>
        <v>ON</v>
      </c>
      <c r="AA280" s="1" t="str">
        <f t="shared" ca="1" si="126"/>
        <v>ON</v>
      </c>
      <c r="AB280" s="1" t="str">
        <f t="shared" ca="1" si="127"/>
        <v>ON</v>
      </c>
      <c r="AC280" s="1" t="str">
        <f t="shared" ca="1" si="128"/>
        <v>ON</v>
      </c>
      <c r="AD280" s="1" t="str">
        <f t="shared" ca="1" si="129"/>
        <v>ON</v>
      </c>
      <c r="AE280" s="1"/>
      <c r="AF280" s="20" t="str">
        <f t="shared" ca="1" si="130"/>
        <v>ON</v>
      </c>
      <c r="AG280" s="20" t="str">
        <f t="shared" ca="1" si="130"/>
        <v>ON</v>
      </c>
      <c r="AH280" s="1" t="str">
        <f t="shared" ca="1" si="131"/>
        <v>ON</v>
      </c>
      <c r="AI280" s="1" t="str">
        <f t="shared" ca="1" si="132"/>
        <v>ON</v>
      </c>
      <c r="AJ280" s="1" t="str">
        <f t="shared" ca="1" si="133"/>
        <v>ON</v>
      </c>
      <c r="AK280" s="1" t="str">
        <f t="shared" ca="1" si="134"/>
        <v>OFF</v>
      </c>
      <c r="AL280" s="1"/>
      <c r="AM280" s="20" t="str">
        <f t="shared" si="135"/>
        <v>ON</v>
      </c>
      <c r="AN280" s="20" t="str">
        <f t="shared" si="135"/>
        <v>ON</v>
      </c>
      <c r="AO280" s="20" t="str">
        <f t="shared" si="136"/>
        <v>ON</v>
      </c>
    </row>
    <row r="281" spans="1:41">
      <c r="A281" t="str">
        <f t="shared" ca="1" si="110"/>
        <v>Ekiti</v>
      </c>
      <c r="B281" t="str">
        <f t="shared" ca="1" si="111"/>
        <v>C</v>
      </c>
      <c r="C281" t="str">
        <f t="shared" ca="1" si="112"/>
        <v>C1</v>
      </c>
      <c r="D281" t="s">
        <v>5</v>
      </c>
      <c r="E281">
        <f t="shared" ca="1" si="113"/>
        <v>25</v>
      </c>
      <c r="F281">
        <f t="shared" ca="1" si="114"/>
        <v>2</v>
      </c>
      <c r="G281" t="str" cm="1">
        <f t="array" ref="G281:G284">IF($G$5:$G$8={"A";"B";"C";"D"},{"D";"C";"B";"A"},{"A";"B";"C";"D"})</f>
        <v>D</v>
      </c>
      <c r="H281" t="str" cm="1">
        <f t="array" ref="H281:H284">IF($H$5:$H$8={"A";"B";"C";"D"},{"D";"C";"B";"A"},{"A";"B";"C";"D"})</f>
        <v>D</v>
      </c>
      <c r="I281" t="str">
        <f ca="1">IF($A281="","",IF(COUNTA($K$2:$P$2)=6,"WK "&amp;_xlfn.ISOWEEKNUM($K$2)))</f>
        <v>WK 18</v>
      </c>
      <c r="J281" t="str">
        <f ca="1">IF($A281="","",IF(COUNTA($Y$2:$AD$2)=6,"WK "&amp;_xlfn.ISOWEEKNUM($Y$2)))</f>
        <v>WK 20</v>
      </c>
      <c r="K281" s="20" t="str">
        <f t="shared" ca="1" si="115"/>
        <v>ON</v>
      </c>
      <c r="L281" s="20" t="str">
        <f t="shared" ca="1" si="115"/>
        <v>ON</v>
      </c>
      <c r="M281" s="1" t="str">
        <f t="shared" ca="1" si="116"/>
        <v>ON</v>
      </c>
      <c r="N281" s="1" t="str">
        <f t="shared" ca="1" si="117"/>
        <v>ON</v>
      </c>
      <c r="O281" s="1" t="str">
        <f t="shared" ca="1" si="118"/>
        <v>ON</v>
      </c>
      <c r="P281" s="1" t="str">
        <f t="shared" ca="1" si="119"/>
        <v>OFF</v>
      </c>
      <c r="Q281" s="1"/>
      <c r="R281" s="20" t="str">
        <f t="shared" ca="1" si="120"/>
        <v>ON</v>
      </c>
      <c r="S281" s="20" t="str">
        <f t="shared" ca="1" si="120"/>
        <v>ON</v>
      </c>
      <c r="T281" s="1" t="str">
        <f t="shared" ca="1" si="121"/>
        <v>ON</v>
      </c>
      <c r="U281" s="1" t="str">
        <f t="shared" ca="1" si="122"/>
        <v>ON</v>
      </c>
      <c r="V281" s="1" t="str">
        <f t="shared" ca="1" si="123"/>
        <v>ON</v>
      </c>
      <c r="W281" s="1" t="str">
        <f t="shared" ca="1" si="124"/>
        <v>ON</v>
      </c>
      <c r="X281" s="1"/>
      <c r="Y281" s="20" t="str">
        <f t="shared" ca="1" si="125"/>
        <v>ON</v>
      </c>
      <c r="Z281" s="20" t="str">
        <f t="shared" ca="1" si="125"/>
        <v>ON</v>
      </c>
      <c r="AA281" s="1" t="str">
        <f t="shared" ca="1" si="126"/>
        <v>ON</v>
      </c>
      <c r="AB281" s="1" t="str">
        <f t="shared" ca="1" si="127"/>
        <v>ON</v>
      </c>
      <c r="AC281" s="1" t="str">
        <f t="shared" ca="1" si="128"/>
        <v>ON</v>
      </c>
      <c r="AD281" s="1" t="str">
        <f t="shared" ca="1" si="129"/>
        <v>OFF</v>
      </c>
      <c r="AE281" s="1"/>
      <c r="AF281" s="20" t="str">
        <f t="shared" ca="1" si="130"/>
        <v>ON</v>
      </c>
      <c r="AG281" s="20" t="str">
        <f t="shared" ca="1" si="130"/>
        <v>ON</v>
      </c>
      <c r="AH281" s="1" t="str">
        <f t="shared" ca="1" si="131"/>
        <v>ON</v>
      </c>
      <c r="AI281" s="1" t="str">
        <f t="shared" ca="1" si="132"/>
        <v>ON</v>
      </c>
      <c r="AJ281" s="1" t="str">
        <f t="shared" ca="1" si="133"/>
        <v>ON</v>
      </c>
      <c r="AK281" s="1" t="str">
        <f t="shared" ca="1" si="134"/>
        <v>ON</v>
      </c>
      <c r="AL281" s="1"/>
      <c r="AM281" s="20" t="str">
        <f t="shared" si="135"/>
        <v>ON</v>
      </c>
      <c r="AN281" s="20" t="str">
        <f t="shared" si="135"/>
        <v>ON</v>
      </c>
      <c r="AO281" s="20" t="str">
        <f t="shared" si="136"/>
        <v>ON</v>
      </c>
    </row>
    <row r="282" spans="1:41">
      <c r="A282" t="str">
        <f t="shared" ca="1" si="110"/>
        <v>Ogun</v>
      </c>
      <c r="B282" t="str">
        <f t="shared" ca="1" si="111"/>
        <v>A</v>
      </c>
      <c r="C282" t="str">
        <f t="shared" ca="1" si="112"/>
        <v>D1</v>
      </c>
      <c r="D282" t="s">
        <v>5</v>
      </c>
      <c r="E282">
        <f t="shared" ca="1" si="113"/>
        <v>25</v>
      </c>
      <c r="F282">
        <f t="shared" ca="1" si="114"/>
        <v>2</v>
      </c>
      <c r="G282" t="str">
        <v>C</v>
      </c>
      <c r="H282" t="str">
        <v>C</v>
      </c>
      <c r="I282" t="str">
        <f ca="1">IF($A282="","",IF(COUNTA($R$2:$W$2)=6,"WK "&amp;_xlfn.ISOWEEKNUM($R$2)))</f>
        <v>WK 19</v>
      </c>
      <c r="J282" t="str">
        <f ca="1">IF($A282="","",IF(COUNTA($AF$2:$AK$2)=6,"WK "&amp;_xlfn.ISOWEEKNUM($AF$2)))</f>
        <v>WK 21</v>
      </c>
      <c r="K282" s="20" t="str">
        <f t="shared" ca="1" si="115"/>
        <v>ON</v>
      </c>
      <c r="L282" s="20" t="str">
        <f t="shared" ca="1" si="115"/>
        <v>ON</v>
      </c>
      <c r="M282" s="1" t="str">
        <f t="shared" ca="1" si="116"/>
        <v>ON</v>
      </c>
      <c r="N282" s="1" t="str">
        <f t="shared" ca="1" si="117"/>
        <v>ON</v>
      </c>
      <c r="O282" s="1" t="str">
        <f t="shared" ca="1" si="118"/>
        <v>ON</v>
      </c>
      <c r="P282" s="1" t="str">
        <f t="shared" ca="1" si="119"/>
        <v>ON</v>
      </c>
      <c r="Q282" s="1"/>
      <c r="R282" s="20" t="str">
        <f t="shared" ca="1" si="120"/>
        <v>ON</v>
      </c>
      <c r="S282" s="20" t="str">
        <f t="shared" ca="1" si="120"/>
        <v>ON</v>
      </c>
      <c r="T282" s="1" t="str">
        <f t="shared" ca="1" si="121"/>
        <v>ON</v>
      </c>
      <c r="U282" s="1" t="str">
        <f t="shared" ca="1" si="122"/>
        <v>ON</v>
      </c>
      <c r="V282" s="1" t="str">
        <f t="shared" ca="1" si="123"/>
        <v>OFF</v>
      </c>
      <c r="W282" s="1" t="str">
        <f t="shared" ca="1" si="124"/>
        <v>ON</v>
      </c>
      <c r="X282" s="1"/>
      <c r="Y282" s="20" t="str">
        <f t="shared" ca="1" si="125"/>
        <v>ON</v>
      </c>
      <c r="Z282" s="20" t="str">
        <f t="shared" ca="1" si="125"/>
        <v>ON</v>
      </c>
      <c r="AA282" s="1" t="str">
        <f t="shared" ca="1" si="126"/>
        <v>ON</v>
      </c>
      <c r="AB282" s="1" t="str">
        <f t="shared" ca="1" si="127"/>
        <v>ON</v>
      </c>
      <c r="AC282" s="1" t="str">
        <f t="shared" ca="1" si="128"/>
        <v>ON</v>
      </c>
      <c r="AD282" s="1" t="str">
        <f t="shared" ca="1" si="129"/>
        <v>ON</v>
      </c>
      <c r="AE282" s="1"/>
      <c r="AF282" s="20" t="str">
        <f t="shared" ca="1" si="130"/>
        <v>ON</v>
      </c>
      <c r="AG282" s="20" t="str">
        <f t="shared" ca="1" si="130"/>
        <v>ON</v>
      </c>
      <c r="AH282" s="1" t="str">
        <f t="shared" ca="1" si="131"/>
        <v>ON</v>
      </c>
      <c r="AI282" s="1" t="str">
        <f t="shared" ca="1" si="132"/>
        <v>ON</v>
      </c>
      <c r="AJ282" s="1" t="str">
        <f t="shared" ca="1" si="133"/>
        <v>OFF</v>
      </c>
      <c r="AK282" s="1" t="str">
        <f t="shared" ca="1" si="134"/>
        <v>ON</v>
      </c>
      <c r="AL282" s="1"/>
      <c r="AM282" s="20" t="str">
        <f t="shared" si="135"/>
        <v>ON</v>
      </c>
      <c r="AN282" s="20" t="str">
        <f t="shared" si="135"/>
        <v>ON</v>
      </c>
      <c r="AO282" s="20" t="str">
        <f t="shared" si="136"/>
        <v>ON</v>
      </c>
    </row>
    <row r="283" spans="1:41">
      <c r="A283" t="str">
        <f t="shared" ca="1" si="110"/>
        <v>Ogun</v>
      </c>
      <c r="B283" t="str">
        <f t="shared" ca="1" si="111"/>
        <v>A</v>
      </c>
      <c r="C283" t="str">
        <f t="shared" ca="1" si="112"/>
        <v>A1</v>
      </c>
      <c r="D283" t="s">
        <v>5</v>
      </c>
      <c r="E283">
        <f t="shared" ca="1" si="113"/>
        <v>25</v>
      </c>
      <c r="F283">
        <f t="shared" ca="1" si="114"/>
        <v>2</v>
      </c>
      <c r="G283" t="str">
        <v>B</v>
      </c>
      <c r="H283" t="str">
        <v>B</v>
      </c>
      <c r="I283" t="str">
        <f ca="1">IF($A283="","",IF(COUNTA($K$2:$P$2)=6,"WK "&amp;_xlfn.ISOWEEKNUM($K$2)))</f>
        <v>WK 18</v>
      </c>
      <c r="J283" t="str">
        <f ca="1">IF($A283="","",IF(COUNTA($Y$2:$AD$2)=6,"WK "&amp;_xlfn.ISOWEEKNUM($Y$2)))</f>
        <v>WK 20</v>
      </c>
      <c r="K283" s="20" t="str">
        <f t="shared" ca="1" si="115"/>
        <v>ON</v>
      </c>
      <c r="L283" s="20" t="str">
        <f t="shared" ca="1" si="115"/>
        <v>ON</v>
      </c>
      <c r="M283" s="1" t="str">
        <f t="shared" ca="1" si="116"/>
        <v>ON</v>
      </c>
      <c r="N283" s="1" t="str">
        <f t="shared" ca="1" si="117"/>
        <v>OFF</v>
      </c>
      <c r="O283" s="1" t="str">
        <f t="shared" ca="1" si="118"/>
        <v>ON</v>
      </c>
      <c r="P283" s="1" t="str">
        <f t="shared" ca="1" si="119"/>
        <v>ON</v>
      </c>
      <c r="Q283" s="1"/>
      <c r="R283" s="20" t="str">
        <f t="shared" ca="1" si="120"/>
        <v>ON</v>
      </c>
      <c r="S283" s="20" t="str">
        <f t="shared" ca="1" si="120"/>
        <v>ON</v>
      </c>
      <c r="T283" s="1" t="str">
        <f t="shared" ca="1" si="121"/>
        <v>ON</v>
      </c>
      <c r="U283" s="1" t="str">
        <f t="shared" ca="1" si="122"/>
        <v>ON</v>
      </c>
      <c r="V283" s="1" t="str">
        <f t="shared" ca="1" si="123"/>
        <v>ON</v>
      </c>
      <c r="W283" s="1" t="str">
        <f t="shared" ca="1" si="124"/>
        <v>ON</v>
      </c>
      <c r="X283" s="1"/>
      <c r="Y283" s="20" t="str">
        <f t="shared" ca="1" si="125"/>
        <v>ON</v>
      </c>
      <c r="Z283" s="20" t="str">
        <f t="shared" ca="1" si="125"/>
        <v>ON</v>
      </c>
      <c r="AA283" s="1" t="str">
        <f t="shared" ca="1" si="126"/>
        <v>ON</v>
      </c>
      <c r="AB283" s="1" t="str">
        <f t="shared" ca="1" si="127"/>
        <v>OFF</v>
      </c>
      <c r="AC283" s="1" t="str">
        <f t="shared" ca="1" si="128"/>
        <v>ON</v>
      </c>
      <c r="AD283" s="1" t="str">
        <f t="shared" ca="1" si="129"/>
        <v>ON</v>
      </c>
      <c r="AE283" s="1"/>
      <c r="AF283" s="20" t="str">
        <f t="shared" ca="1" si="130"/>
        <v>ON</v>
      </c>
      <c r="AG283" s="20" t="str">
        <f t="shared" ca="1" si="130"/>
        <v>ON</v>
      </c>
      <c r="AH283" s="1" t="str">
        <f t="shared" ca="1" si="131"/>
        <v>ON</v>
      </c>
      <c r="AI283" s="1" t="str">
        <f t="shared" ca="1" si="132"/>
        <v>ON</v>
      </c>
      <c r="AJ283" s="1" t="str">
        <f t="shared" ca="1" si="133"/>
        <v>ON</v>
      </c>
      <c r="AK283" s="1" t="str">
        <f t="shared" ca="1" si="134"/>
        <v>ON</v>
      </c>
      <c r="AL283" s="1"/>
      <c r="AM283" s="20" t="str">
        <f t="shared" si="135"/>
        <v>ON</v>
      </c>
      <c r="AN283" s="20" t="str">
        <f t="shared" si="135"/>
        <v>ON</v>
      </c>
      <c r="AO283" s="20" t="str">
        <f t="shared" si="136"/>
        <v>ON</v>
      </c>
    </row>
    <row r="284" spans="1:41">
      <c r="A284" t="str">
        <f t="shared" ca="1" si="110"/>
        <v>Oyo</v>
      </c>
      <c r="B284" t="str">
        <f t="shared" ca="1" si="111"/>
        <v>B</v>
      </c>
      <c r="C284" t="str">
        <f t="shared" ca="1" si="112"/>
        <v>A1</v>
      </c>
      <c r="D284" s="8" t="s">
        <v>4</v>
      </c>
      <c r="E284">
        <f t="shared" ca="1" si="113"/>
        <v>25</v>
      </c>
      <c r="F284">
        <f t="shared" ca="1" si="114"/>
        <v>2</v>
      </c>
      <c r="G284" t="str">
        <v>A</v>
      </c>
      <c r="H284" t="str">
        <v>A</v>
      </c>
      <c r="I284" t="str">
        <f ca="1">IF($A284="","",IF(COUNTA($R$2:$W$2)=6,"WK "&amp;_xlfn.ISOWEEKNUM($R$2)))</f>
        <v>WK 19</v>
      </c>
      <c r="J284" t="str">
        <f ca="1">IF($A284="","",IF(COUNTA($AF$2:$AK$2)=6,"WK "&amp;_xlfn.ISOWEEKNUM($AF$2)))</f>
        <v>WK 21</v>
      </c>
      <c r="K284" s="20" t="str">
        <f t="shared" ca="1" si="115"/>
        <v>ON</v>
      </c>
      <c r="L284" s="20" t="str">
        <f t="shared" ca="1" si="115"/>
        <v>ON</v>
      </c>
      <c r="M284" s="1" t="str">
        <f t="shared" ca="1" si="116"/>
        <v>ON</v>
      </c>
      <c r="N284" s="1" t="str">
        <f t="shared" ca="1" si="117"/>
        <v>ON</v>
      </c>
      <c r="O284" s="1" t="str">
        <f t="shared" ca="1" si="118"/>
        <v>ON</v>
      </c>
      <c r="P284" s="1" t="str">
        <f t="shared" ca="1" si="119"/>
        <v>ON</v>
      </c>
      <c r="Q284" s="1"/>
      <c r="R284" s="20" t="str">
        <f t="shared" ca="1" si="120"/>
        <v>ON</v>
      </c>
      <c r="S284" s="20" t="str">
        <f t="shared" ca="1" si="120"/>
        <v>ON</v>
      </c>
      <c r="T284" s="1" t="str">
        <f t="shared" ca="1" si="121"/>
        <v>OFF</v>
      </c>
      <c r="U284" s="1" t="str">
        <f t="shared" ca="1" si="122"/>
        <v>ON</v>
      </c>
      <c r="V284" s="1" t="str">
        <f t="shared" ca="1" si="123"/>
        <v>ON</v>
      </c>
      <c r="W284" s="1" t="str">
        <f t="shared" ca="1" si="124"/>
        <v>ON</v>
      </c>
      <c r="X284" s="1"/>
      <c r="Y284" s="20" t="str">
        <f t="shared" ca="1" si="125"/>
        <v>ON</v>
      </c>
      <c r="Z284" s="20" t="str">
        <f t="shared" ca="1" si="125"/>
        <v>ON</v>
      </c>
      <c r="AA284" s="1" t="str">
        <f t="shared" ca="1" si="126"/>
        <v>ON</v>
      </c>
      <c r="AB284" s="1" t="str">
        <f t="shared" ca="1" si="127"/>
        <v>ON</v>
      </c>
      <c r="AC284" s="1" t="str">
        <f t="shared" ca="1" si="128"/>
        <v>ON</v>
      </c>
      <c r="AD284" s="1" t="str">
        <f t="shared" ca="1" si="129"/>
        <v>ON</v>
      </c>
      <c r="AE284" s="1"/>
      <c r="AF284" s="20" t="str">
        <f t="shared" ca="1" si="130"/>
        <v>ON</v>
      </c>
      <c r="AG284" s="20" t="str">
        <f t="shared" ca="1" si="130"/>
        <v>ON</v>
      </c>
      <c r="AH284" s="1" t="str">
        <f t="shared" ca="1" si="131"/>
        <v>OFF</v>
      </c>
      <c r="AI284" s="1" t="str">
        <f t="shared" ca="1" si="132"/>
        <v>ON</v>
      </c>
      <c r="AJ284" s="1" t="str">
        <f t="shared" ca="1" si="133"/>
        <v>ON</v>
      </c>
      <c r="AK284" s="1" t="str">
        <f t="shared" ca="1" si="134"/>
        <v>ON</v>
      </c>
      <c r="AL284" s="1"/>
      <c r="AM284" s="20" t="str">
        <f t="shared" si="135"/>
        <v>ON</v>
      </c>
      <c r="AN284" s="20" t="str">
        <f t="shared" si="135"/>
        <v>ON</v>
      </c>
      <c r="AO284" s="20" t="str">
        <f t="shared" si="136"/>
        <v>ON</v>
      </c>
    </row>
    <row r="285" spans="1:41">
      <c r="A285" t="str">
        <f t="shared" ca="1" si="110"/>
        <v>Ekiti</v>
      </c>
      <c r="B285" t="str">
        <f t="shared" ca="1" si="111"/>
        <v>A</v>
      </c>
      <c r="C285" t="str">
        <f t="shared" ca="1" si="112"/>
        <v>A1</v>
      </c>
      <c r="D285" s="8" t="s">
        <v>4</v>
      </c>
      <c r="E285">
        <f t="shared" ca="1" si="113"/>
        <v>25</v>
      </c>
      <c r="F285">
        <f t="shared" ca="1" si="114"/>
        <v>2</v>
      </c>
      <c r="G285" t="str" cm="1">
        <f t="array" ref="G285:G288">Groups!$B$2:$B$5</f>
        <v>A</v>
      </c>
      <c r="H285" t="str" cm="1">
        <f t="array" ref="H285:H288">Groups!$B$2:$B$5</f>
        <v>A</v>
      </c>
      <c r="I285" t="str">
        <f ca="1">IF($A285="","",IF(COUNTA($K$2:$P$2)=6,"WK "&amp;_xlfn.ISOWEEKNUM($K$2)))</f>
        <v>WK 18</v>
      </c>
      <c r="J285" t="str">
        <f ca="1">IF($A285="","",IF(COUNTA($Y$2:$AD$2)=6,"WK "&amp;_xlfn.ISOWEEKNUM($Y$2)))</f>
        <v>WK 20</v>
      </c>
      <c r="K285" s="20" t="str">
        <f t="shared" ca="1" si="115"/>
        <v>ON</v>
      </c>
      <c r="L285" s="20" t="str">
        <f t="shared" ca="1" si="115"/>
        <v>ON</v>
      </c>
      <c r="M285" s="1" t="str">
        <f t="shared" ca="1" si="116"/>
        <v>OFF</v>
      </c>
      <c r="N285" s="1" t="str">
        <f t="shared" ca="1" si="117"/>
        <v>ON</v>
      </c>
      <c r="O285" s="1" t="str">
        <f t="shared" ca="1" si="118"/>
        <v>ON</v>
      </c>
      <c r="P285" s="1" t="str">
        <f t="shared" ca="1" si="119"/>
        <v>ON</v>
      </c>
      <c r="Q285" s="1"/>
      <c r="R285" s="20" t="str">
        <f t="shared" ca="1" si="120"/>
        <v>ON</v>
      </c>
      <c r="S285" s="20" t="str">
        <f t="shared" ca="1" si="120"/>
        <v>ON</v>
      </c>
      <c r="T285" s="1" t="str">
        <f t="shared" ca="1" si="121"/>
        <v>ON</v>
      </c>
      <c r="U285" s="1" t="str">
        <f t="shared" ca="1" si="122"/>
        <v>ON</v>
      </c>
      <c r="V285" s="1" t="str">
        <f t="shared" ca="1" si="123"/>
        <v>ON</v>
      </c>
      <c r="W285" s="1" t="str">
        <f t="shared" ca="1" si="124"/>
        <v>ON</v>
      </c>
      <c r="X285" s="1"/>
      <c r="Y285" s="20" t="str">
        <f t="shared" ca="1" si="125"/>
        <v>ON</v>
      </c>
      <c r="Z285" s="20" t="str">
        <f t="shared" ca="1" si="125"/>
        <v>ON</v>
      </c>
      <c r="AA285" s="1" t="str">
        <f t="shared" ca="1" si="126"/>
        <v>OFF</v>
      </c>
      <c r="AB285" s="1" t="str">
        <f t="shared" ca="1" si="127"/>
        <v>ON</v>
      </c>
      <c r="AC285" s="1" t="str">
        <f t="shared" ca="1" si="128"/>
        <v>ON</v>
      </c>
      <c r="AD285" s="1" t="str">
        <f t="shared" ca="1" si="129"/>
        <v>ON</v>
      </c>
      <c r="AE285" s="1"/>
      <c r="AF285" s="20" t="str">
        <f t="shared" ca="1" si="130"/>
        <v>ON</v>
      </c>
      <c r="AG285" s="20" t="str">
        <f t="shared" ca="1" si="130"/>
        <v>ON</v>
      </c>
      <c r="AH285" s="1" t="str">
        <f t="shared" ca="1" si="131"/>
        <v>ON</v>
      </c>
      <c r="AI285" s="1" t="str">
        <f t="shared" ca="1" si="132"/>
        <v>ON</v>
      </c>
      <c r="AJ285" s="1" t="str">
        <f t="shared" ca="1" si="133"/>
        <v>ON</v>
      </c>
      <c r="AK285" s="1" t="str">
        <f t="shared" ca="1" si="134"/>
        <v>ON</v>
      </c>
      <c r="AL285" s="1"/>
      <c r="AM285" s="20" t="str">
        <f t="shared" si="135"/>
        <v>ON</v>
      </c>
      <c r="AN285" s="20" t="str">
        <f t="shared" si="135"/>
        <v>ON</v>
      </c>
      <c r="AO285" s="20" t="str">
        <f t="shared" si="136"/>
        <v>ON</v>
      </c>
    </row>
    <row r="286" spans="1:41">
      <c r="A286" t="str">
        <f t="shared" ca="1" si="110"/>
        <v>Ogun</v>
      </c>
      <c r="B286" t="str">
        <f t="shared" ca="1" si="111"/>
        <v>E</v>
      </c>
      <c r="C286" t="str">
        <f t="shared" ca="1" si="112"/>
        <v>D1</v>
      </c>
      <c r="D286" s="8" t="s">
        <v>4</v>
      </c>
      <c r="E286">
        <f t="shared" ca="1" si="113"/>
        <v>25</v>
      </c>
      <c r="F286">
        <f t="shared" ca="1" si="114"/>
        <v>2</v>
      </c>
      <c r="G286" t="str">
        <v>B</v>
      </c>
      <c r="H286" t="str">
        <v>B</v>
      </c>
      <c r="I286" t="str">
        <f ca="1">IF($A286="","",IF(COUNTA($R$2:$W$2)=6,"WK "&amp;_xlfn.ISOWEEKNUM($R$2)))</f>
        <v>WK 19</v>
      </c>
      <c r="J286" t="str">
        <f ca="1">IF($A286="","",IF(COUNTA($AF$2:$AK$2)=6,"WK "&amp;_xlfn.ISOWEEKNUM($AF$2)))</f>
        <v>WK 21</v>
      </c>
      <c r="K286" s="20" t="str">
        <f t="shared" ca="1" si="115"/>
        <v>ON</v>
      </c>
      <c r="L286" s="20" t="str">
        <f t="shared" ca="1" si="115"/>
        <v>ON</v>
      </c>
      <c r="M286" s="1" t="str">
        <f t="shared" ca="1" si="116"/>
        <v>ON</v>
      </c>
      <c r="N286" s="1" t="str">
        <f t="shared" ca="1" si="117"/>
        <v>ON</v>
      </c>
      <c r="O286" s="1" t="str">
        <f t="shared" ca="1" si="118"/>
        <v>ON</v>
      </c>
      <c r="P286" s="1" t="str">
        <f t="shared" ca="1" si="119"/>
        <v>ON</v>
      </c>
      <c r="Q286" s="1"/>
      <c r="R286" s="20" t="str">
        <f t="shared" ca="1" si="120"/>
        <v>ON</v>
      </c>
      <c r="S286" s="20" t="str">
        <f t="shared" ca="1" si="120"/>
        <v>ON</v>
      </c>
      <c r="T286" s="1" t="str">
        <f t="shared" ca="1" si="121"/>
        <v>ON</v>
      </c>
      <c r="U286" s="1" t="str">
        <f t="shared" ca="1" si="122"/>
        <v>OFF</v>
      </c>
      <c r="V286" s="1" t="str">
        <f t="shared" ca="1" si="123"/>
        <v>ON</v>
      </c>
      <c r="W286" s="1" t="str">
        <f t="shared" ca="1" si="124"/>
        <v>ON</v>
      </c>
      <c r="X286" s="1"/>
      <c r="Y286" s="20" t="str">
        <f t="shared" ca="1" si="125"/>
        <v>ON</v>
      </c>
      <c r="Z286" s="20" t="str">
        <f t="shared" ca="1" si="125"/>
        <v>ON</v>
      </c>
      <c r="AA286" s="1" t="str">
        <f t="shared" ca="1" si="126"/>
        <v>ON</v>
      </c>
      <c r="AB286" s="1" t="str">
        <f t="shared" ca="1" si="127"/>
        <v>ON</v>
      </c>
      <c r="AC286" s="1" t="str">
        <f t="shared" ca="1" si="128"/>
        <v>ON</v>
      </c>
      <c r="AD286" s="1" t="str">
        <f t="shared" ca="1" si="129"/>
        <v>ON</v>
      </c>
      <c r="AE286" s="1"/>
      <c r="AF286" s="20" t="str">
        <f t="shared" ca="1" si="130"/>
        <v>ON</v>
      </c>
      <c r="AG286" s="20" t="str">
        <f t="shared" ca="1" si="130"/>
        <v>ON</v>
      </c>
      <c r="AH286" s="1" t="str">
        <f t="shared" ca="1" si="131"/>
        <v>ON</v>
      </c>
      <c r="AI286" s="1" t="str">
        <f t="shared" ca="1" si="132"/>
        <v>OFF</v>
      </c>
      <c r="AJ286" s="1" t="str">
        <f t="shared" ca="1" si="133"/>
        <v>ON</v>
      </c>
      <c r="AK286" s="1" t="str">
        <f t="shared" ca="1" si="134"/>
        <v>ON</v>
      </c>
      <c r="AL286" s="1"/>
      <c r="AM286" s="20" t="str">
        <f t="shared" si="135"/>
        <v>ON</v>
      </c>
      <c r="AN286" s="20" t="str">
        <f t="shared" si="135"/>
        <v>ON</v>
      </c>
      <c r="AO286" s="20" t="str">
        <f t="shared" si="136"/>
        <v>ON</v>
      </c>
    </row>
    <row r="287" spans="1:41">
      <c r="A287" t="str">
        <f t="shared" ca="1" si="110"/>
        <v>Ogun</v>
      </c>
      <c r="B287" t="str">
        <f t="shared" ca="1" si="111"/>
        <v>E</v>
      </c>
      <c r="C287" t="str">
        <f t="shared" ca="1" si="112"/>
        <v>D1</v>
      </c>
      <c r="D287" t="s">
        <v>5</v>
      </c>
      <c r="E287">
        <f t="shared" ca="1" si="113"/>
        <v>25</v>
      </c>
      <c r="F287">
        <f t="shared" ca="1" si="114"/>
        <v>2</v>
      </c>
      <c r="G287" t="str">
        <v>C</v>
      </c>
      <c r="H287" t="str">
        <v>C</v>
      </c>
      <c r="I287" t="str">
        <f ca="1">IF($A287="","",IF(COUNTA($K$2:$P$2)=6,"WK "&amp;_xlfn.ISOWEEKNUM($K$2)))</f>
        <v>WK 18</v>
      </c>
      <c r="J287" t="str">
        <f ca="1">IF($A287="","",IF(COUNTA($Y$2:$AD$2)=6,"WK "&amp;_xlfn.ISOWEEKNUM($Y$2)))</f>
        <v>WK 20</v>
      </c>
      <c r="K287" s="20" t="str">
        <f t="shared" ca="1" si="115"/>
        <v>ON</v>
      </c>
      <c r="L287" s="20" t="str">
        <f t="shared" ca="1" si="115"/>
        <v>ON</v>
      </c>
      <c r="M287" s="1" t="str">
        <f t="shared" ca="1" si="116"/>
        <v>ON</v>
      </c>
      <c r="N287" s="1" t="str">
        <f t="shared" ca="1" si="117"/>
        <v>ON</v>
      </c>
      <c r="O287" s="1" t="str">
        <f t="shared" ca="1" si="118"/>
        <v>OFF</v>
      </c>
      <c r="P287" s="1" t="str">
        <f t="shared" ca="1" si="119"/>
        <v>ON</v>
      </c>
      <c r="Q287" s="1"/>
      <c r="R287" s="20" t="str">
        <f t="shared" ca="1" si="120"/>
        <v>ON</v>
      </c>
      <c r="S287" s="20" t="str">
        <f t="shared" ca="1" si="120"/>
        <v>ON</v>
      </c>
      <c r="T287" s="1" t="str">
        <f t="shared" ca="1" si="121"/>
        <v>ON</v>
      </c>
      <c r="U287" s="1" t="str">
        <f t="shared" ca="1" si="122"/>
        <v>ON</v>
      </c>
      <c r="V287" s="1" t="str">
        <f t="shared" ca="1" si="123"/>
        <v>ON</v>
      </c>
      <c r="W287" s="1" t="str">
        <f t="shared" ca="1" si="124"/>
        <v>ON</v>
      </c>
      <c r="X287" s="1"/>
      <c r="Y287" s="20" t="str">
        <f t="shared" ca="1" si="125"/>
        <v>ON</v>
      </c>
      <c r="Z287" s="20" t="str">
        <f t="shared" ca="1" si="125"/>
        <v>ON</v>
      </c>
      <c r="AA287" s="1" t="str">
        <f t="shared" ca="1" si="126"/>
        <v>ON</v>
      </c>
      <c r="AB287" s="1" t="str">
        <f t="shared" ca="1" si="127"/>
        <v>ON</v>
      </c>
      <c r="AC287" s="1" t="str">
        <f t="shared" ca="1" si="128"/>
        <v>OFF</v>
      </c>
      <c r="AD287" s="1" t="str">
        <f t="shared" ca="1" si="129"/>
        <v>ON</v>
      </c>
      <c r="AE287" s="1"/>
      <c r="AF287" s="20" t="str">
        <f t="shared" ca="1" si="130"/>
        <v>ON</v>
      </c>
      <c r="AG287" s="20" t="str">
        <f t="shared" ca="1" si="130"/>
        <v>ON</v>
      </c>
      <c r="AH287" s="1" t="str">
        <f t="shared" ca="1" si="131"/>
        <v>ON</v>
      </c>
      <c r="AI287" s="1" t="str">
        <f t="shared" ca="1" si="132"/>
        <v>ON</v>
      </c>
      <c r="AJ287" s="1" t="str">
        <f t="shared" ca="1" si="133"/>
        <v>ON</v>
      </c>
      <c r="AK287" s="1" t="str">
        <f t="shared" ca="1" si="134"/>
        <v>ON</v>
      </c>
      <c r="AL287" s="1"/>
      <c r="AM287" s="20" t="str">
        <f t="shared" si="135"/>
        <v>ON</v>
      </c>
      <c r="AN287" s="20" t="str">
        <f t="shared" si="135"/>
        <v>ON</v>
      </c>
      <c r="AO287" s="20" t="str">
        <f t="shared" si="136"/>
        <v>ON</v>
      </c>
    </row>
    <row r="288" spans="1:41">
      <c r="A288" t="str">
        <f t="shared" ca="1" si="110"/>
        <v>Oyo</v>
      </c>
      <c r="B288" t="str">
        <f t="shared" ca="1" si="111"/>
        <v>C</v>
      </c>
      <c r="C288" t="str">
        <f t="shared" ca="1" si="112"/>
        <v>C1</v>
      </c>
      <c r="D288" t="s">
        <v>5</v>
      </c>
      <c r="E288">
        <f t="shared" ca="1" si="113"/>
        <v>25</v>
      </c>
      <c r="F288">
        <f t="shared" ca="1" si="114"/>
        <v>2</v>
      </c>
      <c r="G288" t="str">
        <v>D</v>
      </c>
      <c r="H288" t="str">
        <v>D</v>
      </c>
      <c r="I288" t="str">
        <f ca="1">IF($A288="","",IF(COUNTA($R$2:$W$2)=6,"WK "&amp;_xlfn.ISOWEEKNUM($R$2)))</f>
        <v>WK 19</v>
      </c>
      <c r="J288" t="str">
        <f ca="1">IF($A288="","",IF(COUNTA($AF$2:$AK$2)=6,"WK "&amp;_xlfn.ISOWEEKNUM($AF$2)))</f>
        <v>WK 21</v>
      </c>
      <c r="K288" s="20" t="str">
        <f t="shared" ca="1" si="115"/>
        <v>ON</v>
      </c>
      <c r="L288" s="20" t="str">
        <f t="shared" ca="1" si="115"/>
        <v>ON</v>
      </c>
      <c r="M288" s="1" t="str">
        <f t="shared" ca="1" si="116"/>
        <v>ON</v>
      </c>
      <c r="N288" s="1" t="str">
        <f t="shared" ca="1" si="117"/>
        <v>ON</v>
      </c>
      <c r="O288" s="1" t="str">
        <f t="shared" ca="1" si="118"/>
        <v>ON</v>
      </c>
      <c r="P288" s="1" t="str">
        <f t="shared" ca="1" si="119"/>
        <v>ON</v>
      </c>
      <c r="Q288" s="1"/>
      <c r="R288" s="20" t="str">
        <f t="shared" ca="1" si="120"/>
        <v>ON</v>
      </c>
      <c r="S288" s="20" t="str">
        <f t="shared" ca="1" si="120"/>
        <v>ON</v>
      </c>
      <c r="T288" s="1" t="str">
        <f t="shared" ca="1" si="121"/>
        <v>ON</v>
      </c>
      <c r="U288" s="1" t="str">
        <f t="shared" ca="1" si="122"/>
        <v>ON</v>
      </c>
      <c r="V288" s="1" t="str">
        <f t="shared" ca="1" si="123"/>
        <v>ON</v>
      </c>
      <c r="W288" s="1" t="str">
        <f t="shared" ca="1" si="124"/>
        <v>OFF</v>
      </c>
      <c r="X288" s="1"/>
      <c r="Y288" s="20" t="str">
        <f t="shared" ca="1" si="125"/>
        <v>ON</v>
      </c>
      <c r="Z288" s="20" t="str">
        <f t="shared" ca="1" si="125"/>
        <v>ON</v>
      </c>
      <c r="AA288" s="1" t="str">
        <f t="shared" ca="1" si="126"/>
        <v>ON</v>
      </c>
      <c r="AB288" s="1" t="str">
        <f t="shared" ca="1" si="127"/>
        <v>ON</v>
      </c>
      <c r="AC288" s="1" t="str">
        <f t="shared" ca="1" si="128"/>
        <v>ON</v>
      </c>
      <c r="AD288" s="1" t="str">
        <f t="shared" ca="1" si="129"/>
        <v>ON</v>
      </c>
      <c r="AE288" s="1"/>
      <c r="AF288" s="20" t="str">
        <f t="shared" ca="1" si="130"/>
        <v>ON</v>
      </c>
      <c r="AG288" s="20" t="str">
        <f t="shared" ca="1" si="130"/>
        <v>ON</v>
      </c>
      <c r="AH288" s="1" t="str">
        <f t="shared" ca="1" si="131"/>
        <v>ON</v>
      </c>
      <c r="AI288" s="1" t="str">
        <f t="shared" ca="1" si="132"/>
        <v>ON</v>
      </c>
      <c r="AJ288" s="1" t="str">
        <f t="shared" ca="1" si="133"/>
        <v>ON</v>
      </c>
      <c r="AK288" s="1" t="str">
        <f t="shared" ca="1" si="134"/>
        <v>OFF</v>
      </c>
      <c r="AL288" s="1"/>
      <c r="AM288" s="20" t="str">
        <f t="shared" si="135"/>
        <v>ON</v>
      </c>
      <c r="AN288" s="20" t="str">
        <f t="shared" si="135"/>
        <v>ON</v>
      </c>
      <c r="AO288" s="20" t="str">
        <f t="shared" si="136"/>
        <v>ON</v>
      </c>
    </row>
    <row r="289" spans="1:41">
      <c r="A289" t="str">
        <f t="shared" ca="1" si="110"/>
        <v>Ogun</v>
      </c>
      <c r="B289" t="str">
        <f t="shared" ca="1" si="111"/>
        <v>C</v>
      </c>
      <c r="C289" t="str">
        <f t="shared" ca="1" si="112"/>
        <v>A1</v>
      </c>
      <c r="D289" t="s">
        <v>5</v>
      </c>
      <c r="E289">
        <f t="shared" ca="1" si="113"/>
        <v>25</v>
      </c>
      <c r="F289">
        <f t="shared" ca="1" si="114"/>
        <v>2</v>
      </c>
      <c r="G289" t="str" cm="1">
        <f t="array" ref="G289:G292">IF($G$5:$G$8={"A";"B";"C";"D"},{"D";"C";"B";"A"},{"A";"B";"C";"D"})</f>
        <v>D</v>
      </c>
      <c r="H289" t="str" cm="1">
        <f t="array" ref="H289:H292">IF($H$5:$H$8={"A";"B";"C";"D"},{"D";"C";"B";"A"},{"A";"B";"C";"D"})</f>
        <v>D</v>
      </c>
      <c r="I289" t="str">
        <f ca="1">IF($A289="","",IF(COUNTA($K$2:$P$2)=6,"WK "&amp;_xlfn.ISOWEEKNUM($K$2)))</f>
        <v>WK 18</v>
      </c>
      <c r="J289" t="str">
        <f ca="1">IF($A289="","",IF(COUNTA($Y$2:$AD$2)=6,"WK "&amp;_xlfn.ISOWEEKNUM($Y$2)))</f>
        <v>WK 20</v>
      </c>
      <c r="K289" s="20" t="str">
        <f t="shared" ca="1" si="115"/>
        <v>ON</v>
      </c>
      <c r="L289" s="20" t="str">
        <f t="shared" ca="1" si="115"/>
        <v>ON</v>
      </c>
      <c r="M289" s="1" t="str">
        <f t="shared" ca="1" si="116"/>
        <v>ON</v>
      </c>
      <c r="N289" s="1" t="str">
        <f t="shared" ca="1" si="117"/>
        <v>ON</v>
      </c>
      <c r="O289" s="1" t="str">
        <f t="shared" ca="1" si="118"/>
        <v>ON</v>
      </c>
      <c r="P289" s="1" t="str">
        <f t="shared" ca="1" si="119"/>
        <v>OFF</v>
      </c>
      <c r="Q289" s="1"/>
      <c r="R289" s="20" t="str">
        <f t="shared" ca="1" si="120"/>
        <v>ON</v>
      </c>
      <c r="S289" s="20" t="str">
        <f t="shared" ca="1" si="120"/>
        <v>ON</v>
      </c>
      <c r="T289" s="1" t="str">
        <f t="shared" ca="1" si="121"/>
        <v>ON</v>
      </c>
      <c r="U289" s="1" t="str">
        <f t="shared" ca="1" si="122"/>
        <v>ON</v>
      </c>
      <c r="V289" s="1" t="str">
        <f t="shared" ca="1" si="123"/>
        <v>ON</v>
      </c>
      <c r="W289" s="1" t="str">
        <f t="shared" ca="1" si="124"/>
        <v>ON</v>
      </c>
      <c r="X289" s="1"/>
      <c r="Y289" s="20" t="str">
        <f t="shared" ca="1" si="125"/>
        <v>ON</v>
      </c>
      <c r="Z289" s="20" t="str">
        <f t="shared" ca="1" si="125"/>
        <v>ON</v>
      </c>
      <c r="AA289" s="1" t="str">
        <f t="shared" ca="1" si="126"/>
        <v>ON</v>
      </c>
      <c r="AB289" s="1" t="str">
        <f t="shared" ca="1" si="127"/>
        <v>ON</v>
      </c>
      <c r="AC289" s="1" t="str">
        <f t="shared" ca="1" si="128"/>
        <v>ON</v>
      </c>
      <c r="AD289" s="1" t="str">
        <f t="shared" ca="1" si="129"/>
        <v>OFF</v>
      </c>
      <c r="AE289" s="1"/>
      <c r="AF289" s="20" t="str">
        <f t="shared" ca="1" si="130"/>
        <v>ON</v>
      </c>
      <c r="AG289" s="20" t="str">
        <f t="shared" ca="1" si="130"/>
        <v>ON</v>
      </c>
      <c r="AH289" s="1" t="str">
        <f t="shared" ca="1" si="131"/>
        <v>ON</v>
      </c>
      <c r="AI289" s="1" t="str">
        <f t="shared" ca="1" si="132"/>
        <v>ON</v>
      </c>
      <c r="AJ289" s="1" t="str">
        <f t="shared" ca="1" si="133"/>
        <v>ON</v>
      </c>
      <c r="AK289" s="1" t="str">
        <f t="shared" ca="1" si="134"/>
        <v>ON</v>
      </c>
      <c r="AL289" s="1"/>
      <c r="AM289" s="20" t="str">
        <f t="shared" si="135"/>
        <v>ON</v>
      </c>
      <c r="AN289" s="20" t="str">
        <f t="shared" si="135"/>
        <v>ON</v>
      </c>
      <c r="AO289" s="20" t="str">
        <f t="shared" si="136"/>
        <v>ON</v>
      </c>
    </row>
    <row r="290" spans="1:41">
      <c r="A290" t="str">
        <f t="shared" ca="1" si="110"/>
        <v>Oyo</v>
      </c>
      <c r="B290" t="str">
        <f t="shared" ca="1" si="111"/>
        <v>A</v>
      </c>
      <c r="C290" t="str">
        <f t="shared" ca="1" si="112"/>
        <v>A1</v>
      </c>
      <c r="D290" t="s">
        <v>5</v>
      </c>
      <c r="E290">
        <f t="shared" ca="1" si="113"/>
        <v>25</v>
      </c>
      <c r="F290">
        <f t="shared" ca="1" si="114"/>
        <v>2</v>
      </c>
      <c r="G290" t="str">
        <v>C</v>
      </c>
      <c r="H290" t="str">
        <v>C</v>
      </c>
      <c r="I290" t="str">
        <f ca="1">IF($A290="","",IF(COUNTA($R$2:$W$2)=6,"WK "&amp;_xlfn.ISOWEEKNUM($R$2)))</f>
        <v>WK 19</v>
      </c>
      <c r="J290" t="str">
        <f ca="1">IF($A290="","",IF(COUNTA($AF$2:$AK$2)=6,"WK "&amp;_xlfn.ISOWEEKNUM($AF$2)))</f>
        <v>WK 21</v>
      </c>
      <c r="K290" s="20" t="str">
        <f t="shared" ca="1" si="115"/>
        <v>ON</v>
      </c>
      <c r="L290" s="20" t="str">
        <f t="shared" ca="1" si="115"/>
        <v>ON</v>
      </c>
      <c r="M290" s="1" t="str">
        <f t="shared" ca="1" si="116"/>
        <v>ON</v>
      </c>
      <c r="N290" s="1" t="str">
        <f t="shared" ca="1" si="117"/>
        <v>ON</v>
      </c>
      <c r="O290" s="1" t="str">
        <f t="shared" ca="1" si="118"/>
        <v>ON</v>
      </c>
      <c r="P290" s="1" t="str">
        <f t="shared" ca="1" si="119"/>
        <v>ON</v>
      </c>
      <c r="Q290" s="1"/>
      <c r="R290" s="20" t="str">
        <f t="shared" ca="1" si="120"/>
        <v>ON</v>
      </c>
      <c r="S290" s="20" t="str">
        <f t="shared" ca="1" si="120"/>
        <v>ON</v>
      </c>
      <c r="T290" s="1" t="str">
        <f t="shared" ca="1" si="121"/>
        <v>ON</v>
      </c>
      <c r="U290" s="1" t="str">
        <f t="shared" ca="1" si="122"/>
        <v>ON</v>
      </c>
      <c r="V290" s="1" t="str">
        <f t="shared" ca="1" si="123"/>
        <v>OFF</v>
      </c>
      <c r="W290" s="1" t="str">
        <f t="shared" ca="1" si="124"/>
        <v>ON</v>
      </c>
      <c r="X290" s="1"/>
      <c r="Y290" s="20" t="str">
        <f t="shared" ca="1" si="125"/>
        <v>ON</v>
      </c>
      <c r="Z290" s="20" t="str">
        <f t="shared" ca="1" si="125"/>
        <v>ON</v>
      </c>
      <c r="AA290" s="1" t="str">
        <f t="shared" ca="1" si="126"/>
        <v>ON</v>
      </c>
      <c r="AB290" s="1" t="str">
        <f t="shared" ca="1" si="127"/>
        <v>ON</v>
      </c>
      <c r="AC290" s="1" t="str">
        <f t="shared" ca="1" si="128"/>
        <v>ON</v>
      </c>
      <c r="AD290" s="1" t="str">
        <f t="shared" ca="1" si="129"/>
        <v>ON</v>
      </c>
      <c r="AE290" s="1"/>
      <c r="AF290" s="20" t="str">
        <f t="shared" ca="1" si="130"/>
        <v>ON</v>
      </c>
      <c r="AG290" s="20" t="str">
        <f t="shared" ca="1" si="130"/>
        <v>ON</v>
      </c>
      <c r="AH290" s="1" t="str">
        <f t="shared" ca="1" si="131"/>
        <v>ON</v>
      </c>
      <c r="AI290" s="1" t="str">
        <f t="shared" ca="1" si="132"/>
        <v>ON</v>
      </c>
      <c r="AJ290" s="1" t="str">
        <f t="shared" ca="1" si="133"/>
        <v>OFF</v>
      </c>
      <c r="AK290" s="1" t="str">
        <f t="shared" ca="1" si="134"/>
        <v>ON</v>
      </c>
      <c r="AL290" s="1"/>
      <c r="AM290" s="20" t="str">
        <f t="shared" si="135"/>
        <v>ON</v>
      </c>
      <c r="AN290" s="20" t="str">
        <f t="shared" si="135"/>
        <v>ON</v>
      </c>
      <c r="AO290" s="20" t="str">
        <f t="shared" si="136"/>
        <v>ON</v>
      </c>
    </row>
    <row r="291" spans="1:41">
      <c r="A291" t="str">
        <f t="shared" ca="1" si="110"/>
        <v>Lagos</v>
      </c>
      <c r="B291" t="str">
        <f t="shared" ca="1" si="111"/>
        <v>E</v>
      </c>
      <c r="C291" t="str">
        <f t="shared" ca="1" si="112"/>
        <v>C1</v>
      </c>
      <c r="D291" t="s">
        <v>5</v>
      </c>
      <c r="E291">
        <f t="shared" ca="1" si="113"/>
        <v>25</v>
      </c>
      <c r="F291">
        <f t="shared" ca="1" si="114"/>
        <v>2</v>
      </c>
      <c r="G291" t="str">
        <v>B</v>
      </c>
      <c r="H291" t="str">
        <v>B</v>
      </c>
      <c r="I291" t="str">
        <f ca="1">IF($A291="","",IF(COUNTA($K$2:$P$2)=6,"WK "&amp;_xlfn.ISOWEEKNUM($K$2)))</f>
        <v>WK 18</v>
      </c>
      <c r="J291" t="str">
        <f ca="1">IF($A291="","",IF(COUNTA($Y$2:$AD$2)=6,"WK "&amp;_xlfn.ISOWEEKNUM($Y$2)))</f>
        <v>WK 20</v>
      </c>
      <c r="K291" s="20" t="str">
        <f t="shared" ca="1" si="115"/>
        <v>ON</v>
      </c>
      <c r="L291" s="20" t="str">
        <f t="shared" ca="1" si="115"/>
        <v>ON</v>
      </c>
      <c r="M291" s="1" t="str">
        <f t="shared" ca="1" si="116"/>
        <v>ON</v>
      </c>
      <c r="N291" s="1" t="str">
        <f t="shared" ca="1" si="117"/>
        <v>OFF</v>
      </c>
      <c r="O291" s="1" t="str">
        <f t="shared" ca="1" si="118"/>
        <v>ON</v>
      </c>
      <c r="P291" s="1" t="str">
        <f t="shared" ca="1" si="119"/>
        <v>ON</v>
      </c>
      <c r="Q291" s="1"/>
      <c r="R291" s="20" t="str">
        <f t="shared" ca="1" si="120"/>
        <v>ON</v>
      </c>
      <c r="S291" s="20" t="str">
        <f t="shared" ca="1" si="120"/>
        <v>ON</v>
      </c>
      <c r="T291" s="1" t="str">
        <f t="shared" ca="1" si="121"/>
        <v>ON</v>
      </c>
      <c r="U291" s="1" t="str">
        <f t="shared" ca="1" si="122"/>
        <v>ON</v>
      </c>
      <c r="V291" s="1" t="str">
        <f t="shared" ca="1" si="123"/>
        <v>ON</v>
      </c>
      <c r="W291" s="1" t="str">
        <f t="shared" ca="1" si="124"/>
        <v>ON</v>
      </c>
      <c r="X291" s="1"/>
      <c r="Y291" s="20" t="str">
        <f t="shared" ca="1" si="125"/>
        <v>ON</v>
      </c>
      <c r="Z291" s="20" t="str">
        <f t="shared" ca="1" si="125"/>
        <v>ON</v>
      </c>
      <c r="AA291" s="1" t="str">
        <f t="shared" ca="1" si="126"/>
        <v>ON</v>
      </c>
      <c r="AB291" s="1" t="str">
        <f t="shared" ca="1" si="127"/>
        <v>OFF</v>
      </c>
      <c r="AC291" s="1" t="str">
        <f t="shared" ca="1" si="128"/>
        <v>ON</v>
      </c>
      <c r="AD291" s="1" t="str">
        <f t="shared" ca="1" si="129"/>
        <v>ON</v>
      </c>
      <c r="AE291" s="1"/>
      <c r="AF291" s="20" t="str">
        <f t="shared" ca="1" si="130"/>
        <v>ON</v>
      </c>
      <c r="AG291" s="20" t="str">
        <f t="shared" ca="1" si="130"/>
        <v>ON</v>
      </c>
      <c r="AH291" s="1" t="str">
        <f t="shared" ca="1" si="131"/>
        <v>ON</v>
      </c>
      <c r="AI291" s="1" t="str">
        <f t="shared" ca="1" si="132"/>
        <v>ON</v>
      </c>
      <c r="AJ291" s="1" t="str">
        <f t="shared" ca="1" si="133"/>
        <v>ON</v>
      </c>
      <c r="AK291" s="1" t="str">
        <f t="shared" ca="1" si="134"/>
        <v>ON</v>
      </c>
      <c r="AL291" s="1"/>
      <c r="AM291" s="20" t="str">
        <f t="shared" si="135"/>
        <v>ON</v>
      </c>
      <c r="AN291" s="20" t="str">
        <f t="shared" si="135"/>
        <v>ON</v>
      </c>
      <c r="AO291" s="20" t="str">
        <f t="shared" si="136"/>
        <v>ON</v>
      </c>
    </row>
    <row r="292" spans="1:41">
      <c r="A292" t="str">
        <f t="shared" ca="1" si="110"/>
        <v>Ogun</v>
      </c>
      <c r="B292" t="str">
        <f t="shared" ca="1" si="111"/>
        <v>A</v>
      </c>
      <c r="C292" t="str">
        <f t="shared" ca="1" si="112"/>
        <v>C1</v>
      </c>
      <c r="D292" t="s">
        <v>7</v>
      </c>
      <c r="E292">
        <f t="shared" ca="1" si="113"/>
        <v>25</v>
      </c>
      <c r="F292">
        <f t="shared" ca="1" si="114"/>
        <v>2</v>
      </c>
      <c r="G292" t="str">
        <v>A</v>
      </c>
      <c r="H292" t="str">
        <v>A</v>
      </c>
      <c r="I292" t="str">
        <f ca="1">IF($A292="","",IF(COUNTA($R$2:$W$2)=6,"WK "&amp;_xlfn.ISOWEEKNUM($R$2)))</f>
        <v>WK 19</v>
      </c>
      <c r="J292" t="str">
        <f ca="1">IF($A292="","",IF(COUNTA($AF$2:$AK$2)=6,"WK "&amp;_xlfn.ISOWEEKNUM($AF$2)))</f>
        <v>WK 21</v>
      </c>
      <c r="K292" s="20" t="str">
        <f t="shared" ca="1" si="115"/>
        <v>ON</v>
      </c>
      <c r="L292" s="20" t="str">
        <f t="shared" ca="1" si="115"/>
        <v>ON</v>
      </c>
      <c r="M292" s="1" t="str">
        <f t="shared" ca="1" si="116"/>
        <v>ON</v>
      </c>
      <c r="N292" s="1" t="str">
        <f t="shared" ca="1" si="117"/>
        <v>ON</v>
      </c>
      <c r="O292" s="1" t="str">
        <f t="shared" ca="1" si="118"/>
        <v>ON</v>
      </c>
      <c r="P292" s="1" t="str">
        <f t="shared" ca="1" si="119"/>
        <v>ON</v>
      </c>
      <c r="Q292" s="1"/>
      <c r="R292" s="20" t="str">
        <f t="shared" ca="1" si="120"/>
        <v>ON</v>
      </c>
      <c r="S292" s="20" t="str">
        <f t="shared" ca="1" si="120"/>
        <v>ON</v>
      </c>
      <c r="T292" s="1" t="str">
        <f t="shared" ca="1" si="121"/>
        <v>OFF</v>
      </c>
      <c r="U292" s="1" t="str">
        <f t="shared" ca="1" si="122"/>
        <v>ON</v>
      </c>
      <c r="V292" s="1" t="str">
        <f t="shared" ca="1" si="123"/>
        <v>ON</v>
      </c>
      <c r="W292" s="1" t="str">
        <f t="shared" ca="1" si="124"/>
        <v>ON</v>
      </c>
      <c r="X292" s="1"/>
      <c r="Y292" s="20" t="str">
        <f t="shared" ca="1" si="125"/>
        <v>ON</v>
      </c>
      <c r="Z292" s="20" t="str">
        <f t="shared" ca="1" si="125"/>
        <v>ON</v>
      </c>
      <c r="AA292" s="1" t="str">
        <f t="shared" ca="1" si="126"/>
        <v>ON</v>
      </c>
      <c r="AB292" s="1" t="str">
        <f t="shared" ca="1" si="127"/>
        <v>ON</v>
      </c>
      <c r="AC292" s="1" t="str">
        <f t="shared" ca="1" si="128"/>
        <v>ON</v>
      </c>
      <c r="AD292" s="1" t="str">
        <f t="shared" ca="1" si="129"/>
        <v>ON</v>
      </c>
      <c r="AE292" s="1"/>
      <c r="AF292" s="20" t="str">
        <f t="shared" ca="1" si="130"/>
        <v>ON</v>
      </c>
      <c r="AG292" s="20" t="str">
        <f t="shared" ca="1" si="130"/>
        <v>ON</v>
      </c>
      <c r="AH292" s="1" t="str">
        <f t="shared" ca="1" si="131"/>
        <v>OFF</v>
      </c>
      <c r="AI292" s="1" t="str">
        <f t="shared" ca="1" si="132"/>
        <v>ON</v>
      </c>
      <c r="AJ292" s="1" t="str">
        <f t="shared" ca="1" si="133"/>
        <v>ON</v>
      </c>
      <c r="AK292" s="1" t="str">
        <f t="shared" ca="1" si="134"/>
        <v>ON</v>
      </c>
      <c r="AL292" s="1"/>
      <c r="AM292" s="20" t="str">
        <f t="shared" si="135"/>
        <v>ON</v>
      </c>
      <c r="AN292" s="20" t="str">
        <f t="shared" si="135"/>
        <v>ON</v>
      </c>
      <c r="AO292" s="20" t="str">
        <f t="shared" si="136"/>
        <v>ON</v>
      </c>
    </row>
    <row r="293" spans="1:41">
      <c r="A293" t="str">
        <f t="shared" ca="1" si="110"/>
        <v>Oyo</v>
      </c>
      <c r="B293" t="str">
        <f t="shared" ca="1" si="111"/>
        <v>D</v>
      </c>
      <c r="C293" t="str">
        <f t="shared" ca="1" si="112"/>
        <v>E1</v>
      </c>
      <c r="D293" t="s">
        <v>7</v>
      </c>
      <c r="E293">
        <f t="shared" ca="1" si="113"/>
        <v>25</v>
      </c>
      <c r="F293">
        <f t="shared" ca="1" si="114"/>
        <v>2</v>
      </c>
      <c r="G293" t="str" cm="1">
        <f t="array" ref="G293:G296">Groups!$B$2:$B$5</f>
        <v>A</v>
      </c>
      <c r="H293" t="str" cm="1">
        <f t="array" ref="H293:H296">Groups!$B$2:$B$5</f>
        <v>A</v>
      </c>
      <c r="I293" t="str">
        <f ca="1">IF($A293="","",IF(COUNTA($K$2:$P$2)=6,"WK "&amp;_xlfn.ISOWEEKNUM($K$2)))</f>
        <v>WK 18</v>
      </c>
      <c r="J293" t="str">
        <f ca="1">IF($A293="","",IF(COUNTA($Y$2:$AD$2)=6,"WK "&amp;_xlfn.ISOWEEKNUM($Y$2)))</f>
        <v>WK 20</v>
      </c>
      <c r="K293" s="20" t="str">
        <f t="shared" ca="1" si="115"/>
        <v>ON</v>
      </c>
      <c r="L293" s="20" t="str">
        <f t="shared" ca="1" si="115"/>
        <v>ON</v>
      </c>
      <c r="M293" s="1" t="str">
        <f t="shared" ca="1" si="116"/>
        <v>OFF</v>
      </c>
      <c r="N293" s="1" t="str">
        <f t="shared" ca="1" si="117"/>
        <v>ON</v>
      </c>
      <c r="O293" s="1" t="str">
        <f t="shared" ca="1" si="118"/>
        <v>ON</v>
      </c>
      <c r="P293" s="1" t="str">
        <f t="shared" ca="1" si="119"/>
        <v>ON</v>
      </c>
      <c r="Q293" s="1"/>
      <c r="R293" s="20" t="str">
        <f t="shared" ca="1" si="120"/>
        <v>ON</v>
      </c>
      <c r="S293" s="20" t="str">
        <f t="shared" ca="1" si="120"/>
        <v>ON</v>
      </c>
      <c r="T293" s="1" t="str">
        <f t="shared" ca="1" si="121"/>
        <v>ON</v>
      </c>
      <c r="U293" s="1" t="str">
        <f t="shared" ca="1" si="122"/>
        <v>ON</v>
      </c>
      <c r="V293" s="1" t="str">
        <f t="shared" ca="1" si="123"/>
        <v>ON</v>
      </c>
      <c r="W293" s="1" t="str">
        <f t="shared" ca="1" si="124"/>
        <v>ON</v>
      </c>
      <c r="X293" s="1"/>
      <c r="Y293" s="20" t="str">
        <f t="shared" ca="1" si="125"/>
        <v>ON</v>
      </c>
      <c r="Z293" s="20" t="str">
        <f t="shared" ca="1" si="125"/>
        <v>ON</v>
      </c>
      <c r="AA293" s="1" t="str">
        <f t="shared" ca="1" si="126"/>
        <v>OFF</v>
      </c>
      <c r="AB293" s="1" t="str">
        <f t="shared" ca="1" si="127"/>
        <v>ON</v>
      </c>
      <c r="AC293" s="1" t="str">
        <f t="shared" ca="1" si="128"/>
        <v>ON</v>
      </c>
      <c r="AD293" s="1" t="str">
        <f t="shared" ca="1" si="129"/>
        <v>ON</v>
      </c>
      <c r="AE293" s="1"/>
      <c r="AF293" s="20" t="str">
        <f t="shared" ca="1" si="130"/>
        <v>ON</v>
      </c>
      <c r="AG293" s="20" t="str">
        <f t="shared" ca="1" si="130"/>
        <v>ON</v>
      </c>
      <c r="AH293" s="1" t="str">
        <f t="shared" ca="1" si="131"/>
        <v>ON</v>
      </c>
      <c r="AI293" s="1" t="str">
        <f t="shared" ca="1" si="132"/>
        <v>ON</v>
      </c>
      <c r="AJ293" s="1" t="str">
        <f t="shared" ca="1" si="133"/>
        <v>ON</v>
      </c>
      <c r="AK293" s="1" t="str">
        <f t="shared" ca="1" si="134"/>
        <v>ON</v>
      </c>
      <c r="AL293" s="1"/>
      <c r="AM293" s="20" t="str">
        <f t="shared" si="135"/>
        <v>ON</v>
      </c>
      <c r="AN293" s="20" t="str">
        <f t="shared" si="135"/>
        <v>ON</v>
      </c>
      <c r="AO293" s="20" t="str">
        <f t="shared" si="136"/>
        <v>ON</v>
      </c>
    </row>
    <row r="294" spans="1:41">
      <c r="A294" t="str">
        <f t="shared" ca="1" si="110"/>
        <v>Ekiti</v>
      </c>
      <c r="B294" t="str">
        <f t="shared" ca="1" si="111"/>
        <v>D</v>
      </c>
      <c r="C294" t="str">
        <f t="shared" ca="1" si="112"/>
        <v>A1</v>
      </c>
      <c r="D294" t="s">
        <v>7</v>
      </c>
      <c r="E294">
        <f t="shared" ca="1" si="113"/>
        <v>25</v>
      </c>
      <c r="F294">
        <f t="shared" ca="1" si="114"/>
        <v>2</v>
      </c>
      <c r="G294" t="str">
        <v>B</v>
      </c>
      <c r="H294" t="str">
        <v>B</v>
      </c>
      <c r="I294" t="str">
        <f ca="1">IF($A294="","",IF(COUNTA($R$2:$W$2)=6,"WK "&amp;_xlfn.ISOWEEKNUM($R$2)))</f>
        <v>WK 19</v>
      </c>
      <c r="J294" t="str">
        <f ca="1">IF($A294="","",IF(COUNTA($AF$2:$AK$2)=6,"WK "&amp;_xlfn.ISOWEEKNUM($AF$2)))</f>
        <v>WK 21</v>
      </c>
      <c r="K294" s="20" t="str">
        <f t="shared" ref="K294:L325" ca="1" si="137">IF($A294="","",IF(COUNTA($K$2:$AO$2)-4,IF(OR(K$4="Mon",K$4="Tue"),$E$1,$D$1)))</f>
        <v>ON</v>
      </c>
      <c r="L294" s="20" t="str">
        <f t="shared" ca="1" si="137"/>
        <v>ON</v>
      </c>
      <c r="M294" s="1" t="str">
        <f t="shared" ca="1" si="116"/>
        <v>ON</v>
      </c>
      <c r="N294" s="1" t="str">
        <f t="shared" ca="1" si="117"/>
        <v>ON</v>
      </c>
      <c r="O294" s="1" t="str">
        <f t="shared" ca="1" si="118"/>
        <v>ON</v>
      </c>
      <c r="P294" s="1" t="str">
        <f t="shared" ca="1" si="119"/>
        <v>ON</v>
      </c>
      <c r="Q294" s="1"/>
      <c r="R294" s="20" t="str">
        <f t="shared" ref="R294:S325" ca="1" si="138">IF($A294="","",IF(COUNTA($K$2:$AO$2)-4,IF(OR(R$4="Mon",R$4="Tue"),$E$1,$D$1)))</f>
        <v>ON</v>
      </c>
      <c r="S294" s="20" t="str">
        <f t="shared" ca="1" si="138"/>
        <v>ON</v>
      </c>
      <c r="T294" s="1" t="str">
        <f t="shared" ca="1" si="121"/>
        <v>ON</v>
      </c>
      <c r="U294" s="1" t="str">
        <f t="shared" ca="1" si="122"/>
        <v>OFF</v>
      </c>
      <c r="V294" s="1" t="str">
        <f t="shared" ca="1" si="123"/>
        <v>ON</v>
      </c>
      <c r="W294" s="1" t="str">
        <f t="shared" ca="1" si="124"/>
        <v>ON</v>
      </c>
      <c r="X294" s="1"/>
      <c r="Y294" s="20" t="str">
        <f t="shared" ref="Y294:Z325" ca="1" si="139">IF($A294="","",IF(COUNTA($K$2:$AO$2)-4,IF(OR(Y$4="Mon",Y$4="Tue"),$E$1,$D$1)))</f>
        <v>ON</v>
      </c>
      <c r="Z294" s="20" t="str">
        <f t="shared" ca="1" si="139"/>
        <v>ON</v>
      </c>
      <c r="AA294" s="1" t="str">
        <f t="shared" ca="1" si="126"/>
        <v>ON</v>
      </c>
      <c r="AB294" s="1" t="str">
        <f t="shared" ca="1" si="127"/>
        <v>ON</v>
      </c>
      <c r="AC294" s="1" t="str">
        <f t="shared" ca="1" si="128"/>
        <v>ON</v>
      </c>
      <c r="AD294" s="1" t="str">
        <f t="shared" ca="1" si="129"/>
        <v>ON</v>
      </c>
      <c r="AE294" s="1"/>
      <c r="AF294" s="20" t="str">
        <f t="shared" ref="AF294:AG325" ca="1" si="140">IF($A294="","",IF(COUNTA($K$2:$AO$2)-4,IF(OR(AF$4="Mon",AF$4="Tue"),$E$1,$D$1)))</f>
        <v>ON</v>
      </c>
      <c r="AG294" s="20" t="str">
        <f t="shared" ca="1" si="140"/>
        <v>ON</v>
      </c>
      <c r="AH294" s="1" t="str">
        <f t="shared" ca="1" si="131"/>
        <v>ON</v>
      </c>
      <c r="AI294" s="1" t="str">
        <f t="shared" ca="1" si="132"/>
        <v>OFF</v>
      </c>
      <c r="AJ294" s="1" t="str">
        <f t="shared" ca="1" si="133"/>
        <v>ON</v>
      </c>
      <c r="AK294" s="1" t="str">
        <f t="shared" ca="1" si="134"/>
        <v>ON</v>
      </c>
      <c r="AL294" s="1"/>
      <c r="AM294" s="20" t="str">
        <f t="shared" ref="AM294:AN325" si="141">IF(COUNTA($K$2:$AO$2)-4,IF(OR(AM$4="Mon",AM$4="Tue"),$E$1,$D$1))</f>
        <v>ON</v>
      </c>
      <c r="AN294" s="20" t="str">
        <f t="shared" si="141"/>
        <v>ON</v>
      </c>
      <c r="AO294" s="20" t="str">
        <f t="shared" si="136"/>
        <v>ON</v>
      </c>
    </row>
    <row r="295" spans="1:41">
      <c r="A295" t="str">
        <f t="shared" ca="1" si="110"/>
        <v>Ekiti</v>
      </c>
      <c r="B295" t="str">
        <f t="shared" ca="1" si="111"/>
        <v>E</v>
      </c>
      <c r="C295" t="str">
        <f t="shared" ca="1" si="112"/>
        <v>D1</v>
      </c>
      <c r="D295" t="s">
        <v>4</v>
      </c>
      <c r="E295">
        <f t="shared" ca="1" si="113"/>
        <v>25</v>
      </c>
      <c r="F295">
        <f t="shared" ca="1" si="114"/>
        <v>2</v>
      </c>
      <c r="G295" t="str">
        <v>C</v>
      </c>
      <c r="H295" t="str">
        <v>C</v>
      </c>
      <c r="I295" t="str">
        <f ca="1">IF($A295="","",IF(COUNTA($K$2:$P$2)=6,"WK "&amp;_xlfn.ISOWEEKNUM($K$2)))</f>
        <v>WK 18</v>
      </c>
      <c r="J295" t="str">
        <f ca="1">IF($A295="","",IF(COUNTA($Y$2:$AD$2)=6,"WK "&amp;_xlfn.ISOWEEKNUM($Y$2)))</f>
        <v>WK 20</v>
      </c>
      <c r="K295" s="20" t="str">
        <f t="shared" ca="1" si="137"/>
        <v>ON</v>
      </c>
      <c r="L295" s="20" t="str">
        <f t="shared" ca="1" si="137"/>
        <v>ON</v>
      </c>
      <c r="M295" s="1" t="str">
        <f t="shared" ca="1" si="116"/>
        <v>ON</v>
      </c>
      <c r="N295" s="1" t="str">
        <f t="shared" ca="1" si="117"/>
        <v>ON</v>
      </c>
      <c r="O295" s="1" t="str">
        <f t="shared" ca="1" si="118"/>
        <v>OFF</v>
      </c>
      <c r="P295" s="1" t="str">
        <f t="shared" ca="1" si="119"/>
        <v>ON</v>
      </c>
      <c r="Q295" s="1"/>
      <c r="R295" s="20" t="str">
        <f t="shared" ca="1" si="138"/>
        <v>ON</v>
      </c>
      <c r="S295" s="20" t="str">
        <f t="shared" ca="1" si="138"/>
        <v>ON</v>
      </c>
      <c r="T295" s="1" t="str">
        <f t="shared" ca="1" si="121"/>
        <v>ON</v>
      </c>
      <c r="U295" s="1" t="str">
        <f t="shared" ca="1" si="122"/>
        <v>ON</v>
      </c>
      <c r="V295" s="1" t="str">
        <f t="shared" ca="1" si="123"/>
        <v>ON</v>
      </c>
      <c r="W295" s="1" t="str">
        <f t="shared" ca="1" si="124"/>
        <v>ON</v>
      </c>
      <c r="X295" s="1"/>
      <c r="Y295" s="20" t="str">
        <f t="shared" ca="1" si="139"/>
        <v>ON</v>
      </c>
      <c r="Z295" s="20" t="str">
        <f t="shared" ca="1" si="139"/>
        <v>ON</v>
      </c>
      <c r="AA295" s="1" t="str">
        <f t="shared" ca="1" si="126"/>
        <v>ON</v>
      </c>
      <c r="AB295" s="1" t="str">
        <f t="shared" ca="1" si="127"/>
        <v>ON</v>
      </c>
      <c r="AC295" s="1" t="str">
        <f t="shared" ca="1" si="128"/>
        <v>OFF</v>
      </c>
      <c r="AD295" s="1" t="str">
        <f t="shared" ca="1" si="129"/>
        <v>ON</v>
      </c>
      <c r="AE295" s="1"/>
      <c r="AF295" s="20" t="str">
        <f t="shared" ca="1" si="140"/>
        <v>ON</v>
      </c>
      <c r="AG295" s="20" t="str">
        <f t="shared" ca="1" si="140"/>
        <v>ON</v>
      </c>
      <c r="AH295" s="1" t="str">
        <f t="shared" ca="1" si="131"/>
        <v>ON</v>
      </c>
      <c r="AI295" s="1" t="str">
        <f t="shared" ca="1" si="132"/>
        <v>ON</v>
      </c>
      <c r="AJ295" s="1" t="str">
        <f t="shared" ca="1" si="133"/>
        <v>ON</v>
      </c>
      <c r="AK295" s="1" t="str">
        <f t="shared" ca="1" si="134"/>
        <v>ON</v>
      </c>
      <c r="AL295" s="1"/>
      <c r="AM295" s="20" t="str">
        <f t="shared" si="141"/>
        <v>ON</v>
      </c>
      <c r="AN295" s="20" t="str">
        <f t="shared" si="141"/>
        <v>ON</v>
      </c>
      <c r="AO295" s="20" t="str">
        <f t="shared" si="136"/>
        <v>ON</v>
      </c>
    </row>
    <row r="296" spans="1:41">
      <c r="A296" t="str">
        <f t="shared" ca="1" si="110"/>
        <v>Ogun</v>
      </c>
      <c r="B296" t="str">
        <f t="shared" ca="1" si="111"/>
        <v>A</v>
      </c>
      <c r="C296" t="str">
        <f t="shared" ca="1" si="112"/>
        <v>A1</v>
      </c>
      <c r="D296" t="s">
        <v>4</v>
      </c>
      <c r="E296">
        <f t="shared" ca="1" si="113"/>
        <v>25</v>
      </c>
      <c r="F296">
        <f t="shared" ca="1" si="114"/>
        <v>2</v>
      </c>
      <c r="G296" t="str">
        <v>D</v>
      </c>
      <c r="H296" t="str">
        <v>D</v>
      </c>
      <c r="I296" t="str">
        <f ca="1">IF($A296="","",IF(COUNTA($R$2:$W$2)=6,"WK "&amp;_xlfn.ISOWEEKNUM($R$2)))</f>
        <v>WK 19</v>
      </c>
      <c r="J296" t="str">
        <f ca="1">IF($A296="","",IF(COUNTA($AF$2:$AK$2)=6,"WK "&amp;_xlfn.ISOWEEKNUM($AF$2)))</f>
        <v>WK 21</v>
      </c>
      <c r="K296" s="20" t="str">
        <f t="shared" ca="1" si="137"/>
        <v>ON</v>
      </c>
      <c r="L296" s="20" t="str">
        <f t="shared" ca="1" si="137"/>
        <v>ON</v>
      </c>
      <c r="M296" s="1" t="str">
        <f t="shared" ca="1" si="116"/>
        <v>ON</v>
      </c>
      <c r="N296" s="1" t="str">
        <f t="shared" ca="1" si="117"/>
        <v>ON</v>
      </c>
      <c r="O296" s="1" t="str">
        <f t="shared" ca="1" si="118"/>
        <v>ON</v>
      </c>
      <c r="P296" s="1" t="str">
        <f t="shared" ca="1" si="119"/>
        <v>ON</v>
      </c>
      <c r="Q296" s="1"/>
      <c r="R296" s="20" t="str">
        <f t="shared" ca="1" si="138"/>
        <v>ON</v>
      </c>
      <c r="S296" s="20" t="str">
        <f t="shared" ca="1" si="138"/>
        <v>ON</v>
      </c>
      <c r="T296" s="1" t="str">
        <f t="shared" ca="1" si="121"/>
        <v>ON</v>
      </c>
      <c r="U296" s="1" t="str">
        <f t="shared" ca="1" si="122"/>
        <v>ON</v>
      </c>
      <c r="V296" s="1" t="str">
        <f t="shared" ca="1" si="123"/>
        <v>ON</v>
      </c>
      <c r="W296" s="1" t="str">
        <f t="shared" ca="1" si="124"/>
        <v>OFF</v>
      </c>
      <c r="X296" s="1"/>
      <c r="Y296" s="20" t="str">
        <f t="shared" ca="1" si="139"/>
        <v>ON</v>
      </c>
      <c r="Z296" s="20" t="str">
        <f t="shared" ca="1" si="139"/>
        <v>ON</v>
      </c>
      <c r="AA296" s="1" t="str">
        <f t="shared" ca="1" si="126"/>
        <v>ON</v>
      </c>
      <c r="AB296" s="1" t="str">
        <f t="shared" ca="1" si="127"/>
        <v>ON</v>
      </c>
      <c r="AC296" s="1" t="str">
        <f t="shared" ca="1" si="128"/>
        <v>ON</v>
      </c>
      <c r="AD296" s="1" t="str">
        <f t="shared" ca="1" si="129"/>
        <v>ON</v>
      </c>
      <c r="AE296" s="1"/>
      <c r="AF296" s="20" t="str">
        <f t="shared" ca="1" si="140"/>
        <v>ON</v>
      </c>
      <c r="AG296" s="20" t="str">
        <f t="shared" ca="1" si="140"/>
        <v>ON</v>
      </c>
      <c r="AH296" s="1" t="str">
        <f t="shared" ca="1" si="131"/>
        <v>ON</v>
      </c>
      <c r="AI296" s="1" t="str">
        <f t="shared" ca="1" si="132"/>
        <v>ON</v>
      </c>
      <c r="AJ296" s="1" t="str">
        <f t="shared" ca="1" si="133"/>
        <v>ON</v>
      </c>
      <c r="AK296" s="1" t="str">
        <f t="shared" ca="1" si="134"/>
        <v>OFF</v>
      </c>
      <c r="AL296" s="1"/>
      <c r="AM296" s="20" t="str">
        <f t="shared" si="141"/>
        <v>ON</v>
      </c>
      <c r="AN296" s="20" t="str">
        <f t="shared" si="141"/>
        <v>ON</v>
      </c>
      <c r="AO296" s="20" t="str">
        <f t="shared" si="136"/>
        <v>ON</v>
      </c>
    </row>
    <row r="297" spans="1:41">
      <c r="A297" t="str">
        <f t="shared" ca="1" si="110"/>
        <v>Oyo</v>
      </c>
      <c r="B297" t="str">
        <f t="shared" ca="1" si="111"/>
        <v>D</v>
      </c>
      <c r="C297" t="str">
        <f t="shared" ca="1" si="112"/>
        <v>C1</v>
      </c>
      <c r="D297" t="s">
        <v>4</v>
      </c>
      <c r="E297">
        <f t="shared" ca="1" si="113"/>
        <v>25</v>
      </c>
      <c r="F297">
        <f t="shared" ca="1" si="114"/>
        <v>2</v>
      </c>
      <c r="G297" t="str" cm="1">
        <f t="array" ref="G297:G300">IF($G$5:$G$8={"A";"B";"C";"D"},{"D";"C";"B";"A"},{"A";"B";"C";"D"})</f>
        <v>D</v>
      </c>
      <c r="H297" t="str" cm="1">
        <f t="array" ref="H297:H300">IF($H$5:$H$8={"A";"B";"C";"D"},{"D";"C";"B";"A"},{"A";"B";"C";"D"})</f>
        <v>D</v>
      </c>
      <c r="I297" t="str">
        <f ca="1">IF($A297="","",IF(COUNTA($K$2:$P$2)=6,"WK "&amp;_xlfn.ISOWEEKNUM($K$2)))</f>
        <v>WK 18</v>
      </c>
      <c r="J297" t="str">
        <f ca="1">IF($A297="","",IF(COUNTA($Y$2:$AD$2)=6,"WK "&amp;_xlfn.ISOWEEKNUM($Y$2)))</f>
        <v>WK 20</v>
      </c>
      <c r="K297" s="20" t="str">
        <f t="shared" ca="1" si="137"/>
        <v>ON</v>
      </c>
      <c r="L297" s="20" t="str">
        <f t="shared" ca="1" si="137"/>
        <v>ON</v>
      </c>
      <c r="M297" s="1" t="str">
        <f t="shared" ca="1" si="116"/>
        <v>ON</v>
      </c>
      <c r="N297" s="1" t="str">
        <f t="shared" ca="1" si="117"/>
        <v>ON</v>
      </c>
      <c r="O297" s="1" t="str">
        <f t="shared" ca="1" si="118"/>
        <v>ON</v>
      </c>
      <c r="P297" s="1" t="str">
        <f t="shared" ca="1" si="119"/>
        <v>OFF</v>
      </c>
      <c r="Q297" s="1"/>
      <c r="R297" s="20" t="str">
        <f t="shared" ca="1" si="138"/>
        <v>ON</v>
      </c>
      <c r="S297" s="20" t="str">
        <f t="shared" ca="1" si="138"/>
        <v>ON</v>
      </c>
      <c r="T297" s="1" t="str">
        <f t="shared" ca="1" si="121"/>
        <v>ON</v>
      </c>
      <c r="U297" s="1" t="str">
        <f t="shared" ca="1" si="122"/>
        <v>ON</v>
      </c>
      <c r="V297" s="1" t="str">
        <f t="shared" ca="1" si="123"/>
        <v>ON</v>
      </c>
      <c r="W297" s="1" t="str">
        <f t="shared" ca="1" si="124"/>
        <v>ON</v>
      </c>
      <c r="X297" s="1"/>
      <c r="Y297" s="20" t="str">
        <f t="shared" ca="1" si="139"/>
        <v>ON</v>
      </c>
      <c r="Z297" s="20" t="str">
        <f t="shared" ca="1" si="139"/>
        <v>ON</v>
      </c>
      <c r="AA297" s="1" t="str">
        <f t="shared" ca="1" si="126"/>
        <v>ON</v>
      </c>
      <c r="AB297" s="1" t="str">
        <f t="shared" ca="1" si="127"/>
        <v>ON</v>
      </c>
      <c r="AC297" s="1" t="str">
        <f t="shared" ca="1" si="128"/>
        <v>ON</v>
      </c>
      <c r="AD297" s="1" t="str">
        <f t="shared" ca="1" si="129"/>
        <v>OFF</v>
      </c>
      <c r="AE297" s="1"/>
      <c r="AF297" s="20" t="str">
        <f t="shared" ca="1" si="140"/>
        <v>ON</v>
      </c>
      <c r="AG297" s="20" t="str">
        <f t="shared" ca="1" si="140"/>
        <v>ON</v>
      </c>
      <c r="AH297" s="1" t="str">
        <f t="shared" ca="1" si="131"/>
        <v>ON</v>
      </c>
      <c r="AI297" s="1" t="str">
        <f t="shared" ca="1" si="132"/>
        <v>ON</v>
      </c>
      <c r="AJ297" s="1" t="str">
        <f t="shared" ca="1" si="133"/>
        <v>ON</v>
      </c>
      <c r="AK297" s="1" t="str">
        <f t="shared" ca="1" si="134"/>
        <v>ON</v>
      </c>
      <c r="AL297" s="1"/>
      <c r="AM297" s="20" t="str">
        <f t="shared" si="141"/>
        <v>ON</v>
      </c>
      <c r="AN297" s="20" t="str">
        <f t="shared" si="141"/>
        <v>ON</v>
      </c>
      <c r="AO297" s="20" t="str">
        <f t="shared" si="136"/>
        <v>ON</v>
      </c>
    </row>
    <row r="298" spans="1:41">
      <c r="A298" t="str">
        <f t="shared" ca="1" si="110"/>
        <v>Lagos</v>
      </c>
      <c r="B298" t="str">
        <f t="shared" ca="1" si="111"/>
        <v>B</v>
      </c>
      <c r="C298" t="str">
        <f t="shared" ca="1" si="112"/>
        <v>B1</v>
      </c>
      <c r="D298" t="s">
        <v>6</v>
      </c>
      <c r="E298">
        <f t="shared" ca="1" si="113"/>
        <v>25</v>
      </c>
      <c r="F298">
        <f t="shared" ca="1" si="114"/>
        <v>2</v>
      </c>
      <c r="G298" t="str">
        <v>C</v>
      </c>
      <c r="H298" t="str">
        <v>C</v>
      </c>
      <c r="I298" t="str">
        <f ca="1">IF($A298="","",IF(COUNTA($R$2:$W$2)=6,"WK "&amp;_xlfn.ISOWEEKNUM($R$2)))</f>
        <v>WK 19</v>
      </c>
      <c r="J298" t="str">
        <f ca="1">IF($A298="","",IF(COUNTA($AF$2:$AK$2)=6,"WK "&amp;_xlfn.ISOWEEKNUM($AF$2)))</f>
        <v>WK 21</v>
      </c>
      <c r="K298" s="20" t="str">
        <f t="shared" ca="1" si="137"/>
        <v>ON</v>
      </c>
      <c r="L298" s="20" t="str">
        <f t="shared" ca="1" si="137"/>
        <v>ON</v>
      </c>
      <c r="M298" s="1" t="str">
        <f t="shared" ca="1" si="116"/>
        <v>ON</v>
      </c>
      <c r="N298" s="1" t="str">
        <f t="shared" ca="1" si="117"/>
        <v>ON</v>
      </c>
      <c r="O298" s="1" t="str">
        <f t="shared" ca="1" si="118"/>
        <v>ON</v>
      </c>
      <c r="P298" s="1" t="str">
        <f t="shared" ca="1" si="119"/>
        <v>ON</v>
      </c>
      <c r="Q298" s="1"/>
      <c r="R298" s="20" t="str">
        <f t="shared" ca="1" si="138"/>
        <v>ON</v>
      </c>
      <c r="S298" s="20" t="str">
        <f t="shared" ca="1" si="138"/>
        <v>ON</v>
      </c>
      <c r="T298" s="1" t="str">
        <f t="shared" ca="1" si="121"/>
        <v>ON</v>
      </c>
      <c r="U298" s="1" t="str">
        <f t="shared" ca="1" si="122"/>
        <v>ON</v>
      </c>
      <c r="V298" s="1" t="str">
        <f t="shared" ca="1" si="123"/>
        <v>OFF</v>
      </c>
      <c r="W298" s="1" t="str">
        <f t="shared" ca="1" si="124"/>
        <v>ON</v>
      </c>
      <c r="X298" s="1"/>
      <c r="Y298" s="20" t="str">
        <f t="shared" ca="1" si="139"/>
        <v>ON</v>
      </c>
      <c r="Z298" s="20" t="str">
        <f t="shared" ca="1" si="139"/>
        <v>ON</v>
      </c>
      <c r="AA298" s="1" t="str">
        <f t="shared" ca="1" si="126"/>
        <v>ON</v>
      </c>
      <c r="AB298" s="1" t="str">
        <f t="shared" ca="1" si="127"/>
        <v>ON</v>
      </c>
      <c r="AC298" s="1" t="str">
        <f t="shared" ca="1" si="128"/>
        <v>ON</v>
      </c>
      <c r="AD298" s="1" t="str">
        <f t="shared" ca="1" si="129"/>
        <v>ON</v>
      </c>
      <c r="AE298" s="1"/>
      <c r="AF298" s="20" t="str">
        <f t="shared" ca="1" si="140"/>
        <v>ON</v>
      </c>
      <c r="AG298" s="20" t="str">
        <f t="shared" ca="1" si="140"/>
        <v>ON</v>
      </c>
      <c r="AH298" s="1" t="str">
        <f t="shared" ca="1" si="131"/>
        <v>ON</v>
      </c>
      <c r="AI298" s="1" t="str">
        <f t="shared" ca="1" si="132"/>
        <v>ON</v>
      </c>
      <c r="AJ298" s="1" t="str">
        <f t="shared" ca="1" si="133"/>
        <v>OFF</v>
      </c>
      <c r="AK298" s="1" t="str">
        <f t="shared" ca="1" si="134"/>
        <v>ON</v>
      </c>
      <c r="AL298" s="1"/>
      <c r="AM298" s="20" t="str">
        <f t="shared" si="141"/>
        <v>ON</v>
      </c>
      <c r="AN298" s="20" t="str">
        <f t="shared" si="141"/>
        <v>ON</v>
      </c>
      <c r="AO298" s="20" t="str">
        <f t="shared" si="136"/>
        <v>ON</v>
      </c>
    </row>
    <row r="299" spans="1:41">
      <c r="A299" t="str">
        <f t="shared" ca="1" si="110"/>
        <v>Ekiti</v>
      </c>
      <c r="B299" t="str">
        <f t="shared" ca="1" si="111"/>
        <v>B</v>
      </c>
      <c r="C299" t="str">
        <f t="shared" ca="1" si="112"/>
        <v>E1</v>
      </c>
      <c r="D299" t="s">
        <v>6</v>
      </c>
      <c r="E299">
        <f t="shared" ca="1" si="113"/>
        <v>25</v>
      </c>
      <c r="F299">
        <f t="shared" ca="1" si="114"/>
        <v>2</v>
      </c>
      <c r="G299" t="str">
        <v>B</v>
      </c>
      <c r="H299" t="str">
        <v>B</v>
      </c>
      <c r="I299" t="str">
        <f ca="1">IF($A299="","",IF(COUNTA($K$2:$P$2)=6,"WK "&amp;_xlfn.ISOWEEKNUM($K$2)))</f>
        <v>WK 18</v>
      </c>
      <c r="J299" t="str">
        <f ca="1">IF($A299="","",IF(COUNTA($Y$2:$AD$2)=6,"WK "&amp;_xlfn.ISOWEEKNUM($Y$2)))</f>
        <v>WK 20</v>
      </c>
      <c r="K299" s="20" t="str">
        <f t="shared" ca="1" si="137"/>
        <v>ON</v>
      </c>
      <c r="L299" s="20" t="str">
        <f t="shared" ca="1" si="137"/>
        <v>ON</v>
      </c>
      <c r="M299" s="1" t="str">
        <f t="shared" ca="1" si="116"/>
        <v>ON</v>
      </c>
      <c r="N299" s="1" t="str">
        <f t="shared" ca="1" si="117"/>
        <v>OFF</v>
      </c>
      <c r="O299" s="1" t="str">
        <f t="shared" ca="1" si="118"/>
        <v>ON</v>
      </c>
      <c r="P299" s="1" t="str">
        <f t="shared" ca="1" si="119"/>
        <v>ON</v>
      </c>
      <c r="Q299" s="1"/>
      <c r="R299" s="20" t="str">
        <f t="shared" ca="1" si="138"/>
        <v>ON</v>
      </c>
      <c r="S299" s="20" t="str">
        <f t="shared" ca="1" si="138"/>
        <v>ON</v>
      </c>
      <c r="T299" s="1" t="str">
        <f t="shared" ca="1" si="121"/>
        <v>ON</v>
      </c>
      <c r="U299" s="1" t="str">
        <f t="shared" ca="1" si="122"/>
        <v>ON</v>
      </c>
      <c r="V299" s="1" t="str">
        <f t="shared" ca="1" si="123"/>
        <v>ON</v>
      </c>
      <c r="W299" s="1" t="str">
        <f t="shared" ca="1" si="124"/>
        <v>ON</v>
      </c>
      <c r="X299" s="1"/>
      <c r="Y299" s="20" t="str">
        <f t="shared" ca="1" si="139"/>
        <v>ON</v>
      </c>
      <c r="Z299" s="20" t="str">
        <f t="shared" ca="1" si="139"/>
        <v>ON</v>
      </c>
      <c r="AA299" s="1" t="str">
        <f t="shared" ca="1" si="126"/>
        <v>ON</v>
      </c>
      <c r="AB299" s="1" t="str">
        <f t="shared" ca="1" si="127"/>
        <v>OFF</v>
      </c>
      <c r="AC299" s="1" t="str">
        <f t="shared" ca="1" si="128"/>
        <v>ON</v>
      </c>
      <c r="AD299" s="1" t="str">
        <f t="shared" ca="1" si="129"/>
        <v>ON</v>
      </c>
      <c r="AE299" s="1"/>
      <c r="AF299" s="20" t="str">
        <f t="shared" ca="1" si="140"/>
        <v>ON</v>
      </c>
      <c r="AG299" s="20" t="str">
        <f t="shared" ca="1" si="140"/>
        <v>ON</v>
      </c>
      <c r="AH299" s="1" t="str">
        <f t="shared" ca="1" si="131"/>
        <v>ON</v>
      </c>
      <c r="AI299" s="1" t="str">
        <f t="shared" ca="1" si="132"/>
        <v>ON</v>
      </c>
      <c r="AJ299" s="1" t="str">
        <f t="shared" ca="1" si="133"/>
        <v>ON</v>
      </c>
      <c r="AK299" s="1" t="str">
        <f t="shared" ca="1" si="134"/>
        <v>ON</v>
      </c>
      <c r="AL299" s="1"/>
      <c r="AM299" s="20" t="str">
        <f t="shared" si="141"/>
        <v>ON</v>
      </c>
      <c r="AN299" s="20" t="str">
        <f t="shared" si="141"/>
        <v>ON</v>
      </c>
      <c r="AO299" s="20" t="str">
        <f t="shared" si="136"/>
        <v>ON</v>
      </c>
    </row>
    <row r="300" spans="1:41">
      <c r="A300" t="str">
        <f t="shared" ca="1" si="110"/>
        <v>Lagos</v>
      </c>
      <c r="B300" t="str">
        <f t="shared" ca="1" si="111"/>
        <v>E</v>
      </c>
      <c r="C300" t="str">
        <f t="shared" ca="1" si="112"/>
        <v>E1</v>
      </c>
      <c r="D300" t="s">
        <v>6</v>
      </c>
      <c r="E300">
        <f t="shared" ca="1" si="113"/>
        <v>25</v>
      </c>
      <c r="F300">
        <f t="shared" ca="1" si="114"/>
        <v>2</v>
      </c>
      <c r="G300" t="str">
        <v>A</v>
      </c>
      <c r="H300" t="str">
        <v>A</v>
      </c>
      <c r="I300" t="str">
        <f ca="1">IF($A300="","",IF(COUNTA($R$2:$W$2)=6,"WK "&amp;_xlfn.ISOWEEKNUM($R$2)))</f>
        <v>WK 19</v>
      </c>
      <c r="J300" t="str">
        <f ca="1">IF($A300="","",IF(COUNTA($AF$2:$AK$2)=6,"WK "&amp;_xlfn.ISOWEEKNUM($AF$2)))</f>
        <v>WK 21</v>
      </c>
      <c r="K300" s="20" t="str">
        <f t="shared" ca="1" si="137"/>
        <v>ON</v>
      </c>
      <c r="L300" s="20" t="str">
        <f t="shared" ca="1" si="137"/>
        <v>ON</v>
      </c>
      <c r="M300" s="1" t="str">
        <f t="shared" ca="1" si="116"/>
        <v>ON</v>
      </c>
      <c r="N300" s="1" t="str">
        <f t="shared" ca="1" si="117"/>
        <v>ON</v>
      </c>
      <c r="O300" s="1" t="str">
        <f t="shared" ca="1" si="118"/>
        <v>ON</v>
      </c>
      <c r="P300" s="1" t="str">
        <f t="shared" ca="1" si="119"/>
        <v>ON</v>
      </c>
      <c r="Q300" s="1"/>
      <c r="R300" s="20" t="str">
        <f t="shared" ca="1" si="138"/>
        <v>ON</v>
      </c>
      <c r="S300" s="20" t="str">
        <f t="shared" ca="1" si="138"/>
        <v>ON</v>
      </c>
      <c r="T300" s="1" t="str">
        <f t="shared" ca="1" si="121"/>
        <v>OFF</v>
      </c>
      <c r="U300" s="1" t="str">
        <f t="shared" ca="1" si="122"/>
        <v>ON</v>
      </c>
      <c r="V300" s="1" t="str">
        <f t="shared" ca="1" si="123"/>
        <v>ON</v>
      </c>
      <c r="W300" s="1" t="str">
        <f t="shared" ca="1" si="124"/>
        <v>ON</v>
      </c>
      <c r="X300" s="1"/>
      <c r="Y300" s="20" t="str">
        <f t="shared" ca="1" si="139"/>
        <v>ON</v>
      </c>
      <c r="Z300" s="20" t="str">
        <f t="shared" ca="1" si="139"/>
        <v>ON</v>
      </c>
      <c r="AA300" s="1" t="str">
        <f t="shared" ca="1" si="126"/>
        <v>ON</v>
      </c>
      <c r="AB300" s="1" t="str">
        <f t="shared" ca="1" si="127"/>
        <v>ON</v>
      </c>
      <c r="AC300" s="1" t="str">
        <f t="shared" ca="1" si="128"/>
        <v>ON</v>
      </c>
      <c r="AD300" s="1" t="str">
        <f t="shared" ca="1" si="129"/>
        <v>ON</v>
      </c>
      <c r="AE300" s="1"/>
      <c r="AF300" s="20" t="str">
        <f t="shared" ca="1" si="140"/>
        <v>ON</v>
      </c>
      <c r="AG300" s="20" t="str">
        <f t="shared" ca="1" si="140"/>
        <v>ON</v>
      </c>
      <c r="AH300" s="1" t="str">
        <f t="shared" ca="1" si="131"/>
        <v>OFF</v>
      </c>
      <c r="AI300" s="1" t="str">
        <f t="shared" ca="1" si="132"/>
        <v>ON</v>
      </c>
      <c r="AJ300" s="1" t="str">
        <f t="shared" ca="1" si="133"/>
        <v>ON</v>
      </c>
      <c r="AK300" s="1" t="str">
        <f t="shared" ca="1" si="134"/>
        <v>ON</v>
      </c>
      <c r="AL300" s="1"/>
      <c r="AM300" s="20" t="str">
        <f t="shared" si="141"/>
        <v>ON</v>
      </c>
      <c r="AN300" s="20" t="str">
        <f t="shared" si="141"/>
        <v>ON</v>
      </c>
      <c r="AO300" s="20" t="str">
        <f t="shared" si="136"/>
        <v>ON</v>
      </c>
    </row>
    <row r="301" spans="1:41">
      <c r="A301" t="str">
        <f t="shared" ca="1" si="110"/>
        <v>Ondo</v>
      </c>
      <c r="B301" t="str">
        <f t="shared" ca="1" si="111"/>
        <v>A</v>
      </c>
      <c r="C301" t="str">
        <f t="shared" ca="1" si="112"/>
        <v>D1</v>
      </c>
      <c r="D301" t="s">
        <v>7</v>
      </c>
      <c r="E301">
        <f t="shared" ca="1" si="113"/>
        <v>25</v>
      </c>
      <c r="F301">
        <f t="shared" ca="1" si="114"/>
        <v>2</v>
      </c>
      <c r="G301" t="str" cm="1">
        <f t="array" ref="G301:G304">Groups!$B$2:$B$5</f>
        <v>A</v>
      </c>
      <c r="H301" t="str" cm="1">
        <f t="array" ref="H301:H304">Groups!$B$2:$B$5</f>
        <v>A</v>
      </c>
      <c r="I301" t="str">
        <f ca="1">IF($A301="","",IF(COUNTA($K$2:$P$2)=6,"WK "&amp;_xlfn.ISOWEEKNUM($K$2)))</f>
        <v>WK 18</v>
      </c>
      <c r="J301" t="str">
        <f ca="1">IF($A301="","",IF(COUNTA($Y$2:$AD$2)=6,"WK "&amp;_xlfn.ISOWEEKNUM($Y$2)))</f>
        <v>WK 20</v>
      </c>
      <c r="K301" s="20" t="str">
        <f t="shared" ca="1" si="137"/>
        <v>ON</v>
      </c>
      <c r="L301" s="20" t="str">
        <f t="shared" ca="1" si="137"/>
        <v>ON</v>
      </c>
      <c r="M301" s="1" t="str">
        <f t="shared" ca="1" si="116"/>
        <v>OFF</v>
      </c>
      <c r="N301" s="1" t="str">
        <f t="shared" ca="1" si="117"/>
        <v>ON</v>
      </c>
      <c r="O301" s="1" t="str">
        <f t="shared" ca="1" si="118"/>
        <v>ON</v>
      </c>
      <c r="P301" s="1" t="str">
        <f t="shared" ca="1" si="119"/>
        <v>ON</v>
      </c>
      <c r="Q301" s="1"/>
      <c r="R301" s="20" t="str">
        <f t="shared" ca="1" si="138"/>
        <v>ON</v>
      </c>
      <c r="S301" s="20" t="str">
        <f t="shared" ca="1" si="138"/>
        <v>ON</v>
      </c>
      <c r="T301" s="1" t="str">
        <f t="shared" ca="1" si="121"/>
        <v>ON</v>
      </c>
      <c r="U301" s="1" t="str">
        <f t="shared" ca="1" si="122"/>
        <v>ON</v>
      </c>
      <c r="V301" s="1" t="str">
        <f t="shared" ca="1" si="123"/>
        <v>ON</v>
      </c>
      <c r="W301" s="1" t="str">
        <f t="shared" ca="1" si="124"/>
        <v>ON</v>
      </c>
      <c r="X301" s="1"/>
      <c r="Y301" s="20" t="str">
        <f t="shared" ca="1" si="139"/>
        <v>ON</v>
      </c>
      <c r="Z301" s="20" t="str">
        <f t="shared" ca="1" si="139"/>
        <v>ON</v>
      </c>
      <c r="AA301" s="1" t="str">
        <f t="shared" ca="1" si="126"/>
        <v>OFF</v>
      </c>
      <c r="AB301" s="1" t="str">
        <f t="shared" ca="1" si="127"/>
        <v>ON</v>
      </c>
      <c r="AC301" s="1" t="str">
        <f t="shared" ca="1" si="128"/>
        <v>ON</v>
      </c>
      <c r="AD301" s="1" t="str">
        <f t="shared" ca="1" si="129"/>
        <v>ON</v>
      </c>
      <c r="AE301" s="1"/>
      <c r="AF301" s="20" t="str">
        <f t="shared" ca="1" si="140"/>
        <v>ON</v>
      </c>
      <c r="AG301" s="20" t="str">
        <f t="shared" ca="1" si="140"/>
        <v>ON</v>
      </c>
      <c r="AH301" s="1" t="str">
        <f t="shared" ca="1" si="131"/>
        <v>ON</v>
      </c>
      <c r="AI301" s="1" t="str">
        <f t="shared" ca="1" si="132"/>
        <v>ON</v>
      </c>
      <c r="AJ301" s="1" t="str">
        <f t="shared" ca="1" si="133"/>
        <v>ON</v>
      </c>
      <c r="AK301" s="1" t="str">
        <f t="shared" ca="1" si="134"/>
        <v>ON</v>
      </c>
      <c r="AL301" s="1"/>
      <c r="AM301" s="20" t="str">
        <f t="shared" si="141"/>
        <v>ON</v>
      </c>
      <c r="AN301" s="20" t="str">
        <f t="shared" si="141"/>
        <v>ON</v>
      </c>
      <c r="AO301" s="20" t="str">
        <f t="shared" si="136"/>
        <v>ON</v>
      </c>
    </row>
    <row r="302" spans="1:41">
      <c r="A302" t="str">
        <f t="shared" ca="1" si="110"/>
        <v>Ondo</v>
      </c>
      <c r="B302" t="str">
        <f t="shared" ca="1" si="111"/>
        <v>D</v>
      </c>
      <c r="C302" t="str">
        <f t="shared" ca="1" si="112"/>
        <v>D1</v>
      </c>
      <c r="D302" t="s">
        <v>7</v>
      </c>
      <c r="E302">
        <f t="shared" ca="1" si="113"/>
        <v>25</v>
      </c>
      <c r="F302">
        <f t="shared" ca="1" si="114"/>
        <v>2</v>
      </c>
      <c r="G302" t="str">
        <v>B</v>
      </c>
      <c r="H302" t="str">
        <v>B</v>
      </c>
      <c r="I302" t="str">
        <f ca="1">IF($A302="","",IF(COUNTA($R$2:$W$2)=6,"WK "&amp;_xlfn.ISOWEEKNUM($R$2)))</f>
        <v>WK 19</v>
      </c>
      <c r="J302" t="str">
        <f ca="1">IF($A302="","",IF(COUNTA($AF$2:$AK$2)=6,"WK "&amp;_xlfn.ISOWEEKNUM($AF$2)))</f>
        <v>WK 21</v>
      </c>
      <c r="K302" s="20" t="str">
        <f t="shared" ca="1" si="137"/>
        <v>ON</v>
      </c>
      <c r="L302" s="20" t="str">
        <f t="shared" ca="1" si="137"/>
        <v>ON</v>
      </c>
      <c r="M302" s="1" t="str">
        <f t="shared" ca="1" si="116"/>
        <v>ON</v>
      </c>
      <c r="N302" s="1" t="str">
        <f t="shared" ca="1" si="117"/>
        <v>ON</v>
      </c>
      <c r="O302" s="1" t="str">
        <f t="shared" ca="1" si="118"/>
        <v>ON</v>
      </c>
      <c r="P302" s="1" t="str">
        <f t="shared" ca="1" si="119"/>
        <v>ON</v>
      </c>
      <c r="Q302" s="1"/>
      <c r="R302" s="20" t="str">
        <f t="shared" ca="1" si="138"/>
        <v>ON</v>
      </c>
      <c r="S302" s="20" t="str">
        <f t="shared" ca="1" si="138"/>
        <v>ON</v>
      </c>
      <c r="T302" s="1" t="str">
        <f t="shared" ca="1" si="121"/>
        <v>ON</v>
      </c>
      <c r="U302" s="1" t="str">
        <f t="shared" ca="1" si="122"/>
        <v>OFF</v>
      </c>
      <c r="V302" s="1" t="str">
        <f t="shared" ca="1" si="123"/>
        <v>ON</v>
      </c>
      <c r="W302" s="1" t="str">
        <f t="shared" ca="1" si="124"/>
        <v>ON</v>
      </c>
      <c r="X302" s="1"/>
      <c r="Y302" s="20" t="str">
        <f t="shared" ca="1" si="139"/>
        <v>ON</v>
      </c>
      <c r="Z302" s="20" t="str">
        <f t="shared" ca="1" si="139"/>
        <v>ON</v>
      </c>
      <c r="AA302" s="1" t="str">
        <f t="shared" ca="1" si="126"/>
        <v>ON</v>
      </c>
      <c r="AB302" s="1" t="str">
        <f t="shared" ca="1" si="127"/>
        <v>ON</v>
      </c>
      <c r="AC302" s="1" t="str">
        <f t="shared" ca="1" si="128"/>
        <v>ON</v>
      </c>
      <c r="AD302" s="1" t="str">
        <f t="shared" ca="1" si="129"/>
        <v>ON</v>
      </c>
      <c r="AE302" s="1"/>
      <c r="AF302" s="20" t="str">
        <f t="shared" ca="1" si="140"/>
        <v>ON</v>
      </c>
      <c r="AG302" s="20" t="str">
        <f t="shared" ca="1" si="140"/>
        <v>ON</v>
      </c>
      <c r="AH302" s="1" t="str">
        <f t="shared" ca="1" si="131"/>
        <v>ON</v>
      </c>
      <c r="AI302" s="1" t="str">
        <f t="shared" ca="1" si="132"/>
        <v>OFF</v>
      </c>
      <c r="AJ302" s="1" t="str">
        <f t="shared" ca="1" si="133"/>
        <v>ON</v>
      </c>
      <c r="AK302" s="1" t="str">
        <f t="shared" ca="1" si="134"/>
        <v>ON</v>
      </c>
      <c r="AL302" s="1"/>
      <c r="AM302" s="20" t="str">
        <f t="shared" si="141"/>
        <v>ON</v>
      </c>
      <c r="AN302" s="20" t="str">
        <f t="shared" si="141"/>
        <v>ON</v>
      </c>
      <c r="AO302" s="20" t="str">
        <f t="shared" si="136"/>
        <v>ON</v>
      </c>
    </row>
    <row r="303" spans="1:41">
      <c r="A303" t="str">
        <f t="shared" ca="1" si="110"/>
        <v>Lagos</v>
      </c>
      <c r="B303" t="str">
        <f t="shared" ca="1" si="111"/>
        <v>D</v>
      </c>
      <c r="C303" t="str">
        <f t="shared" ca="1" si="112"/>
        <v>A1</v>
      </c>
      <c r="D303" t="s">
        <v>4</v>
      </c>
      <c r="E303">
        <f t="shared" ca="1" si="113"/>
        <v>25</v>
      </c>
      <c r="F303">
        <f t="shared" ca="1" si="114"/>
        <v>2</v>
      </c>
      <c r="G303" t="str">
        <v>C</v>
      </c>
      <c r="H303" t="str">
        <v>C</v>
      </c>
      <c r="I303" t="str">
        <f ca="1">IF($A303="","",IF(COUNTA($K$2:$P$2)=6,"WK "&amp;_xlfn.ISOWEEKNUM($K$2)))</f>
        <v>WK 18</v>
      </c>
      <c r="J303" t="str">
        <f ca="1">IF($A303="","",IF(COUNTA($Y$2:$AD$2)=6,"WK "&amp;_xlfn.ISOWEEKNUM($Y$2)))</f>
        <v>WK 20</v>
      </c>
      <c r="K303" s="20" t="str">
        <f t="shared" ca="1" si="137"/>
        <v>ON</v>
      </c>
      <c r="L303" s="20" t="str">
        <f t="shared" ca="1" si="137"/>
        <v>ON</v>
      </c>
      <c r="M303" s="1" t="str">
        <f t="shared" ca="1" si="116"/>
        <v>ON</v>
      </c>
      <c r="N303" s="1" t="str">
        <f t="shared" ca="1" si="117"/>
        <v>ON</v>
      </c>
      <c r="O303" s="1" t="str">
        <f t="shared" ca="1" si="118"/>
        <v>OFF</v>
      </c>
      <c r="P303" s="1" t="str">
        <f t="shared" ca="1" si="119"/>
        <v>ON</v>
      </c>
      <c r="Q303" s="1"/>
      <c r="R303" s="20" t="str">
        <f t="shared" ca="1" si="138"/>
        <v>ON</v>
      </c>
      <c r="S303" s="20" t="str">
        <f t="shared" ca="1" si="138"/>
        <v>ON</v>
      </c>
      <c r="T303" s="1" t="str">
        <f t="shared" ca="1" si="121"/>
        <v>ON</v>
      </c>
      <c r="U303" s="1" t="str">
        <f t="shared" ca="1" si="122"/>
        <v>ON</v>
      </c>
      <c r="V303" s="1" t="str">
        <f t="shared" ca="1" si="123"/>
        <v>ON</v>
      </c>
      <c r="W303" s="1" t="str">
        <f t="shared" ca="1" si="124"/>
        <v>ON</v>
      </c>
      <c r="X303" s="1"/>
      <c r="Y303" s="20" t="str">
        <f t="shared" ca="1" si="139"/>
        <v>ON</v>
      </c>
      <c r="Z303" s="20" t="str">
        <f t="shared" ca="1" si="139"/>
        <v>ON</v>
      </c>
      <c r="AA303" s="1" t="str">
        <f t="shared" ca="1" si="126"/>
        <v>ON</v>
      </c>
      <c r="AB303" s="1" t="str">
        <f t="shared" ca="1" si="127"/>
        <v>ON</v>
      </c>
      <c r="AC303" s="1" t="str">
        <f t="shared" ca="1" si="128"/>
        <v>OFF</v>
      </c>
      <c r="AD303" s="1" t="str">
        <f t="shared" ca="1" si="129"/>
        <v>ON</v>
      </c>
      <c r="AE303" s="1"/>
      <c r="AF303" s="20" t="str">
        <f t="shared" ca="1" si="140"/>
        <v>ON</v>
      </c>
      <c r="AG303" s="20" t="str">
        <f t="shared" ca="1" si="140"/>
        <v>ON</v>
      </c>
      <c r="AH303" s="1" t="str">
        <f t="shared" ca="1" si="131"/>
        <v>ON</v>
      </c>
      <c r="AI303" s="1" t="str">
        <f t="shared" ca="1" si="132"/>
        <v>ON</v>
      </c>
      <c r="AJ303" s="1" t="str">
        <f t="shared" ca="1" si="133"/>
        <v>ON</v>
      </c>
      <c r="AK303" s="1" t="str">
        <f t="shared" ca="1" si="134"/>
        <v>ON</v>
      </c>
      <c r="AL303" s="1"/>
      <c r="AM303" s="20" t="str">
        <f t="shared" si="141"/>
        <v>ON</v>
      </c>
      <c r="AN303" s="20" t="str">
        <f t="shared" si="141"/>
        <v>ON</v>
      </c>
      <c r="AO303" s="20" t="str">
        <f t="shared" si="136"/>
        <v>ON</v>
      </c>
    </row>
    <row r="304" spans="1:41">
      <c r="A304" t="str">
        <f t="shared" ca="1" si="110"/>
        <v>Ogun</v>
      </c>
      <c r="B304" t="str">
        <f t="shared" ca="1" si="111"/>
        <v>E</v>
      </c>
      <c r="C304" t="str">
        <f t="shared" ca="1" si="112"/>
        <v>E1</v>
      </c>
      <c r="D304" t="s">
        <v>4</v>
      </c>
      <c r="E304">
        <f t="shared" ca="1" si="113"/>
        <v>25</v>
      </c>
      <c r="F304">
        <f t="shared" ca="1" si="114"/>
        <v>2</v>
      </c>
      <c r="G304" t="str">
        <v>D</v>
      </c>
      <c r="H304" t="str">
        <v>D</v>
      </c>
      <c r="I304" t="str">
        <f ca="1">IF($A304="","",IF(COUNTA($R$2:$W$2)=6,"WK "&amp;_xlfn.ISOWEEKNUM($R$2)))</f>
        <v>WK 19</v>
      </c>
      <c r="J304" t="str">
        <f ca="1">IF($A304="","",IF(COUNTA($AF$2:$AK$2)=6,"WK "&amp;_xlfn.ISOWEEKNUM($AF$2)))</f>
        <v>WK 21</v>
      </c>
      <c r="K304" s="20" t="str">
        <f t="shared" ca="1" si="137"/>
        <v>ON</v>
      </c>
      <c r="L304" s="20" t="str">
        <f t="shared" ca="1" si="137"/>
        <v>ON</v>
      </c>
      <c r="M304" s="1" t="str">
        <f t="shared" ca="1" si="116"/>
        <v>ON</v>
      </c>
      <c r="N304" s="1" t="str">
        <f t="shared" ca="1" si="117"/>
        <v>ON</v>
      </c>
      <c r="O304" s="1" t="str">
        <f t="shared" ca="1" si="118"/>
        <v>ON</v>
      </c>
      <c r="P304" s="1" t="str">
        <f t="shared" ca="1" si="119"/>
        <v>ON</v>
      </c>
      <c r="Q304" s="1"/>
      <c r="R304" s="20" t="str">
        <f t="shared" ca="1" si="138"/>
        <v>ON</v>
      </c>
      <c r="S304" s="20" t="str">
        <f t="shared" ca="1" si="138"/>
        <v>ON</v>
      </c>
      <c r="T304" s="1" t="str">
        <f t="shared" ca="1" si="121"/>
        <v>ON</v>
      </c>
      <c r="U304" s="1" t="str">
        <f t="shared" ca="1" si="122"/>
        <v>ON</v>
      </c>
      <c r="V304" s="1" t="str">
        <f t="shared" ca="1" si="123"/>
        <v>ON</v>
      </c>
      <c r="W304" s="1" t="str">
        <f t="shared" ca="1" si="124"/>
        <v>OFF</v>
      </c>
      <c r="X304" s="1"/>
      <c r="Y304" s="20" t="str">
        <f t="shared" ca="1" si="139"/>
        <v>ON</v>
      </c>
      <c r="Z304" s="20" t="str">
        <f t="shared" ca="1" si="139"/>
        <v>ON</v>
      </c>
      <c r="AA304" s="1" t="str">
        <f t="shared" ca="1" si="126"/>
        <v>ON</v>
      </c>
      <c r="AB304" s="1" t="str">
        <f t="shared" ca="1" si="127"/>
        <v>ON</v>
      </c>
      <c r="AC304" s="1" t="str">
        <f t="shared" ca="1" si="128"/>
        <v>ON</v>
      </c>
      <c r="AD304" s="1" t="str">
        <f t="shared" ca="1" si="129"/>
        <v>ON</v>
      </c>
      <c r="AE304" s="1"/>
      <c r="AF304" s="20" t="str">
        <f t="shared" ca="1" si="140"/>
        <v>ON</v>
      </c>
      <c r="AG304" s="20" t="str">
        <f t="shared" ca="1" si="140"/>
        <v>ON</v>
      </c>
      <c r="AH304" s="1" t="str">
        <f t="shared" ca="1" si="131"/>
        <v>ON</v>
      </c>
      <c r="AI304" s="1" t="str">
        <f t="shared" ca="1" si="132"/>
        <v>ON</v>
      </c>
      <c r="AJ304" s="1" t="str">
        <f t="shared" ca="1" si="133"/>
        <v>ON</v>
      </c>
      <c r="AK304" s="1" t="str">
        <f t="shared" ca="1" si="134"/>
        <v>OFF</v>
      </c>
      <c r="AL304" s="1"/>
      <c r="AM304" s="20" t="str">
        <f t="shared" si="141"/>
        <v>ON</v>
      </c>
      <c r="AN304" s="20" t="str">
        <f t="shared" si="141"/>
        <v>ON</v>
      </c>
      <c r="AO304" s="20" t="str">
        <f t="shared" si="136"/>
        <v>ON</v>
      </c>
    </row>
    <row r="305" spans="1:41">
      <c r="A305" t="str">
        <f t="shared" ca="1" si="110"/>
        <v>Lagos</v>
      </c>
      <c r="B305" t="str">
        <f t="shared" ca="1" si="111"/>
        <v>C</v>
      </c>
      <c r="C305" t="str">
        <f t="shared" ca="1" si="112"/>
        <v>E1</v>
      </c>
      <c r="D305" t="s">
        <v>9</v>
      </c>
      <c r="E305">
        <f t="shared" ca="1" si="113"/>
        <v>25</v>
      </c>
      <c r="F305">
        <f t="shared" ca="1" si="114"/>
        <v>2</v>
      </c>
      <c r="G305" t="str" cm="1">
        <f t="array" ref="G305:G308">IF($G$5:$G$8={"A";"B";"C";"D"},{"D";"C";"B";"A"},{"A";"B";"C";"D"})</f>
        <v>D</v>
      </c>
      <c r="H305" t="str" cm="1">
        <f t="array" ref="H305:H308">IF($H$5:$H$8={"A";"B";"C";"D"},{"D";"C";"B";"A"},{"A";"B";"C";"D"})</f>
        <v>D</v>
      </c>
      <c r="I305" t="str">
        <f ca="1">IF($A305="","",IF(COUNTA($K$2:$P$2)=6,"WK "&amp;_xlfn.ISOWEEKNUM($K$2)))</f>
        <v>WK 18</v>
      </c>
      <c r="J305" t="str">
        <f ca="1">IF($A305="","",IF(COUNTA($Y$2:$AD$2)=6,"WK "&amp;_xlfn.ISOWEEKNUM($Y$2)))</f>
        <v>WK 20</v>
      </c>
      <c r="K305" s="20" t="str">
        <f t="shared" ca="1" si="137"/>
        <v>ON</v>
      </c>
      <c r="L305" s="20" t="str">
        <f t="shared" ca="1" si="137"/>
        <v>ON</v>
      </c>
      <c r="M305" s="1" t="str">
        <f t="shared" ca="1" si="116"/>
        <v>ON</v>
      </c>
      <c r="N305" s="1" t="str">
        <f t="shared" ca="1" si="117"/>
        <v>ON</v>
      </c>
      <c r="O305" s="1" t="str">
        <f t="shared" ca="1" si="118"/>
        <v>ON</v>
      </c>
      <c r="P305" s="1" t="str">
        <f t="shared" ca="1" si="119"/>
        <v>OFF</v>
      </c>
      <c r="Q305" s="1"/>
      <c r="R305" s="20" t="str">
        <f t="shared" ca="1" si="138"/>
        <v>ON</v>
      </c>
      <c r="S305" s="20" t="str">
        <f t="shared" ca="1" si="138"/>
        <v>ON</v>
      </c>
      <c r="T305" s="1" t="str">
        <f t="shared" ca="1" si="121"/>
        <v>ON</v>
      </c>
      <c r="U305" s="1" t="str">
        <f t="shared" ca="1" si="122"/>
        <v>ON</v>
      </c>
      <c r="V305" s="1" t="str">
        <f t="shared" ca="1" si="123"/>
        <v>ON</v>
      </c>
      <c r="W305" s="1" t="str">
        <f t="shared" ca="1" si="124"/>
        <v>ON</v>
      </c>
      <c r="X305" s="1"/>
      <c r="Y305" s="20" t="str">
        <f t="shared" ca="1" si="139"/>
        <v>ON</v>
      </c>
      <c r="Z305" s="20" t="str">
        <f t="shared" ca="1" si="139"/>
        <v>ON</v>
      </c>
      <c r="AA305" s="1" t="str">
        <f t="shared" ca="1" si="126"/>
        <v>ON</v>
      </c>
      <c r="AB305" s="1" t="str">
        <f t="shared" ca="1" si="127"/>
        <v>ON</v>
      </c>
      <c r="AC305" s="1" t="str">
        <f t="shared" ca="1" si="128"/>
        <v>ON</v>
      </c>
      <c r="AD305" s="1" t="str">
        <f t="shared" ca="1" si="129"/>
        <v>OFF</v>
      </c>
      <c r="AE305" s="1"/>
      <c r="AF305" s="20" t="str">
        <f t="shared" ca="1" si="140"/>
        <v>ON</v>
      </c>
      <c r="AG305" s="20" t="str">
        <f t="shared" ca="1" si="140"/>
        <v>ON</v>
      </c>
      <c r="AH305" s="1" t="str">
        <f t="shared" ca="1" si="131"/>
        <v>ON</v>
      </c>
      <c r="AI305" s="1" t="str">
        <f t="shared" ca="1" si="132"/>
        <v>ON</v>
      </c>
      <c r="AJ305" s="1" t="str">
        <f t="shared" ca="1" si="133"/>
        <v>ON</v>
      </c>
      <c r="AK305" s="1" t="str">
        <f t="shared" ca="1" si="134"/>
        <v>ON</v>
      </c>
      <c r="AL305" s="1"/>
      <c r="AM305" s="20" t="str">
        <f t="shared" si="141"/>
        <v>ON</v>
      </c>
      <c r="AN305" s="20" t="str">
        <f t="shared" si="141"/>
        <v>ON</v>
      </c>
      <c r="AO305" s="20" t="str">
        <f t="shared" si="136"/>
        <v>ON</v>
      </c>
    </row>
    <row r="306" spans="1:41">
      <c r="A306" t="str">
        <f t="shared" ca="1" si="110"/>
        <v>Lagos</v>
      </c>
      <c r="B306" t="str">
        <f t="shared" ca="1" si="111"/>
        <v>D</v>
      </c>
      <c r="C306" t="str">
        <f t="shared" ca="1" si="112"/>
        <v>E1</v>
      </c>
      <c r="D306" t="s">
        <v>5</v>
      </c>
      <c r="E306">
        <f t="shared" ca="1" si="113"/>
        <v>25</v>
      </c>
      <c r="F306">
        <f t="shared" ca="1" si="114"/>
        <v>2</v>
      </c>
      <c r="G306" t="str">
        <v>C</v>
      </c>
      <c r="H306" t="str">
        <v>C</v>
      </c>
      <c r="I306" t="str">
        <f ca="1">IF($A306="","",IF(COUNTA($R$2:$W$2)=6,"WK "&amp;_xlfn.ISOWEEKNUM($R$2)))</f>
        <v>WK 19</v>
      </c>
      <c r="J306" t="str">
        <f ca="1">IF($A306="","",IF(COUNTA($AF$2:$AK$2)=6,"WK "&amp;_xlfn.ISOWEEKNUM($AF$2)))</f>
        <v>WK 21</v>
      </c>
      <c r="K306" s="20" t="str">
        <f t="shared" ca="1" si="137"/>
        <v>ON</v>
      </c>
      <c r="L306" s="20" t="str">
        <f t="shared" ca="1" si="137"/>
        <v>ON</v>
      </c>
      <c r="M306" s="1" t="str">
        <f t="shared" ca="1" si="116"/>
        <v>ON</v>
      </c>
      <c r="N306" s="1" t="str">
        <f t="shared" ca="1" si="117"/>
        <v>ON</v>
      </c>
      <c r="O306" s="1" t="str">
        <f t="shared" ca="1" si="118"/>
        <v>ON</v>
      </c>
      <c r="P306" s="1" t="str">
        <f t="shared" ca="1" si="119"/>
        <v>ON</v>
      </c>
      <c r="Q306" s="1"/>
      <c r="R306" s="20" t="str">
        <f t="shared" ca="1" si="138"/>
        <v>ON</v>
      </c>
      <c r="S306" s="20" t="str">
        <f t="shared" ca="1" si="138"/>
        <v>ON</v>
      </c>
      <c r="T306" s="1" t="str">
        <f t="shared" ca="1" si="121"/>
        <v>ON</v>
      </c>
      <c r="U306" s="1" t="str">
        <f t="shared" ca="1" si="122"/>
        <v>ON</v>
      </c>
      <c r="V306" s="1" t="str">
        <f t="shared" ca="1" si="123"/>
        <v>OFF</v>
      </c>
      <c r="W306" s="1" t="str">
        <f t="shared" ca="1" si="124"/>
        <v>ON</v>
      </c>
      <c r="X306" s="1"/>
      <c r="Y306" s="20" t="str">
        <f t="shared" ca="1" si="139"/>
        <v>ON</v>
      </c>
      <c r="Z306" s="20" t="str">
        <f t="shared" ca="1" si="139"/>
        <v>ON</v>
      </c>
      <c r="AA306" s="1" t="str">
        <f t="shared" ca="1" si="126"/>
        <v>ON</v>
      </c>
      <c r="AB306" s="1" t="str">
        <f t="shared" ca="1" si="127"/>
        <v>ON</v>
      </c>
      <c r="AC306" s="1" t="str">
        <f t="shared" ca="1" si="128"/>
        <v>ON</v>
      </c>
      <c r="AD306" s="1" t="str">
        <f t="shared" ca="1" si="129"/>
        <v>ON</v>
      </c>
      <c r="AE306" s="1"/>
      <c r="AF306" s="20" t="str">
        <f t="shared" ca="1" si="140"/>
        <v>ON</v>
      </c>
      <c r="AG306" s="20" t="str">
        <f t="shared" ca="1" si="140"/>
        <v>ON</v>
      </c>
      <c r="AH306" s="1" t="str">
        <f t="shared" ca="1" si="131"/>
        <v>ON</v>
      </c>
      <c r="AI306" s="1" t="str">
        <f t="shared" ca="1" si="132"/>
        <v>ON</v>
      </c>
      <c r="AJ306" s="1" t="str">
        <f t="shared" ca="1" si="133"/>
        <v>OFF</v>
      </c>
      <c r="AK306" s="1" t="str">
        <f t="shared" ca="1" si="134"/>
        <v>ON</v>
      </c>
      <c r="AL306" s="1"/>
      <c r="AM306" s="20" t="str">
        <f t="shared" si="141"/>
        <v>ON</v>
      </c>
      <c r="AN306" s="20" t="str">
        <f t="shared" si="141"/>
        <v>ON</v>
      </c>
      <c r="AO306" s="20" t="str">
        <f t="shared" si="136"/>
        <v>ON</v>
      </c>
    </row>
    <row r="307" spans="1:41">
      <c r="A307" t="str">
        <f t="shared" ca="1" si="110"/>
        <v>Lagos</v>
      </c>
      <c r="B307" t="str">
        <f t="shared" ca="1" si="111"/>
        <v>E</v>
      </c>
      <c r="C307" t="str">
        <f t="shared" ca="1" si="112"/>
        <v>C1</v>
      </c>
      <c r="D307" t="s">
        <v>5</v>
      </c>
      <c r="E307">
        <f t="shared" ca="1" si="113"/>
        <v>25</v>
      </c>
      <c r="F307">
        <f t="shared" ca="1" si="114"/>
        <v>2</v>
      </c>
      <c r="G307" t="str">
        <v>B</v>
      </c>
      <c r="H307" t="str">
        <v>B</v>
      </c>
      <c r="I307" t="str">
        <f ca="1">IF($A307="","",IF(COUNTA($K$2:$P$2)=6,"WK "&amp;_xlfn.ISOWEEKNUM($K$2)))</f>
        <v>WK 18</v>
      </c>
      <c r="J307" t="str">
        <f ca="1">IF($A307="","",IF(COUNTA($Y$2:$AD$2)=6,"WK "&amp;_xlfn.ISOWEEKNUM($Y$2)))</f>
        <v>WK 20</v>
      </c>
      <c r="K307" s="20" t="str">
        <f t="shared" ca="1" si="137"/>
        <v>ON</v>
      </c>
      <c r="L307" s="20" t="str">
        <f t="shared" ca="1" si="137"/>
        <v>ON</v>
      </c>
      <c r="M307" s="1" t="str">
        <f t="shared" ca="1" si="116"/>
        <v>ON</v>
      </c>
      <c r="N307" s="1" t="str">
        <f t="shared" ca="1" si="117"/>
        <v>OFF</v>
      </c>
      <c r="O307" s="1" t="str">
        <f t="shared" ca="1" si="118"/>
        <v>ON</v>
      </c>
      <c r="P307" s="1" t="str">
        <f t="shared" ca="1" si="119"/>
        <v>ON</v>
      </c>
      <c r="Q307" s="1"/>
      <c r="R307" s="20" t="str">
        <f t="shared" ca="1" si="138"/>
        <v>ON</v>
      </c>
      <c r="S307" s="20" t="str">
        <f t="shared" ca="1" si="138"/>
        <v>ON</v>
      </c>
      <c r="T307" s="1" t="str">
        <f t="shared" ca="1" si="121"/>
        <v>ON</v>
      </c>
      <c r="U307" s="1" t="str">
        <f t="shared" ca="1" si="122"/>
        <v>ON</v>
      </c>
      <c r="V307" s="1" t="str">
        <f t="shared" ca="1" si="123"/>
        <v>ON</v>
      </c>
      <c r="W307" s="1" t="str">
        <f t="shared" ca="1" si="124"/>
        <v>ON</v>
      </c>
      <c r="X307" s="1"/>
      <c r="Y307" s="20" t="str">
        <f t="shared" ca="1" si="139"/>
        <v>ON</v>
      </c>
      <c r="Z307" s="20" t="str">
        <f t="shared" ca="1" si="139"/>
        <v>ON</v>
      </c>
      <c r="AA307" s="1" t="str">
        <f t="shared" ca="1" si="126"/>
        <v>ON</v>
      </c>
      <c r="AB307" s="1" t="str">
        <f t="shared" ca="1" si="127"/>
        <v>OFF</v>
      </c>
      <c r="AC307" s="1" t="str">
        <f t="shared" ca="1" si="128"/>
        <v>ON</v>
      </c>
      <c r="AD307" s="1" t="str">
        <f t="shared" ca="1" si="129"/>
        <v>ON</v>
      </c>
      <c r="AE307" s="1"/>
      <c r="AF307" s="20" t="str">
        <f t="shared" ca="1" si="140"/>
        <v>ON</v>
      </c>
      <c r="AG307" s="20" t="str">
        <f t="shared" ca="1" si="140"/>
        <v>ON</v>
      </c>
      <c r="AH307" s="1" t="str">
        <f t="shared" ca="1" si="131"/>
        <v>ON</v>
      </c>
      <c r="AI307" s="1" t="str">
        <f t="shared" ca="1" si="132"/>
        <v>ON</v>
      </c>
      <c r="AJ307" s="1" t="str">
        <f t="shared" ca="1" si="133"/>
        <v>ON</v>
      </c>
      <c r="AK307" s="1" t="str">
        <f t="shared" ca="1" si="134"/>
        <v>ON</v>
      </c>
      <c r="AL307" s="1"/>
      <c r="AM307" s="20" t="str">
        <f t="shared" si="141"/>
        <v>ON</v>
      </c>
      <c r="AN307" s="20" t="str">
        <f t="shared" si="141"/>
        <v>ON</v>
      </c>
      <c r="AO307" s="20" t="str">
        <f t="shared" si="136"/>
        <v>ON</v>
      </c>
    </row>
    <row r="308" spans="1:41">
      <c r="A308" t="str">
        <f t="shared" ca="1" si="110"/>
        <v>Ekiti</v>
      </c>
      <c r="B308" t="str">
        <f t="shared" ca="1" si="111"/>
        <v>C</v>
      </c>
      <c r="C308" t="str">
        <f t="shared" ca="1" si="112"/>
        <v>D1</v>
      </c>
      <c r="D308" t="s">
        <v>5</v>
      </c>
      <c r="E308">
        <f t="shared" ca="1" si="113"/>
        <v>25</v>
      </c>
      <c r="F308">
        <f t="shared" ca="1" si="114"/>
        <v>2</v>
      </c>
      <c r="G308" t="str">
        <v>A</v>
      </c>
      <c r="H308" t="str">
        <v>A</v>
      </c>
      <c r="I308" t="str">
        <f ca="1">IF($A308="","",IF(COUNTA($R$2:$W$2)=6,"WK "&amp;_xlfn.ISOWEEKNUM($R$2)))</f>
        <v>WK 19</v>
      </c>
      <c r="J308" t="str">
        <f ca="1">IF($A308="","",IF(COUNTA($AF$2:$AK$2)=6,"WK "&amp;_xlfn.ISOWEEKNUM($AF$2)))</f>
        <v>WK 21</v>
      </c>
      <c r="K308" s="20" t="str">
        <f t="shared" ca="1" si="137"/>
        <v>ON</v>
      </c>
      <c r="L308" s="20" t="str">
        <f t="shared" ca="1" si="137"/>
        <v>ON</v>
      </c>
      <c r="M308" s="1" t="str">
        <f t="shared" ca="1" si="116"/>
        <v>ON</v>
      </c>
      <c r="N308" s="1" t="str">
        <f t="shared" ca="1" si="117"/>
        <v>ON</v>
      </c>
      <c r="O308" s="1" t="str">
        <f t="shared" ca="1" si="118"/>
        <v>ON</v>
      </c>
      <c r="P308" s="1" t="str">
        <f t="shared" ca="1" si="119"/>
        <v>ON</v>
      </c>
      <c r="Q308" s="1"/>
      <c r="R308" s="20" t="str">
        <f t="shared" ca="1" si="138"/>
        <v>ON</v>
      </c>
      <c r="S308" s="20" t="str">
        <f t="shared" ca="1" si="138"/>
        <v>ON</v>
      </c>
      <c r="T308" s="1" t="str">
        <f t="shared" ca="1" si="121"/>
        <v>OFF</v>
      </c>
      <c r="U308" s="1" t="str">
        <f t="shared" ca="1" si="122"/>
        <v>ON</v>
      </c>
      <c r="V308" s="1" t="str">
        <f t="shared" ca="1" si="123"/>
        <v>ON</v>
      </c>
      <c r="W308" s="1" t="str">
        <f t="shared" ca="1" si="124"/>
        <v>ON</v>
      </c>
      <c r="X308" s="1"/>
      <c r="Y308" s="20" t="str">
        <f t="shared" ca="1" si="139"/>
        <v>ON</v>
      </c>
      <c r="Z308" s="20" t="str">
        <f t="shared" ca="1" si="139"/>
        <v>ON</v>
      </c>
      <c r="AA308" s="1" t="str">
        <f t="shared" ca="1" si="126"/>
        <v>ON</v>
      </c>
      <c r="AB308" s="1" t="str">
        <f t="shared" ca="1" si="127"/>
        <v>ON</v>
      </c>
      <c r="AC308" s="1" t="str">
        <f t="shared" ca="1" si="128"/>
        <v>ON</v>
      </c>
      <c r="AD308" s="1" t="str">
        <f t="shared" ca="1" si="129"/>
        <v>ON</v>
      </c>
      <c r="AE308" s="1"/>
      <c r="AF308" s="20" t="str">
        <f t="shared" ca="1" si="140"/>
        <v>ON</v>
      </c>
      <c r="AG308" s="20" t="str">
        <f t="shared" ca="1" si="140"/>
        <v>ON</v>
      </c>
      <c r="AH308" s="1" t="str">
        <f t="shared" ca="1" si="131"/>
        <v>OFF</v>
      </c>
      <c r="AI308" s="1" t="str">
        <f t="shared" ca="1" si="132"/>
        <v>ON</v>
      </c>
      <c r="AJ308" s="1" t="str">
        <f t="shared" ca="1" si="133"/>
        <v>ON</v>
      </c>
      <c r="AK308" s="1" t="str">
        <f t="shared" ca="1" si="134"/>
        <v>ON</v>
      </c>
      <c r="AL308" s="1"/>
      <c r="AM308" s="20" t="str">
        <f t="shared" si="141"/>
        <v>ON</v>
      </c>
      <c r="AN308" s="20" t="str">
        <f t="shared" si="141"/>
        <v>ON</v>
      </c>
      <c r="AO308" s="20" t="str">
        <f t="shared" si="136"/>
        <v>ON</v>
      </c>
    </row>
    <row r="309" spans="1:41">
      <c r="A309" t="str">
        <f t="shared" ca="1" si="110"/>
        <v>Oyo</v>
      </c>
      <c r="B309" t="str">
        <f t="shared" ca="1" si="111"/>
        <v>D</v>
      </c>
      <c r="C309" t="str">
        <f t="shared" ca="1" si="112"/>
        <v>A1</v>
      </c>
      <c r="D309" t="s">
        <v>5</v>
      </c>
      <c r="E309">
        <f t="shared" ca="1" si="113"/>
        <v>25</v>
      </c>
      <c r="F309">
        <f t="shared" ca="1" si="114"/>
        <v>2</v>
      </c>
      <c r="G309" t="str" cm="1">
        <f t="array" ref="G309:G312">Groups!$B$2:$B$5</f>
        <v>A</v>
      </c>
      <c r="H309" t="str" cm="1">
        <f t="array" ref="H309:H312">Groups!$B$2:$B$5</f>
        <v>A</v>
      </c>
      <c r="I309" t="str">
        <f ca="1">IF($A309="","",IF(COUNTA($K$2:$P$2)=6,"WK "&amp;_xlfn.ISOWEEKNUM($K$2)))</f>
        <v>WK 18</v>
      </c>
      <c r="J309" t="str">
        <f ca="1">IF($A309="","",IF(COUNTA($Y$2:$AD$2)=6,"WK "&amp;_xlfn.ISOWEEKNUM($Y$2)))</f>
        <v>WK 20</v>
      </c>
      <c r="K309" s="20" t="str">
        <f t="shared" ca="1" si="137"/>
        <v>ON</v>
      </c>
      <c r="L309" s="20" t="str">
        <f t="shared" ca="1" si="137"/>
        <v>ON</v>
      </c>
      <c r="M309" s="1" t="str">
        <f t="shared" ca="1" si="116"/>
        <v>OFF</v>
      </c>
      <c r="N309" s="1" t="str">
        <f t="shared" ca="1" si="117"/>
        <v>ON</v>
      </c>
      <c r="O309" s="1" t="str">
        <f t="shared" ca="1" si="118"/>
        <v>ON</v>
      </c>
      <c r="P309" s="1" t="str">
        <f t="shared" ca="1" si="119"/>
        <v>ON</v>
      </c>
      <c r="Q309" s="1"/>
      <c r="R309" s="20" t="str">
        <f t="shared" ca="1" si="138"/>
        <v>ON</v>
      </c>
      <c r="S309" s="20" t="str">
        <f t="shared" ca="1" si="138"/>
        <v>ON</v>
      </c>
      <c r="T309" s="1" t="str">
        <f t="shared" ca="1" si="121"/>
        <v>ON</v>
      </c>
      <c r="U309" s="1" t="str">
        <f t="shared" ca="1" si="122"/>
        <v>ON</v>
      </c>
      <c r="V309" s="1" t="str">
        <f t="shared" ca="1" si="123"/>
        <v>ON</v>
      </c>
      <c r="W309" s="1" t="str">
        <f t="shared" ca="1" si="124"/>
        <v>ON</v>
      </c>
      <c r="X309" s="1"/>
      <c r="Y309" s="20" t="str">
        <f t="shared" ca="1" si="139"/>
        <v>ON</v>
      </c>
      <c r="Z309" s="20" t="str">
        <f t="shared" ca="1" si="139"/>
        <v>ON</v>
      </c>
      <c r="AA309" s="1" t="str">
        <f t="shared" ca="1" si="126"/>
        <v>OFF</v>
      </c>
      <c r="AB309" s="1" t="str">
        <f t="shared" ca="1" si="127"/>
        <v>ON</v>
      </c>
      <c r="AC309" s="1" t="str">
        <f t="shared" ca="1" si="128"/>
        <v>ON</v>
      </c>
      <c r="AD309" s="1" t="str">
        <f t="shared" ca="1" si="129"/>
        <v>ON</v>
      </c>
      <c r="AE309" s="1"/>
      <c r="AF309" s="20" t="str">
        <f t="shared" ca="1" si="140"/>
        <v>ON</v>
      </c>
      <c r="AG309" s="20" t="str">
        <f t="shared" ca="1" si="140"/>
        <v>ON</v>
      </c>
      <c r="AH309" s="1" t="str">
        <f t="shared" ca="1" si="131"/>
        <v>ON</v>
      </c>
      <c r="AI309" s="1" t="str">
        <f t="shared" ca="1" si="132"/>
        <v>ON</v>
      </c>
      <c r="AJ309" s="1" t="str">
        <f t="shared" ca="1" si="133"/>
        <v>ON</v>
      </c>
      <c r="AK309" s="1" t="str">
        <f t="shared" ca="1" si="134"/>
        <v>ON</v>
      </c>
      <c r="AL309" s="1"/>
      <c r="AM309" s="20" t="str">
        <f t="shared" si="141"/>
        <v>ON</v>
      </c>
      <c r="AN309" s="20" t="str">
        <f t="shared" si="141"/>
        <v>ON</v>
      </c>
      <c r="AO309" s="20" t="str">
        <f t="shared" si="136"/>
        <v>ON</v>
      </c>
    </row>
    <row r="310" spans="1:41">
      <c r="A310" t="str">
        <f t="shared" ca="1" si="110"/>
        <v>Ekiti</v>
      </c>
      <c r="B310" t="str">
        <f t="shared" ca="1" si="111"/>
        <v>C</v>
      </c>
      <c r="C310" t="str">
        <f t="shared" ca="1" si="112"/>
        <v>E1</v>
      </c>
      <c r="D310" t="s">
        <v>5</v>
      </c>
      <c r="E310">
        <f t="shared" ca="1" si="113"/>
        <v>25</v>
      </c>
      <c r="F310">
        <f t="shared" ca="1" si="114"/>
        <v>2</v>
      </c>
      <c r="G310" t="str">
        <v>B</v>
      </c>
      <c r="H310" t="str">
        <v>B</v>
      </c>
      <c r="I310" t="str">
        <f ca="1">IF($A310="","",IF(COUNTA($R$2:$W$2)=6,"WK "&amp;_xlfn.ISOWEEKNUM($R$2)))</f>
        <v>WK 19</v>
      </c>
      <c r="J310" t="str">
        <f ca="1">IF($A310="","",IF(COUNTA($AF$2:$AK$2)=6,"WK "&amp;_xlfn.ISOWEEKNUM($AF$2)))</f>
        <v>WK 21</v>
      </c>
      <c r="K310" s="20" t="str">
        <f t="shared" ca="1" si="137"/>
        <v>ON</v>
      </c>
      <c r="L310" s="20" t="str">
        <f t="shared" ca="1" si="137"/>
        <v>ON</v>
      </c>
      <c r="M310" s="1" t="str">
        <f t="shared" ca="1" si="116"/>
        <v>ON</v>
      </c>
      <c r="N310" s="1" t="str">
        <f t="shared" ca="1" si="117"/>
        <v>ON</v>
      </c>
      <c r="O310" s="1" t="str">
        <f t="shared" ca="1" si="118"/>
        <v>ON</v>
      </c>
      <c r="P310" s="1" t="str">
        <f t="shared" ca="1" si="119"/>
        <v>ON</v>
      </c>
      <c r="Q310" s="1"/>
      <c r="R310" s="20" t="str">
        <f t="shared" ca="1" si="138"/>
        <v>ON</v>
      </c>
      <c r="S310" s="20" t="str">
        <f t="shared" ca="1" si="138"/>
        <v>ON</v>
      </c>
      <c r="T310" s="1" t="str">
        <f t="shared" ca="1" si="121"/>
        <v>ON</v>
      </c>
      <c r="U310" s="1" t="str">
        <f t="shared" ca="1" si="122"/>
        <v>OFF</v>
      </c>
      <c r="V310" s="1" t="str">
        <f t="shared" ca="1" si="123"/>
        <v>ON</v>
      </c>
      <c r="W310" s="1" t="str">
        <f t="shared" ca="1" si="124"/>
        <v>ON</v>
      </c>
      <c r="X310" s="1"/>
      <c r="Y310" s="20" t="str">
        <f t="shared" ca="1" si="139"/>
        <v>ON</v>
      </c>
      <c r="Z310" s="20" t="str">
        <f t="shared" ca="1" si="139"/>
        <v>ON</v>
      </c>
      <c r="AA310" s="1" t="str">
        <f t="shared" ca="1" si="126"/>
        <v>ON</v>
      </c>
      <c r="AB310" s="1" t="str">
        <f t="shared" ca="1" si="127"/>
        <v>ON</v>
      </c>
      <c r="AC310" s="1" t="str">
        <f t="shared" ca="1" si="128"/>
        <v>ON</v>
      </c>
      <c r="AD310" s="1" t="str">
        <f t="shared" ca="1" si="129"/>
        <v>ON</v>
      </c>
      <c r="AE310" s="1"/>
      <c r="AF310" s="20" t="str">
        <f t="shared" ca="1" si="140"/>
        <v>ON</v>
      </c>
      <c r="AG310" s="20" t="str">
        <f t="shared" ca="1" si="140"/>
        <v>ON</v>
      </c>
      <c r="AH310" s="1" t="str">
        <f t="shared" ca="1" si="131"/>
        <v>ON</v>
      </c>
      <c r="AI310" s="1" t="str">
        <f t="shared" ca="1" si="132"/>
        <v>OFF</v>
      </c>
      <c r="AJ310" s="1" t="str">
        <f t="shared" ca="1" si="133"/>
        <v>ON</v>
      </c>
      <c r="AK310" s="1" t="str">
        <f t="shared" ca="1" si="134"/>
        <v>ON</v>
      </c>
      <c r="AL310" s="1"/>
      <c r="AM310" s="20" t="str">
        <f t="shared" si="141"/>
        <v>ON</v>
      </c>
      <c r="AN310" s="20" t="str">
        <f t="shared" si="141"/>
        <v>ON</v>
      </c>
      <c r="AO310" s="20" t="str">
        <f t="shared" si="136"/>
        <v>ON</v>
      </c>
    </row>
    <row r="311" spans="1:41">
      <c r="A311" t="str">
        <f t="shared" ca="1" si="110"/>
        <v>Ogun</v>
      </c>
      <c r="B311" t="str">
        <f t="shared" ca="1" si="111"/>
        <v>D</v>
      </c>
      <c r="C311" t="str">
        <f t="shared" ca="1" si="112"/>
        <v>B1</v>
      </c>
      <c r="D311" t="s">
        <v>5</v>
      </c>
      <c r="E311">
        <f t="shared" ca="1" si="113"/>
        <v>25</v>
      </c>
      <c r="F311">
        <f t="shared" ca="1" si="114"/>
        <v>2</v>
      </c>
      <c r="G311" t="str">
        <v>C</v>
      </c>
      <c r="H311" t="str">
        <v>C</v>
      </c>
      <c r="I311" t="str">
        <f ca="1">IF($A311="","",IF(COUNTA($K$2:$P$2)=6,"WK "&amp;_xlfn.ISOWEEKNUM($K$2)))</f>
        <v>WK 18</v>
      </c>
      <c r="J311" t="str">
        <f ca="1">IF($A311="","",IF(COUNTA($Y$2:$AD$2)=6,"WK "&amp;_xlfn.ISOWEEKNUM($Y$2)))</f>
        <v>WK 20</v>
      </c>
      <c r="K311" s="20" t="str">
        <f t="shared" ca="1" si="137"/>
        <v>ON</v>
      </c>
      <c r="L311" s="20" t="str">
        <f t="shared" ca="1" si="137"/>
        <v>ON</v>
      </c>
      <c r="M311" s="1" t="str">
        <f t="shared" ca="1" si="116"/>
        <v>ON</v>
      </c>
      <c r="N311" s="1" t="str">
        <f t="shared" ca="1" si="117"/>
        <v>ON</v>
      </c>
      <c r="O311" s="1" t="str">
        <f t="shared" ca="1" si="118"/>
        <v>OFF</v>
      </c>
      <c r="P311" s="1" t="str">
        <f t="shared" ca="1" si="119"/>
        <v>ON</v>
      </c>
      <c r="Q311" s="1"/>
      <c r="R311" s="20" t="str">
        <f t="shared" ca="1" si="138"/>
        <v>ON</v>
      </c>
      <c r="S311" s="20" t="str">
        <f t="shared" ca="1" si="138"/>
        <v>ON</v>
      </c>
      <c r="T311" s="1" t="str">
        <f t="shared" ca="1" si="121"/>
        <v>ON</v>
      </c>
      <c r="U311" s="1" t="str">
        <f t="shared" ca="1" si="122"/>
        <v>ON</v>
      </c>
      <c r="V311" s="1" t="str">
        <f t="shared" ca="1" si="123"/>
        <v>ON</v>
      </c>
      <c r="W311" s="1" t="str">
        <f t="shared" ca="1" si="124"/>
        <v>ON</v>
      </c>
      <c r="X311" s="1"/>
      <c r="Y311" s="20" t="str">
        <f t="shared" ca="1" si="139"/>
        <v>ON</v>
      </c>
      <c r="Z311" s="20" t="str">
        <f t="shared" ca="1" si="139"/>
        <v>ON</v>
      </c>
      <c r="AA311" s="1" t="str">
        <f t="shared" ca="1" si="126"/>
        <v>ON</v>
      </c>
      <c r="AB311" s="1" t="str">
        <f t="shared" ca="1" si="127"/>
        <v>ON</v>
      </c>
      <c r="AC311" s="1" t="str">
        <f t="shared" ca="1" si="128"/>
        <v>OFF</v>
      </c>
      <c r="AD311" s="1" t="str">
        <f t="shared" ca="1" si="129"/>
        <v>ON</v>
      </c>
      <c r="AE311" s="1"/>
      <c r="AF311" s="20" t="str">
        <f t="shared" ca="1" si="140"/>
        <v>ON</v>
      </c>
      <c r="AG311" s="20" t="str">
        <f t="shared" ca="1" si="140"/>
        <v>ON</v>
      </c>
      <c r="AH311" s="1" t="str">
        <f t="shared" ca="1" si="131"/>
        <v>ON</v>
      </c>
      <c r="AI311" s="1" t="str">
        <f t="shared" ca="1" si="132"/>
        <v>ON</v>
      </c>
      <c r="AJ311" s="1" t="str">
        <f t="shared" ca="1" si="133"/>
        <v>ON</v>
      </c>
      <c r="AK311" s="1" t="str">
        <f t="shared" ca="1" si="134"/>
        <v>ON</v>
      </c>
      <c r="AL311" s="1"/>
      <c r="AM311" s="20" t="str">
        <f t="shared" si="141"/>
        <v>ON</v>
      </c>
      <c r="AN311" s="20" t="str">
        <f t="shared" si="141"/>
        <v>ON</v>
      </c>
      <c r="AO311" s="20" t="str">
        <f t="shared" si="136"/>
        <v>ON</v>
      </c>
    </row>
    <row r="312" spans="1:41">
      <c r="A312" t="str">
        <f t="shared" ca="1" si="110"/>
        <v>Ekiti</v>
      </c>
      <c r="B312" t="str">
        <f t="shared" ca="1" si="111"/>
        <v>E</v>
      </c>
      <c r="C312" t="str">
        <f t="shared" ca="1" si="112"/>
        <v>C1</v>
      </c>
      <c r="D312" t="s">
        <v>5</v>
      </c>
      <c r="E312">
        <f t="shared" ca="1" si="113"/>
        <v>25</v>
      </c>
      <c r="F312">
        <f t="shared" ca="1" si="114"/>
        <v>2</v>
      </c>
      <c r="G312" t="str">
        <v>D</v>
      </c>
      <c r="H312" t="str">
        <v>D</v>
      </c>
      <c r="I312" t="str">
        <f ca="1">IF($A312="","",IF(COUNTA($R$2:$W$2)=6,"WK "&amp;_xlfn.ISOWEEKNUM($R$2)))</f>
        <v>WK 19</v>
      </c>
      <c r="J312" t="str">
        <f ca="1">IF($A312="","",IF(COUNTA($AF$2:$AK$2)=6,"WK "&amp;_xlfn.ISOWEEKNUM($AF$2)))</f>
        <v>WK 21</v>
      </c>
      <c r="K312" s="20" t="str">
        <f t="shared" ca="1" si="137"/>
        <v>ON</v>
      </c>
      <c r="L312" s="20" t="str">
        <f t="shared" ca="1" si="137"/>
        <v>ON</v>
      </c>
      <c r="M312" s="1" t="str">
        <f t="shared" ca="1" si="116"/>
        <v>ON</v>
      </c>
      <c r="N312" s="1" t="str">
        <f t="shared" ca="1" si="117"/>
        <v>ON</v>
      </c>
      <c r="O312" s="1" t="str">
        <f t="shared" ca="1" si="118"/>
        <v>ON</v>
      </c>
      <c r="P312" s="1" t="str">
        <f t="shared" ca="1" si="119"/>
        <v>ON</v>
      </c>
      <c r="Q312" s="1"/>
      <c r="R312" s="20" t="str">
        <f t="shared" ca="1" si="138"/>
        <v>ON</v>
      </c>
      <c r="S312" s="20" t="str">
        <f t="shared" ca="1" si="138"/>
        <v>ON</v>
      </c>
      <c r="T312" s="1" t="str">
        <f t="shared" ca="1" si="121"/>
        <v>ON</v>
      </c>
      <c r="U312" s="1" t="str">
        <f t="shared" ca="1" si="122"/>
        <v>ON</v>
      </c>
      <c r="V312" s="1" t="str">
        <f t="shared" ca="1" si="123"/>
        <v>ON</v>
      </c>
      <c r="W312" s="1" t="str">
        <f t="shared" ca="1" si="124"/>
        <v>OFF</v>
      </c>
      <c r="X312" s="1"/>
      <c r="Y312" s="20" t="str">
        <f t="shared" ca="1" si="139"/>
        <v>ON</v>
      </c>
      <c r="Z312" s="20" t="str">
        <f t="shared" ca="1" si="139"/>
        <v>ON</v>
      </c>
      <c r="AA312" s="1" t="str">
        <f t="shared" ca="1" si="126"/>
        <v>ON</v>
      </c>
      <c r="AB312" s="1" t="str">
        <f t="shared" ca="1" si="127"/>
        <v>ON</v>
      </c>
      <c r="AC312" s="1" t="str">
        <f t="shared" ca="1" si="128"/>
        <v>ON</v>
      </c>
      <c r="AD312" s="1" t="str">
        <f t="shared" ca="1" si="129"/>
        <v>ON</v>
      </c>
      <c r="AE312" s="1"/>
      <c r="AF312" s="20" t="str">
        <f t="shared" ca="1" si="140"/>
        <v>ON</v>
      </c>
      <c r="AG312" s="20" t="str">
        <f t="shared" ca="1" si="140"/>
        <v>ON</v>
      </c>
      <c r="AH312" s="1" t="str">
        <f t="shared" ca="1" si="131"/>
        <v>ON</v>
      </c>
      <c r="AI312" s="1" t="str">
        <f t="shared" ca="1" si="132"/>
        <v>ON</v>
      </c>
      <c r="AJ312" s="1" t="str">
        <f t="shared" ca="1" si="133"/>
        <v>ON</v>
      </c>
      <c r="AK312" s="1" t="str">
        <f t="shared" ca="1" si="134"/>
        <v>OFF</v>
      </c>
      <c r="AL312" s="1"/>
      <c r="AM312" s="20" t="str">
        <f t="shared" si="141"/>
        <v>ON</v>
      </c>
      <c r="AN312" s="20" t="str">
        <f t="shared" si="141"/>
        <v>ON</v>
      </c>
      <c r="AO312" s="20" t="str">
        <f t="shared" si="136"/>
        <v>ON</v>
      </c>
    </row>
    <row r="313" spans="1:41">
      <c r="A313" t="str">
        <f t="shared" ca="1" si="110"/>
        <v>Ekiti</v>
      </c>
      <c r="B313" t="str">
        <f t="shared" ca="1" si="111"/>
        <v>D</v>
      </c>
      <c r="C313" t="str">
        <f t="shared" ca="1" si="112"/>
        <v>B1</v>
      </c>
      <c r="D313" t="s">
        <v>8</v>
      </c>
      <c r="E313">
        <f t="shared" ca="1" si="113"/>
        <v>25</v>
      </c>
      <c r="F313">
        <f t="shared" ca="1" si="114"/>
        <v>2</v>
      </c>
      <c r="G313" t="str" cm="1">
        <f t="array" ref="G313:G316">IF($G$5:$G$8={"A";"B";"C";"D"},{"D";"C";"B";"A"},{"A";"B";"C";"D"})</f>
        <v>D</v>
      </c>
      <c r="H313" t="str" cm="1">
        <f t="array" ref="H313:H316">IF($H$5:$H$8={"A";"B";"C";"D"},{"D";"C";"B";"A"},{"A";"B";"C";"D"})</f>
        <v>D</v>
      </c>
      <c r="I313" t="str">
        <f ca="1">IF($A313="","",IF(COUNTA($K$2:$P$2)=6,"WK "&amp;_xlfn.ISOWEEKNUM($K$2)))</f>
        <v>WK 18</v>
      </c>
      <c r="J313" t="str">
        <f ca="1">IF($A313="","",IF(COUNTA($Y$2:$AD$2)=6,"WK "&amp;_xlfn.ISOWEEKNUM($Y$2)))</f>
        <v>WK 20</v>
      </c>
      <c r="K313" s="20" t="str">
        <f t="shared" ca="1" si="137"/>
        <v>ON</v>
      </c>
      <c r="L313" s="20" t="str">
        <f t="shared" ca="1" si="137"/>
        <v>ON</v>
      </c>
      <c r="M313" s="1" t="str">
        <f t="shared" ca="1" si="116"/>
        <v>ON</v>
      </c>
      <c r="N313" s="1" t="str">
        <f t="shared" ca="1" si="117"/>
        <v>ON</v>
      </c>
      <c r="O313" s="1" t="str">
        <f t="shared" ca="1" si="118"/>
        <v>ON</v>
      </c>
      <c r="P313" s="1" t="str">
        <f t="shared" ca="1" si="119"/>
        <v>OFF</v>
      </c>
      <c r="Q313" s="1"/>
      <c r="R313" s="20" t="str">
        <f t="shared" ca="1" si="138"/>
        <v>ON</v>
      </c>
      <c r="S313" s="20" t="str">
        <f t="shared" ca="1" si="138"/>
        <v>ON</v>
      </c>
      <c r="T313" s="1" t="str">
        <f t="shared" ca="1" si="121"/>
        <v>ON</v>
      </c>
      <c r="U313" s="1" t="str">
        <f t="shared" ca="1" si="122"/>
        <v>ON</v>
      </c>
      <c r="V313" s="1" t="str">
        <f t="shared" ca="1" si="123"/>
        <v>ON</v>
      </c>
      <c r="W313" s="1" t="str">
        <f t="shared" ca="1" si="124"/>
        <v>ON</v>
      </c>
      <c r="X313" s="1"/>
      <c r="Y313" s="20" t="str">
        <f t="shared" ca="1" si="139"/>
        <v>ON</v>
      </c>
      <c r="Z313" s="20" t="str">
        <f t="shared" ca="1" si="139"/>
        <v>ON</v>
      </c>
      <c r="AA313" s="1" t="str">
        <f t="shared" ca="1" si="126"/>
        <v>ON</v>
      </c>
      <c r="AB313" s="1" t="str">
        <f t="shared" ca="1" si="127"/>
        <v>ON</v>
      </c>
      <c r="AC313" s="1" t="str">
        <f t="shared" ca="1" si="128"/>
        <v>ON</v>
      </c>
      <c r="AD313" s="1" t="str">
        <f t="shared" ca="1" si="129"/>
        <v>OFF</v>
      </c>
      <c r="AE313" s="1"/>
      <c r="AF313" s="20" t="str">
        <f t="shared" ca="1" si="140"/>
        <v>ON</v>
      </c>
      <c r="AG313" s="20" t="str">
        <f t="shared" ca="1" si="140"/>
        <v>ON</v>
      </c>
      <c r="AH313" s="1" t="str">
        <f t="shared" ca="1" si="131"/>
        <v>ON</v>
      </c>
      <c r="AI313" s="1" t="str">
        <f t="shared" ca="1" si="132"/>
        <v>ON</v>
      </c>
      <c r="AJ313" s="1" t="str">
        <f t="shared" ca="1" si="133"/>
        <v>ON</v>
      </c>
      <c r="AK313" s="1" t="str">
        <f t="shared" ca="1" si="134"/>
        <v>ON</v>
      </c>
      <c r="AL313" s="1"/>
      <c r="AM313" s="20" t="str">
        <f t="shared" si="141"/>
        <v>ON</v>
      </c>
      <c r="AN313" s="20" t="str">
        <f t="shared" si="141"/>
        <v>ON</v>
      </c>
      <c r="AO313" s="20" t="str">
        <f t="shared" si="136"/>
        <v>ON</v>
      </c>
    </row>
    <row r="314" spans="1:41">
      <c r="A314" t="str">
        <f t="shared" ca="1" si="110"/>
        <v>Lagos</v>
      </c>
      <c r="B314" t="str">
        <f t="shared" ca="1" si="111"/>
        <v>E</v>
      </c>
      <c r="C314" t="str">
        <f t="shared" ca="1" si="112"/>
        <v>D1</v>
      </c>
      <c r="D314" t="s">
        <v>8</v>
      </c>
      <c r="E314">
        <f t="shared" ca="1" si="113"/>
        <v>25</v>
      </c>
      <c r="F314">
        <f t="shared" ca="1" si="114"/>
        <v>2</v>
      </c>
      <c r="G314" t="str">
        <v>C</v>
      </c>
      <c r="H314" t="str">
        <v>C</v>
      </c>
      <c r="I314" t="str">
        <f ca="1">IF($A314="","",IF(COUNTA($R$2:$W$2)=6,"WK "&amp;_xlfn.ISOWEEKNUM($R$2)))</f>
        <v>WK 19</v>
      </c>
      <c r="J314" t="str">
        <f ca="1">IF($A314="","",IF(COUNTA($AF$2:$AK$2)=6,"WK "&amp;_xlfn.ISOWEEKNUM($AF$2)))</f>
        <v>WK 21</v>
      </c>
      <c r="K314" s="20" t="str">
        <f t="shared" ca="1" si="137"/>
        <v>ON</v>
      </c>
      <c r="L314" s="20" t="str">
        <f t="shared" ca="1" si="137"/>
        <v>ON</v>
      </c>
      <c r="M314" s="1" t="str">
        <f t="shared" ca="1" si="116"/>
        <v>ON</v>
      </c>
      <c r="N314" s="1" t="str">
        <f t="shared" ca="1" si="117"/>
        <v>ON</v>
      </c>
      <c r="O314" s="1" t="str">
        <f t="shared" ca="1" si="118"/>
        <v>ON</v>
      </c>
      <c r="P314" s="1" t="str">
        <f t="shared" ca="1" si="119"/>
        <v>ON</v>
      </c>
      <c r="Q314" s="1"/>
      <c r="R314" s="20" t="str">
        <f t="shared" ca="1" si="138"/>
        <v>ON</v>
      </c>
      <c r="S314" s="20" t="str">
        <f t="shared" ca="1" si="138"/>
        <v>ON</v>
      </c>
      <c r="T314" s="1" t="str">
        <f t="shared" ca="1" si="121"/>
        <v>ON</v>
      </c>
      <c r="U314" s="1" t="str">
        <f t="shared" ca="1" si="122"/>
        <v>ON</v>
      </c>
      <c r="V314" s="1" t="str">
        <f t="shared" ca="1" si="123"/>
        <v>OFF</v>
      </c>
      <c r="W314" s="1" t="str">
        <f t="shared" ca="1" si="124"/>
        <v>ON</v>
      </c>
      <c r="X314" s="1"/>
      <c r="Y314" s="20" t="str">
        <f t="shared" ca="1" si="139"/>
        <v>ON</v>
      </c>
      <c r="Z314" s="20" t="str">
        <f t="shared" ca="1" si="139"/>
        <v>ON</v>
      </c>
      <c r="AA314" s="1" t="str">
        <f t="shared" ca="1" si="126"/>
        <v>ON</v>
      </c>
      <c r="AB314" s="1" t="str">
        <f t="shared" ca="1" si="127"/>
        <v>ON</v>
      </c>
      <c r="AC314" s="1" t="str">
        <f t="shared" ca="1" si="128"/>
        <v>ON</v>
      </c>
      <c r="AD314" s="1" t="str">
        <f t="shared" ca="1" si="129"/>
        <v>ON</v>
      </c>
      <c r="AE314" s="1"/>
      <c r="AF314" s="20" t="str">
        <f t="shared" ca="1" si="140"/>
        <v>ON</v>
      </c>
      <c r="AG314" s="20" t="str">
        <f t="shared" ca="1" si="140"/>
        <v>ON</v>
      </c>
      <c r="AH314" s="1" t="str">
        <f t="shared" ca="1" si="131"/>
        <v>ON</v>
      </c>
      <c r="AI314" s="1" t="str">
        <f t="shared" ca="1" si="132"/>
        <v>ON</v>
      </c>
      <c r="AJ314" s="1" t="str">
        <f t="shared" ca="1" si="133"/>
        <v>OFF</v>
      </c>
      <c r="AK314" s="1" t="str">
        <f t="shared" ca="1" si="134"/>
        <v>ON</v>
      </c>
      <c r="AL314" s="1"/>
      <c r="AM314" s="20" t="str">
        <f t="shared" si="141"/>
        <v>ON</v>
      </c>
      <c r="AN314" s="20" t="str">
        <f t="shared" si="141"/>
        <v>ON</v>
      </c>
      <c r="AO314" s="20" t="str">
        <f t="shared" si="136"/>
        <v>ON</v>
      </c>
    </row>
    <row r="315" spans="1:41">
      <c r="A315" t="str">
        <f t="shared" ca="1" si="110"/>
        <v>Oyo</v>
      </c>
      <c r="B315" t="str">
        <f t="shared" ca="1" si="111"/>
        <v>C</v>
      </c>
      <c r="C315" t="str">
        <f t="shared" ca="1" si="112"/>
        <v>A1</v>
      </c>
      <c r="D315" t="s">
        <v>8</v>
      </c>
      <c r="E315">
        <f t="shared" ca="1" si="113"/>
        <v>25</v>
      </c>
      <c r="F315">
        <f t="shared" ca="1" si="114"/>
        <v>2</v>
      </c>
      <c r="G315" t="str">
        <v>B</v>
      </c>
      <c r="H315" t="str">
        <v>B</v>
      </c>
      <c r="I315" t="str">
        <f ca="1">IF($A315="","",IF(COUNTA($K$2:$P$2)=6,"WK "&amp;_xlfn.ISOWEEKNUM($K$2)))</f>
        <v>WK 18</v>
      </c>
      <c r="J315" t="str">
        <f ca="1">IF($A315="","",IF(COUNTA($Y$2:$AD$2)=6,"WK "&amp;_xlfn.ISOWEEKNUM($Y$2)))</f>
        <v>WK 20</v>
      </c>
      <c r="K315" s="20" t="str">
        <f t="shared" ca="1" si="137"/>
        <v>ON</v>
      </c>
      <c r="L315" s="20" t="str">
        <f t="shared" ca="1" si="137"/>
        <v>ON</v>
      </c>
      <c r="M315" s="1" t="str">
        <f t="shared" ca="1" si="116"/>
        <v>ON</v>
      </c>
      <c r="N315" s="1" t="str">
        <f t="shared" ca="1" si="117"/>
        <v>OFF</v>
      </c>
      <c r="O315" s="1" t="str">
        <f t="shared" ca="1" si="118"/>
        <v>ON</v>
      </c>
      <c r="P315" s="1" t="str">
        <f t="shared" ca="1" si="119"/>
        <v>ON</v>
      </c>
      <c r="Q315" s="1"/>
      <c r="R315" s="20" t="str">
        <f t="shared" ca="1" si="138"/>
        <v>ON</v>
      </c>
      <c r="S315" s="20" t="str">
        <f t="shared" ca="1" si="138"/>
        <v>ON</v>
      </c>
      <c r="T315" s="1" t="str">
        <f t="shared" ca="1" si="121"/>
        <v>ON</v>
      </c>
      <c r="U315" s="1" t="str">
        <f t="shared" ca="1" si="122"/>
        <v>ON</v>
      </c>
      <c r="V315" s="1" t="str">
        <f t="shared" ca="1" si="123"/>
        <v>ON</v>
      </c>
      <c r="W315" s="1" t="str">
        <f t="shared" ca="1" si="124"/>
        <v>ON</v>
      </c>
      <c r="X315" s="1"/>
      <c r="Y315" s="20" t="str">
        <f t="shared" ca="1" si="139"/>
        <v>ON</v>
      </c>
      <c r="Z315" s="20" t="str">
        <f t="shared" ca="1" si="139"/>
        <v>ON</v>
      </c>
      <c r="AA315" s="1" t="str">
        <f t="shared" ca="1" si="126"/>
        <v>ON</v>
      </c>
      <c r="AB315" s="1" t="str">
        <f t="shared" ca="1" si="127"/>
        <v>OFF</v>
      </c>
      <c r="AC315" s="1" t="str">
        <f t="shared" ca="1" si="128"/>
        <v>ON</v>
      </c>
      <c r="AD315" s="1" t="str">
        <f t="shared" ca="1" si="129"/>
        <v>ON</v>
      </c>
      <c r="AE315" s="1"/>
      <c r="AF315" s="20" t="str">
        <f t="shared" ca="1" si="140"/>
        <v>ON</v>
      </c>
      <c r="AG315" s="20" t="str">
        <f t="shared" ca="1" si="140"/>
        <v>ON</v>
      </c>
      <c r="AH315" s="1" t="str">
        <f t="shared" ca="1" si="131"/>
        <v>ON</v>
      </c>
      <c r="AI315" s="1" t="str">
        <f t="shared" ca="1" si="132"/>
        <v>ON</v>
      </c>
      <c r="AJ315" s="1" t="str">
        <f t="shared" ca="1" si="133"/>
        <v>ON</v>
      </c>
      <c r="AK315" s="1" t="str">
        <f t="shared" ca="1" si="134"/>
        <v>ON</v>
      </c>
      <c r="AL315" s="1"/>
      <c r="AM315" s="20" t="str">
        <f t="shared" si="141"/>
        <v>ON</v>
      </c>
      <c r="AN315" s="20" t="str">
        <f t="shared" si="141"/>
        <v>ON</v>
      </c>
      <c r="AO315" s="20" t="str">
        <f t="shared" si="136"/>
        <v>ON</v>
      </c>
    </row>
    <row r="316" spans="1:41" ht="14.25" customHeight="1">
      <c r="A316" t="str">
        <f t="shared" ca="1" si="110"/>
        <v>Ekiti</v>
      </c>
      <c r="B316" t="str">
        <f t="shared" ca="1" si="111"/>
        <v>D</v>
      </c>
      <c r="C316" t="str">
        <f t="shared" ca="1" si="112"/>
        <v>D1</v>
      </c>
      <c r="D316" t="s">
        <v>7</v>
      </c>
      <c r="E316">
        <f t="shared" ca="1" si="113"/>
        <v>25</v>
      </c>
      <c r="F316">
        <f t="shared" ca="1" si="114"/>
        <v>2</v>
      </c>
      <c r="G316" t="str">
        <v>A</v>
      </c>
      <c r="H316" t="str">
        <v>A</v>
      </c>
      <c r="I316" t="str">
        <f ca="1">IF($A316="","",IF(COUNTA($R$2:$W$2)=6,"WK "&amp;_xlfn.ISOWEEKNUM($R$2)))</f>
        <v>WK 19</v>
      </c>
      <c r="J316" t="str">
        <f ca="1">IF($A316="","",IF(COUNTA($AF$2:$AK$2)=6,"WK "&amp;_xlfn.ISOWEEKNUM($AF$2)))</f>
        <v>WK 21</v>
      </c>
      <c r="K316" s="20" t="str">
        <f t="shared" ca="1" si="137"/>
        <v>ON</v>
      </c>
      <c r="L316" s="20" t="str">
        <f t="shared" ca="1" si="137"/>
        <v>ON</v>
      </c>
      <c r="M316" s="1" t="str">
        <f t="shared" ca="1" si="116"/>
        <v>ON</v>
      </c>
      <c r="N316" s="1" t="str">
        <f t="shared" ca="1" si="117"/>
        <v>ON</v>
      </c>
      <c r="O316" s="1" t="str">
        <f t="shared" ca="1" si="118"/>
        <v>ON</v>
      </c>
      <c r="P316" s="1" t="str">
        <f t="shared" ca="1" si="119"/>
        <v>ON</v>
      </c>
      <c r="Q316" s="1"/>
      <c r="R316" s="20" t="str">
        <f t="shared" ca="1" si="138"/>
        <v>ON</v>
      </c>
      <c r="S316" s="20" t="str">
        <f t="shared" ca="1" si="138"/>
        <v>ON</v>
      </c>
      <c r="T316" s="1" t="str">
        <f t="shared" ca="1" si="121"/>
        <v>OFF</v>
      </c>
      <c r="U316" s="1" t="str">
        <f t="shared" ca="1" si="122"/>
        <v>ON</v>
      </c>
      <c r="V316" s="1" t="str">
        <f t="shared" ca="1" si="123"/>
        <v>ON</v>
      </c>
      <c r="W316" s="1" t="str">
        <f t="shared" ca="1" si="124"/>
        <v>ON</v>
      </c>
      <c r="X316" s="1"/>
      <c r="Y316" s="20" t="str">
        <f t="shared" ca="1" si="139"/>
        <v>ON</v>
      </c>
      <c r="Z316" s="20" t="str">
        <f t="shared" ca="1" si="139"/>
        <v>ON</v>
      </c>
      <c r="AA316" s="1" t="str">
        <f t="shared" ca="1" si="126"/>
        <v>ON</v>
      </c>
      <c r="AB316" s="1" t="str">
        <f t="shared" ca="1" si="127"/>
        <v>ON</v>
      </c>
      <c r="AC316" s="1" t="str">
        <f t="shared" ca="1" si="128"/>
        <v>ON</v>
      </c>
      <c r="AD316" s="1" t="str">
        <f t="shared" ca="1" si="129"/>
        <v>ON</v>
      </c>
      <c r="AE316" s="1"/>
      <c r="AF316" s="20" t="str">
        <f t="shared" ca="1" si="140"/>
        <v>ON</v>
      </c>
      <c r="AG316" s="20" t="str">
        <f t="shared" ca="1" si="140"/>
        <v>ON</v>
      </c>
      <c r="AH316" s="1" t="str">
        <f t="shared" ca="1" si="131"/>
        <v>OFF</v>
      </c>
      <c r="AI316" s="1" t="str">
        <f t="shared" ca="1" si="132"/>
        <v>ON</v>
      </c>
      <c r="AJ316" s="1" t="str">
        <f t="shared" ca="1" si="133"/>
        <v>ON</v>
      </c>
      <c r="AK316" s="1" t="str">
        <f t="shared" ca="1" si="134"/>
        <v>ON</v>
      </c>
      <c r="AL316" s="1"/>
      <c r="AM316" s="20" t="str">
        <f t="shared" si="141"/>
        <v>ON</v>
      </c>
      <c r="AN316" s="20" t="str">
        <f t="shared" si="141"/>
        <v>ON</v>
      </c>
      <c r="AO316" s="20" t="str">
        <f t="shared" si="136"/>
        <v>ON</v>
      </c>
    </row>
    <row r="317" spans="1:41">
      <c r="A317" t="str">
        <f t="shared" ca="1" si="110"/>
        <v>Ogun</v>
      </c>
      <c r="B317" t="str">
        <f t="shared" ca="1" si="111"/>
        <v>A</v>
      </c>
      <c r="C317" t="str">
        <f t="shared" ca="1" si="112"/>
        <v>E1</v>
      </c>
      <c r="D317" t="s">
        <v>7</v>
      </c>
      <c r="E317">
        <f t="shared" ca="1" si="113"/>
        <v>25</v>
      </c>
      <c r="F317">
        <f t="shared" ca="1" si="114"/>
        <v>2</v>
      </c>
      <c r="G317" t="str" cm="1">
        <f t="array" ref="G317:G320">Groups!$B$2:$B$5</f>
        <v>A</v>
      </c>
      <c r="H317" t="str" cm="1">
        <f t="array" ref="H317:H320">Groups!$B$2:$B$5</f>
        <v>A</v>
      </c>
      <c r="I317" t="str">
        <f ca="1">IF($A317="","",IF(COUNTA($K$2:$P$2)=6,"WK "&amp;_xlfn.ISOWEEKNUM($K$2)))</f>
        <v>WK 18</v>
      </c>
      <c r="J317" t="str">
        <f ca="1">IF($A317="","",IF(COUNTA($Y$2:$AD$2)=6,"WK "&amp;_xlfn.ISOWEEKNUM($Y$2)))</f>
        <v>WK 20</v>
      </c>
      <c r="K317" s="20" t="str">
        <f t="shared" ca="1" si="137"/>
        <v>ON</v>
      </c>
      <c r="L317" s="20" t="str">
        <f t="shared" ca="1" si="137"/>
        <v>ON</v>
      </c>
      <c r="M317" s="1" t="str">
        <f t="shared" ca="1" si="116"/>
        <v>OFF</v>
      </c>
      <c r="N317" s="1" t="str">
        <f t="shared" ca="1" si="117"/>
        <v>ON</v>
      </c>
      <c r="O317" s="1" t="str">
        <f t="shared" ca="1" si="118"/>
        <v>ON</v>
      </c>
      <c r="P317" s="1" t="str">
        <f t="shared" ca="1" si="119"/>
        <v>ON</v>
      </c>
      <c r="Q317" s="1"/>
      <c r="R317" s="20" t="str">
        <f t="shared" ca="1" si="138"/>
        <v>ON</v>
      </c>
      <c r="S317" s="20" t="str">
        <f t="shared" ca="1" si="138"/>
        <v>ON</v>
      </c>
      <c r="T317" s="1" t="str">
        <f t="shared" ca="1" si="121"/>
        <v>ON</v>
      </c>
      <c r="U317" s="1" t="str">
        <f t="shared" ca="1" si="122"/>
        <v>ON</v>
      </c>
      <c r="V317" s="1" t="str">
        <f t="shared" ca="1" si="123"/>
        <v>ON</v>
      </c>
      <c r="W317" s="1" t="str">
        <f t="shared" ca="1" si="124"/>
        <v>ON</v>
      </c>
      <c r="X317" s="1"/>
      <c r="Y317" s="20" t="str">
        <f t="shared" ca="1" si="139"/>
        <v>ON</v>
      </c>
      <c r="Z317" s="20" t="str">
        <f t="shared" ca="1" si="139"/>
        <v>ON</v>
      </c>
      <c r="AA317" s="1" t="str">
        <f t="shared" ca="1" si="126"/>
        <v>OFF</v>
      </c>
      <c r="AB317" s="1" t="str">
        <f t="shared" ca="1" si="127"/>
        <v>ON</v>
      </c>
      <c r="AC317" s="1" t="str">
        <f t="shared" ca="1" si="128"/>
        <v>ON</v>
      </c>
      <c r="AD317" s="1" t="str">
        <f t="shared" ca="1" si="129"/>
        <v>ON</v>
      </c>
      <c r="AE317" s="1"/>
      <c r="AF317" s="20" t="str">
        <f t="shared" ca="1" si="140"/>
        <v>ON</v>
      </c>
      <c r="AG317" s="20" t="str">
        <f t="shared" ca="1" si="140"/>
        <v>ON</v>
      </c>
      <c r="AH317" s="1" t="str">
        <f t="shared" ca="1" si="131"/>
        <v>ON</v>
      </c>
      <c r="AI317" s="1" t="str">
        <f t="shared" ca="1" si="132"/>
        <v>ON</v>
      </c>
      <c r="AJ317" s="1" t="str">
        <f t="shared" ca="1" si="133"/>
        <v>ON</v>
      </c>
      <c r="AK317" s="1" t="str">
        <f t="shared" ca="1" si="134"/>
        <v>ON</v>
      </c>
      <c r="AL317" s="1"/>
      <c r="AM317" s="20" t="str">
        <f t="shared" si="141"/>
        <v>ON</v>
      </c>
      <c r="AN317" s="20" t="str">
        <f t="shared" si="141"/>
        <v>ON</v>
      </c>
      <c r="AO317" s="20" t="str">
        <f t="shared" si="136"/>
        <v>ON</v>
      </c>
    </row>
    <row r="318" spans="1:41">
      <c r="A318" t="str">
        <f t="shared" ca="1" si="110"/>
        <v>Ogun</v>
      </c>
      <c r="B318" t="str">
        <f t="shared" ca="1" si="111"/>
        <v>D</v>
      </c>
      <c r="C318" t="str">
        <f t="shared" ca="1" si="112"/>
        <v>C1</v>
      </c>
      <c r="D318" t="s">
        <v>7</v>
      </c>
      <c r="E318">
        <f t="shared" ca="1" si="113"/>
        <v>25</v>
      </c>
      <c r="F318">
        <f t="shared" ca="1" si="114"/>
        <v>2</v>
      </c>
      <c r="G318" t="str">
        <v>B</v>
      </c>
      <c r="H318" t="str">
        <v>B</v>
      </c>
      <c r="I318" t="str">
        <f ca="1">IF($A318="","",IF(COUNTA($R$2:$W$2)=6,"WK "&amp;_xlfn.ISOWEEKNUM($R$2)))</f>
        <v>WK 19</v>
      </c>
      <c r="J318" t="str">
        <f ca="1">IF($A318="","",IF(COUNTA($AF$2:$AK$2)=6,"WK "&amp;_xlfn.ISOWEEKNUM($AF$2)))</f>
        <v>WK 21</v>
      </c>
      <c r="K318" s="20" t="str">
        <f t="shared" ca="1" si="137"/>
        <v>ON</v>
      </c>
      <c r="L318" s="20" t="str">
        <f t="shared" ca="1" si="137"/>
        <v>ON</v>
      </c>
      <c r="M318" s="1" t="str">
        <f t="shared" ca="1" si="116"/>
        <v>ON</v>
      </c>
      <c r="N318" s="1" t="str">
        <f t="shared" ca="1" si="117"/>
        <v>ON</v>
      </c>
      <c r="O318" s="1" t="str">
        <f t="shared" ca="1" si="118"/>
        <v>ON</v>
      </c>
      <c r="P318" s="1" t="str">
        <f t="shared" ca="1" si="119"/>
        <v>ON</v>
      </c>
      <c r="Q318" s="1"/>
      <c r="R318" s="20" t="str">
        <f t="shared" ca="1" si="138"/>
        <v>ON</v>
      </c>
      <c r="S318" s="20" t="str">
        <f t="shared" ca="1" si="138"/>
        <v>ON</v>
      </c>
      <c r="T318" s="1" t="str">
        <f t="shared" ca="1" si="121"/>
        <v>ON</v>
      </c>
      <c r="U318" s="1" t="str">
        <f t="shared" ca="1" si="122"/>
        <v>OFF</v>
      </c>
      <c r="V318" s="1" t="str">
        <f t="shared" ca="1" si="123"/>
        <v>ON</v>
      </c>
      <c r="W318" s="1" t="str">
        <f t="shared" ca="1" si="124"/>
        <v>ON</v>
      </c>
      <c r="X318" s="1"/>
      <c r="Y318" s="20" t="str">
        <f t="shared" ca="1" si="139"/>
        <v>ON</v>
      </c>
      <c r="Z318" s="20" t="str">
        <f t="shared" ca="1" si="139"/>
        <v>ON</v>
      </c>
      <c r="AA318" s="1" t="str">
        <f t="shared" ca="1" si="126"/>
        <v>ON</v>
      </c>
      <c r="AB318" s="1" t="str">
        <f t="shared" ca="1" si="127"/>
        <v>ON</v>
      </c>
      <c r="AC318" s="1" t="str">
        <f t="shared" ca="1" si="128"/>
        <v>ON</v>
      </c>
      <c r="AD318" s="1" t="str">
        <f t="shared" ca="1" si="129"/>
        <v>ON</v>
      </c>
      <c r="AE318" s="1"/>
      <c r="AF318" s="20" t="str">
        <f t="shared" ca="1" si="140"/>
        <v>ON</v>
      </c>
      <c r="AG318" s="20" t="str">
        <f t="shared" ca="1" si="140"/>
        <v>ON</v>
      </c>
      <c r="AH318" s="1" t="str">
        <f t="shared" ca="1" si="131"/>
        <v>ON</v>
      </c>
      <c r="AI318" s="1" t="str">
        <f t="shared" ca="1" si="132"/>
        <v>OFF</v>
      </c>
      <c r="AJ318" s="1" t="str">
        <f t="shared" ca="1" si="133"/>
        <v>ON</v>
      </c>
      <c r="AK318" s="1" t="str">
        <f t="shared" ca="1" si="134"/>
        <v>ON</v>
      </c>
      <c r="AL318" s="1"/>
      <c r="AM318" s="20" t="str">
        <f t="shared" si="141"/>
        <v>ON</v>
      </c>
      <c r="AN318" s="20" t="str">
        <f t="shared" si="141"/>
        <v>ON</v>
      </c>
      <c r="AO318" s="20" t="str">
        <f t="shared" si="136"/>
        <v>ON</v>
      </c>
    </row>
    <row r="319" spans="1:41">
      <c r="A319" t="str">
        <f t="shared" ca="1" si="110"/>
        <v>Ekiti</v>
      </c>
      <c r="B319" t="str">
        <f t="shared" ca="1" si="111"/>
        <v>A</v>
      </c>
      <c r="C319" t="str">
        <f t="shared" ca="1" si="112"/>
        <v>B1</v>
      </c>
      <c r="D319" t="s">
        <v>7</v>
      </c>
      <c r="E319">
        <f t="shared" ca="1" si="113"/>
        <v>25</v>
      </c>
      <c r="F319">
        <f t="shared" ca="1" si="114"/>
        <v>2</v>
      </c>
      <c r="G319" t="str">
        <v>C</v>
      </c>
      <c r="H319" t="str">
        <v>C</v>
      </c>
      <c r="I319" t="str">
        <f ca="1">IF($A319="","",IF(COUNTA($K$2:$P$2)=6,"WK "&amp;_xlfn.ISOWEEKNUM($K$2)))</f>
        <v>WK 18</v>
      </c>
      <c r="J319" t="str">
        <f ca="1">IF($A319="","",IF(COUNTA($Y$2:$AD$2)=6,"WK "&amp;_xlfn.ISOWEEKNUM($Y$2)))</f>
        <v>WK 20</v>
      </c>
      <c r="K319" s="20" t="str">
        <f t="shared" ca="1" si="137"/>
        <v>ON</v>
      </c>
      <c r="L319" s="20" t="str">
        <f t="shared" ca="1" si="137"/>
        <v>ON</v>
      </c>
      <c r="M319" s="1" t="str">
        <f t="shared" ca="1" si="116"/>
        <v>ON</v>
      </c>
      <c r="N319" s="1" t="str">
        <f t="shared" ca="1" si="117"/>
        <v>ON</v>
      </c>
      <c r="O319" s="1" t="str">
        <f t="shared" ca="1" si="118"/>
        <v>OFF</v>
      </c>
      <c r="P319" s="1" t="str">
        <f t="shared" ca="1" si="119"/>
        <v>ON</v>
      </c>
      <c r="Q319" s="1"/>
      <c r="R319" s="20" t="str">
        <f t="shared" ca="1" si="138"/>
        <v>ON</v>
      </c>
      <c r="S319" s="20" t="str">
        <f t="shared" ca="1" si="138"/>
        <v>ON</v>
      </c>
      <c r="T319" s="1" t="str">
        <f t="shared" ca="1" si="121"/>
        <v>ON</v>
      </c>
      <c r="U319" s="1" t="str">
        <f t="shared" ca="1" si="122"/>
        <v>ON</v>
      </c>
      <c r="V319" s="1" t="str">
        <f t="shared" ca="1" si="123"/>
        <v>ON</v>
      </c>
      <c r="W319" s="1" t="str">
        <f t="shared" ca="1" si="124"/>
        <v>ON</v>
      </c>
      <c r="X319" s="1"/>
      <c r="Y319" s="20" t="str">
        <f t="shared" ca="1" si="139"/>
        <v>ON</v>
      </c>
      <c r="Z319" s="20" t="str">
        <f t="shared" ca="1" si="139"/>
        <v>ON</v>
      </c>
      <c r="AA319" s="1" t="str">
        <f t="shared" ca="1" si="126"/>
        <v>ON</v>
      </c>
      <c r="AB319" s="1" t="str">
        <f t="shared" ca="1" si="127"/>
        <v>ON</v>
      </c>
      <c r="AC319" s="1" t="str">
        <f t="shared" ca="1" si="128"/>
        <v>OFF</v>
      </c>
      <c r="AD319" s="1" t="str">
        <f t="shared" ca="1" si="129"/>
        <v>ON</v>
      </c>
      <c r="AE319" s="1"/>
      <c r="AF319" s="20" t="str">
        <f t="shared" ca="1" si="140"/>
        <v>ON</v>
      </c>
      <c r="AG319" s="20" t="str">
        <f t="shared" ca="1" si="140"/>
        <v>ON</v>
      </c>
      <c r="AH319" s="1" t="str">
        <f t="shared" ca="1" si="131"/>
        <v>ON</v>
      </c>
      <c r="AI319" s="1" t="str">
        <f t="shared" ca="1" si="132"/>
        <v>ON</v>
      </c>
      <c r="AJ319" s="1" t="str">
        <f t="shared" ca="1" si="133"/>
        <v>ON</v>
      </c>
      <c r="AK319" s="1" t="str">
        <f t="shared" ca="1" si="134"/>
        <v>ON</v>
      </c>
      <c r="AL319" s="1"/>
      <c r="AM319" s="20" t="str">
        <f t="shared" si="141"/>
        <v>ON</v>
      </c>
      <c r="AN319" s="20" t="str">
        <f t="shared" si="141"/>
        <v>ON</v>
      </c>
      <c r="AO319" s="20" t="str">
        <f t="shared" si="136"/>
        <v>ON</v>
      </c>
    </row>
    <row r="320" spans="1:41">
      <c r="A320" t="str">
        <f t="shared" ca="1" si="110"/>
        <v>Ogun</v>
      </c>
      <c r="B320" t="str">
        <f t="shared" ca="1" si="111"/>
        <v>E</v>
      </c>
      <c r="C320" t="str">
        <f t="shared" ca="1" si="112"/>
        <v>C1</v>
      </c>
      <c r="D320" t="s">
        <v>7</v>
      </c>
      <c r="E320">
        <f t="shared" ca="1" si="113"/>
        <v>25</v>
      </c>
      <c r="F320">
        <f t="shared" ca="1" si="114"/>
        <v>2</v>
      </c>
      <c r="G320" t="str">
        <v>D</v>
      </c>
      <c r="H320" t="str">
        <v>D</v>
      </c>
      <c r="I320" t="str">
        <f ca="1">IF($A320="","",IF(COUNTA($R$2:$W$2)=6,"WK "&amp;_xlfn.ISOWEEKNUM($R$2)))</f>
        <v>WK 19</v>
      </c>
      <c r="J320" t="str">
        <f ca="1">IF($A320="","",IF(COUNTA($AF$2:$AK$2)=6,"WK "&amp;_xlfn.ISOWEEKNUM($AF$2)))</f>
        <v>WK 21</v>
      </c>
      <c r="K320" s="20" t="str">
        <f t="shared" ca="1" si="137"/>
        <v>ON</v>
      </c>
      <c r="L320" s="20" t="str">
        <f t="shared" ca="1" si="137"/>
        <v>ON</v>
      </c>
      <c r="M320" s="1" t="str">
        <f t="shared" ca="1" si="116"/>
        <v>ON</v>
      </c>
      <c r="N320" s="1" t="str">
        <f t="shared" ca="1" si="117"/>
        <v>ON</v>
      </c>
      <c r="O320" s="1" t="str">
        <f t="shared" ca="1" si="118"/>
        <v>ON</v>
      </c>
      <c r="P320" s="1" t="str">
        <f t="shared" ca="1" si="119"/>
        <v>ON</v>
      </c>
      <c r="Q320" s="1"/>
      <c r="R320" s="20" t="str">
        <f t="shared" ca="1" si="138"/>
        <v>ON</v>
      </c>
      <c r="S320" s="20" t="str">
        <f t="shared" ca="1" si="138"/>
        <v>ON</v>
      </c>
      <c r="T320" s="1" t="str">
        <f t="shared" ca="1" si="121"/>
        <v>ON</v>
      </c>
      <c r="U320" s="1" t="str">
        <f t="shared" ca="1" si="122"/>
        <v>ON</v>
      </c>
      <c r="V320" s="1" t="str">
        <f t="shared" ca="1" si="123"/>
        <v>ON</v>
      </c>
      <c r="W320" s="1" t="str">
        <f t="shared" ca="1" si="124"/>
        <v>OFF</v>
      </c>
      <c r="X320" s="1"/>
      <c r="Y320" s="20" t="str">
        <f t="shared" ca="1" si="139"/>
        <v>ON</v>
      </c>
      <c r="Z320" s="20" t="str">
        <f t="shared" ca="1" si="139"/>
        <v>ON</v>
      </c>
      <c r="AA320" s="1" t="str">
        <f t="shared" ca="1" si="126"/>
        <v>ON</v>
      </c>
      <c r="AB320" s="1" t="str">
        <f t="shared" ca="1" si="127"/>
        <v>ON</v>
      </c>
      <c r="AC320" s="1" t="str">
        <f t="shared" ca="1" si="128"/>
        <v>ON</v>
      </c>
      <c r="AD320" s="1" t="str">
        <f t="shared" ca="1" si="129"/>
        <v>ON</v>
      </c>
      <c r="AE320" s="1"/>
      <c r="AF320" s="20" t="str">
        <f t="shared" ca="1" si="140"/>
        <v>ON</v>
      </c>
      <c r="AG320" s="20" t="str">
        <f t="shared" ca="1" si="140"/>
        <v>ON</v>
      </c>
      <c r="AH320" s="1" t="str">
        <f t="shared" ca="1" si="131"/>
        <v>ON</v>
      </c>
      <c r="AI320" s="1" t="str">
        <f t="shared" ca="1" si="132"/>
        <v>ON</v>
      </c>
      <c r="AJ320" s="1" t="str">
        <f t="shared" ca="1" si="133"/>
        <v>ON</v>
      </c>
      <c r="AK320" s="1" t="str">
        <f t="shared" ca="1" si="134"/>
        <v>OFF</v>
      </c>
      <c r="AL320" s="1"/>
      <c r="AM320" s="20" t="str">
        <f t="shared" si="141"/>
        <v>ON</v>
      </c>
      <c r="AN320" s="20" t="str">
        <f t="shared" si="141"/>
        <v>ON</v>
      </c>
      <c r="AO320" s="20" t="str">
        <f t="shared" si="136"/>
        <v>ON</v>
      </c>
    </row>
    <row r="321" spans="1:41">
      <c r="A321" t="str">
        <f t="shared" ca="1" si="110"/>
        <v>Ogun</v>
      </c>
      <c r="B321" t="str">
        <f t="shared" ca="1" si="111"/>
        <v>B</v>
      </c>
      <c r="C321" t="str">
        <f t="shared" ca="1" si="112"/>
        <v>B1</v>
      </c>
      <c r="D321" t="s">
        <v>4</v>
      </c>
      <c r="E321">
        <f t="shared" ca="1" si="113"/>
        <v>25</v>
      </c>
      <c r="F321">
        <f t="shared" ca="1" si="114"/>
        <v>2</v>
      </c>
      <c r="G321" t="str" cm="1">
        <f t="array" ref="G321:G324">IF($G$5:$G$8={"A";"B";"C";"D"},{"D";"C";"B";"A"},{"A";"B";"C";"D"})</f>
        <v>D</v>
      </c>
      <c r="H321" t="str" cm="1">
        <f t="array" ref="H321:H324">IF($H$5:$H$8={"A";"B";"C";"D"},{"D";"C";"B";"A"},{"A";"B";"C";"D"})</f>
        <v>D</v>
      </c>
      <c r="I321" t="str">
        <f ca="1">IF($A321="","",IF(COUNTA($K$2:$P$2)=6,"WK "&amp;_xlfn.ISOWEEKNUM($K$2)))</f>
        <v>WK 18</v>
      </c>
      <c r="J321" t="str">
        <f ca="1">IF($A321="","",IF(COUNTA($Y$2:$AD$2)=6,"WK "&amp;_xlfn.ISOWEEKNUM($Y$2)))</f>
        <v>WK 20</v>
      </c>
      <c r="K321" s="20" t="str">
        <f t="shared" ca="1" si="137"/>
        <v>ON</v>
      </c>
      <c r="L321" s="20" t="str">
        <f t="shared" ca="1" si="137"/>
        <v>ON</v>
      </c>
      <c r="M321" s="1" t="str">
        <f t="shared" ca="1" si="116"/>
        <v>ON</v>
      </c>
      <c r="N321" s="1" t="str">
        <f t="shared" ca="1" si="117"/>
        <v>ON</v>
      </c>
      <c r="O321" s="1" t="str">
        <f t="shared" ca="1" si="118"/>
        <v>ON</v>
      </c>
      <c r="P321" s="1" t="str">
        <f t="shared" ca="1" si="119"/>
        <v>OFF</v>
      </c>
      <c r="Q321" s="1"/>
      <c r="R321" s="20" t="str">
        <f t="shared" ca="1" si="138"/>
        <v>ON</v>
      </c>
      <c r="S321" s="20" t="str">
        <f t="shared" ca="1" si="138"/>
        <v>ON</v>
      </c>
      <c r="T321" s="1" t="str">
        <f t="shared" ca="1" si="121"/>
        <v>ON</v>
      </c>
      <c r="U321" s="1" t="str">
        <f t="shared" ca="1" si="122"/>
        <v>ON</v>
      </c>
      <c r="V321" s="1" t="str">
        <f t="shared" ca="1" si="123"/>
        <v>ON</v>
      </c>
      <c r="W321" s="1" t="str">
        <f t="shared" ca="1" si="124"/>
        <v>ON</v>
      </c>
      <c r="X321" s="1"/>
      <c r="Y321" s="20" t="str">
        <f t="shared" ca="1" si="139"/>
        <v>ON</v>
      </c>
      <c r="Z321" s="20" t="str">
        <f t="shared" ca="1" si="139"/>
        <v>ON</v>
      </c>
      <c r="AA321" s="1" t="str">
        <f t="shared" ca="1" si="126"/>
        <v>ON</v>
      </c>
      <c r="AB321" s="1" t="str">
        <f t="shared" ca="1" si="127"/>
        <v>ON</v>
      </c>
      <c r="AC321" s="1" t="str">
        <f t="shared" ca="1" si="128"/>
        <v>ON</v>
      </c>
      <c r="AD321" s="1" t="str">
        <f t="shared" ca="1" si="129"/>
        <v>OFF</v>
      </c>
      <c r="AE321" s="1"/>
      <c r="AF321" s="20" t="str">
        <f t="shared" ca="1" si="140"/>
        <v>ON</v>
      </c>
      <c r="AG321" s="20" t="str">
        <f t="shared" ca="1" si="140"/>
        <v>ON</v>
      </c>
      <c r="AH321" s="1" t="str">
        <f t="shared" ca="1" si="131"/>
        <v>ON</v>
      </c>
      <c r="AI321" s="1" t="str">
        <f t="shared" ca="1" si="132"/>
        <v>ON</v>
      </c>
      <c r="AJ321" s="1" t="str">
        <f t="shared" ca="1" si="133"/>
        <v>ON</v>
      </c>
      <c r="AK321" s="1" t="str">
        <f t="shared" ca="1" si="134"/>
        <v>ON</v>
      </c>
      <c r="AL321" s="1"/>
      <c r="AM321" s="20" t="str">
        <f t="shared" si="141"/>
        <v>ON</v>
      </c>
      <c r="AN321" s="20" t="str">
        <f t="shared" si="141"/>
        <v>ON</v>
      </c>
      <c r="AO321" s="20" t="str">
        <f t="shared" si="136"/>
        <v>ON</v>
      </c>
    </row>
    <row r="322" spans="1:41">
      <c r="A322" t="str">
        <f t="shared" ca="1" si="110"/>
        <v>Lagos</v>
      </c>
      <c r="B322" t="str">
        <f t="shared" ca="1" si="111"/>
        <v>C</v>
      </c>
      <c r="C322" t="str">
        <f t="shared" ca="1" si="112"/>
        <v>C1</v>
      </c>
      <c r="D322" t="s">
        <v>5</v>
      </c>
      <c r="E322">
        <f t="shared" ca="1" si="113"/>
        <v>25</v>
      </c>
      <c r="F322">
        <f t="shared" ca="1" si="114"/>
        <v>2</v>
      </c>
      <c r="G322" t="str">
        <v>C</v>
      </c>
      <c r="H322" t="str">
        <v>C</v>
      </c>
      <c r="I322" t="str">
        <f ca="1">IF($A322="","",IF(COUNTA($R$2:$W$2)=6,"WK "&amp;_xlfn.ISOWEEKNUM($R$2)))</f>
        <v>WK 19</v>
      </c>
      <c r="J322" t="str">
        <f ca="1">IF($A322="","",IF(COUNTA($AF$2:$AK$2)=6,"WK "&amp;_xlfn.ISOWEEKNUM($AF$2)))</f>
        <v>WK 21</v>
      </c>
      <c r="K322" s="20" t="str">
        <f t="shared" ca="1" si="137"/>
        <v>ON</v>
      </c>
      <c r="L322" s="20" t="str">
        <f t="shared" ca="1" si="137"/>
        <v>ON</v>
      </c>
      <c r="M322" s="1" t="str">
        <f t="shared" ca="1" si="116"/>
        <v>ON</v>
      </c>
      <c r="N322" s="1" t="str">
        <f t="shared" ca="1" si="117"/>
        <v>ON</v>
      </c>
      <c r="O322" s="1" t="str">
        <f t="shared" ca="1" si="118"/>
        <v>ON</v>
      </c>
      <c r="P322" s="1" t="str">
        <f t="shared" ca="1" si="119"/>
        <v>ON</v>
      </c>
      <c r="Q322" s="1"/>
      <c r="R322" s="20" t="str">
        <f t="shared" ca="1" si="138"/>
        <v>ON</v>
      </c>
      <c r="S322" s="20" t="str">
        <f t="shared" ca="1" si="138"/>
        <v>ON</v>
      </c>
      <c r="T322" s="1" t="str">
        <f t="shared" ca="1" si="121"/>
        <v>ON</v>
      </c>
      <c r="U322" s="1" t="str">
        <f t="shared" ca="1" si="122"/>
        <v>ON</v>
      </c>
      <c r="V322" s="1" t="str">
        <f t="shared" ca="1" si="123"/>
        <v>OFF</v>
      </c>
      <c r="W322" s="1" t="str">
        <f t="shared" ca="1" si="124"/>
        <v>ON</v>
      </c>
      <c r="X322" s="1"/>
      <c r="Y322" s="20" t="str">
        <f t="shared" ca="1" si="139"/>
        <v>ON</v>
      </c>
      <c r="Z322" s="20" t="str">
        <f t="shared" ca="1" si="139"/>
        <v>ON</v>
      </c>
      <c r="AA322" s="1" t="str">
        <f t="shared" ca="1" si="126"/>
        <v>ON</v>
      </c>
      <c r="AB322" s="1" t="str">
        <f t="shared" ca="1" si="127"/>
        <v>ON</v>
      </c>
      <c r="AC322" s="1" t="str">
        <f t="shared" ca="1" si="128"/>
        <v>ON</v>
      </c>
      <c r="AD322" s="1" t="str">
        <f t="shared" ca="1" si="129"/>
        <v>ON</v>
      </c>
      <c r="AE322" s="1"/>
      <c r="AF322" s="20" t="str">
        <f t="shared" ca="1" si="140"/>
        <v>ON</v>
      </c>
      <c r="AG322" s="20" t="str">
        <f t="shared" ca="1" si="140"/>
        <v>ON</v>
      </c>
      <c r="AH322" s="1" t="str">
        <f t="shared" ca="1" si="131"/>
        <v>ON</v>
      </c>
      <c r="AI322" s="1" t="str">
        <f t="shared" ca="1" si="132"/>
        <v>ON</v>
      </c>
      <c r="AJ322" s="1" t="str">
        <f t="shared" ca="1" si="133"/>
        <v>OFF</v>
      </c>
      <c r="AK322" s="1" t="str">
        <f t="shared" ca="1" si="134"/>
        <v>ON</v>
      </c>
      <c r="AL322" s="1"/>
      <c r="AM322" s="20" t="str">
        <f t="shared" si="141"/>
        <v>ON</v>
      </c>
      <c r="AN322" s="20" t="str">
        <f t="shared" si="141"/>
        <v>ON</v>
      </c>
      <c r="AO322" s="20" t="str">
        <f t="shared" si="136"/>
        <v>ON</v>
      </c>
    </row>
    <row r="323" spans="1:41">
      <c r="A323" t="str">
        <f t="shared" ca="1" si="110"/>
        <v>Lagos</v>
      </c>
      <c r="B323" t="str">
        <f t="shared" ca="1" si="111"/>
        <v>D</v>
      </c>
      <c r="C323" t="str">
        <f t="shared" ca="1" si="112"/>
        <v>B1</v>
      </c>
      <c r="D323" t="s">
        <v>5</v>
      </c>
      <c r="E323">
        <f t="shared" ca="1" si="113"/>
        <v>25</v>
      </c>
      <c r="F323">
        <f t="shared" ca="1" si="114"/>
        <v>2</v>
      </c>
      <c r="G323" t="str">
        <v>B</v>
      </c>
      <c r="H323" t="str">
        <v>B</v>
      </c>
      <c r="I323" t="str">
        <f ca="1">IF($A323="","",IF(COUNTA($K$2:$P$2)=6,"WK "&amp;_xlfn.ISOWEEKNUM($K$2)))</f>
        <v>WK 18</v>
      </c>
      <c r="J323" t="str">
        <f ca="1">IF($A323="","",IF(COUNTA($Y$2:$AD$2)=6,"WK "&amp;_xlfn.ISOWEEKNUM($Y$2)))</f>
        <v>WK 20</v>
      </c>
      <c r="K323" s="20" t="str">
        <f t="shared" ca="1" si="137"/>
        <v>ON</v>
      </c>
      <c r="L323" s="20" t="str">
        <f t="shared" ca="1" si="137"/>
        <v>ON</v>
      </c>
      <c r="M323" s="1" t="str">
        <f t="shared" ca="1" si="116"/>
        <v>ON</v>
      </c>
      <c r="N323" s="1" t="str">
        <f t="shared" ca="1" si="117"/>
        <v>OFF</v>
      </c>
      <c r="O323" s="1" t="str">
        <f t="shared" ca="1" si="118"/>
        <v>ON</v>
      </c>
      <c r="P323" s="1" t="str">
        <f t="shared" ca="1" si="119"/>
        <v>ON</v>
      </c>
      <c r="Q323" s="1"/>
      <c r="R323" s="20" t="str">
        <f t="shared" ca="1" si="138"/>
        <v>ON</v>
      </c>
      <c r="S323" s="20" t="str">
        <f t="shared" ca="1" si="138"/>
        <v>ON</v>
      </c>
      <c r="T323" s="1" t="str">
        <f t="shared" ca="1" si="121"/>
        <v>ON</v>
      </c>
      <c r="U323" s="1" t="str">
        <f t="shared" ca="1" si="122"/>
        <v>ON</v>
      </c>
      <c r="V323" s="1" t="str">
        <f t="shared" ca="1" si="123"/>
        <v>ON</v>
      </c>
      <c r="W323" s="1" t="str">
        <f t="shared" ca="1" si="124"/>
        <v>ON</v>
      </c>
      <c r="X323" s="1"/>
      <c r="Y323" s="20" t="str">
        <f t="shared" ca="1" si="139"/>
        <v>ON</v>
      </c>
      <c r="Z323" s="20" t="str">
        <f t="shared" ca="1" si="139"/>
        <v>ON</v>
      </c>
      <c r="AA323" s="1" t="str">
        <f t="shared" ca="1" si="126"/>
        <v>ON</v>
      </c>
      <c r="AB323" s="1" t="str">
        <f t="shared" ca="1" si="127"/>
        <v>OFF</v>
      </c>
      <c r="AC323" s="1" t="str">
        <f t="shared" ca="1" si="128"/>
        <v>ON</v>
      </c>
      <c r="AD323" s="1" t="str">
        <f t="shared" ca="1" si="129"/>
        <v>ON</v>
      </c>
      <c r="AE323" s="1"/>
      <c r="AF323" s="20" t="str">
        <f t="shared" ca="1" si="140"/>
        <v>ON</v>
      </c>
      <c r="AG323" s="20" t="str">
        <f t="shared" ca="1" si="140"/>
        <v>ON</v>
      </c>
      <c r="AH323" s="1" t="str">
        <f t="shared" ca="1" si="131"/>
        <v>ON</v>
      </c>
      <c r="AI323" s="1" t="str">
        <f t="shared" ca="1" si="132"/>
        <v>ON</v>
      </c>
      <c r="AJ323" s="1" t="str">
        <f t="shared" ca="1" si="133"/>
        <v>ON</v>
      </c>
      <c r="AK323" s="1" t="str">
        <f t="shared" ca="1" si="134"/>
        <v>ON</v>
      </c>
      <c r="AL323" s="1"/>
      <c r="AM323" s="20" t="str">
        <f t="shared" si="141"/>
        <v>ON</v>
      </c>
      <c r="AN323" s="20" t="str">
        <f t="shared" si="141"/>
        <v>ON</v>
      </c>
      <c r="AO323" s="20" t="str">
        <f t="shared" si="136"/>
        <v>ON</v>
      </c>
    </row>
    <row r="324" spans="1:41">
      <c r="A324" t="str">
        <f t="shared" ca="1" si="110"/>
        <v>Oyo</v>
      </c>
      <c r="B324" t="str">
        <f t="shared" ca="1" si="111"/>
        <v>C</v>
      </c>
      <c r="C324" t="str">
        <f t="shared" ca="1" si="112"/>
        <v>D1</v>
      </c>
      <c r="D324" t="s">
        <v>5</v>
      </c>
      <c r="E324">
        <f t="shared" ca="1" si="113"/>
        <v>25</v>
      </c>
      <c r="F324">
        <f t="shared" ca="1" si="114"/>
        <v>2</v>
      </c>
      <c r="G324" t="str">
        <v>A</v>
      </c>
      <c r="H324" t="str">
        <v>A</v>
      </c>
      <c r="I324" t="str">
        <f ca="1">IF($A324="","",IF(COUNTA($R$2:$W$2)=6,"WK "&amp;_xlfn.ISOWEEKNUM($R$2)))</f>
        <v>WK 19</v>
      </c>
      <c r="J324" t="str">
        <f ca="1">IF($A324="","",IF(COUNTA($AF$2:$AK$2)=6,"WK "&amp;_xlfn.ISOWEEKNUM($AF$2)))</f>
        <v>WK 21</v>
      </c>
      <c r="K324" s="20" t="str">
        <f t="shared" ca="1" si="137"/>
        <v>ON</v>
      </c>
      <c r="L324" s="20" t="str">
        <f t="shared" ca="1" si="137"/>
        <v>ON</v>
      </c>
      <c r="M324" s="1" t="str">
        <f t="shared" ca="1" si="116"/>
        <v>ON</v>
      </c>
      <c r="N324" s="1" t="str">
        <f t="shared" ca="1" si="117"/>
        <v>ON</v>
      </c>
      <c r="O324" s="1" t="str">
        <f t="shared" ca="1" si="118"/>
        <v>ON</v>
      </c>
      <c r="P324" s="1" t="str">
        <f t="shared" ca="1" si="119"/>
        <v>ON</v>
      </c>
      <c r="Q324" s="1"/>
      <c r="R324" s="20" t="str">
        <f t="shared" ca="1" si="138"/>
        <v>ON</v>
      </c>
      <c r="S324" s="20" t="str">
        <f t="shared" ca="1" si="138"/>
        <v>ON</v>
      </c>
      <c r="T324" s="1" t="str">
        <f t="shared" ca="1" si="121"/>
        <v>OFF</v>
      </c>
      <c r="U324" s="1" t="str">
        <f t="shared" ca="1" si="122"/>
        <v>ON</v>
      </c>
      <c r="V324" s="1" t="str">
        <f t="shared" ca="1" si="123"/>
        <v>ON</v>
      </c>
      <c r="W324" s="1" t="str">
        <f t="shared" ca="1" si="124"/>
        <v>ON</v>
      </c>
      <c r="X324" s="1"/>
      <c r="Y324" s="20" t="str">
        <f t="shared" ca="1" si="139"/>
        <v>ON</v>
      </c>
      <c r="Z324" s="20" t="str">
        <f t="shared" ca="1" si="139"/>
        <v>ON</v>
      </c>
      <c r="AA324" s="1" t="str">
        <f t="shared" ca="1" si="126"/>
        <v>ON</v>
      </c>
      <c r="AB324" s="1" t="str">
        <f t="shared" ca="1" si="127"/>
        <v>ON</v>
      </c>
      <c r="AC324" s="1" t="str">
        <f t="shared" ca="1" si="128"/>
        <v>ON</v>
      </c>
      <c r="AD324" s="1" t="str">
        <f t="shared" ca="1" si="129"/>
        <v>ON</v>
      </c>
      <c r="AE324" s="1"/>
      <c r="AF324" s="20" t="str">
        <f t="shared" ca="1" si="140"/>
        <v>ON</v>
      </c>
      <c r="AG324" s="20" t="str">
        <f t="shared" ca="1" si="140"/>
        <v>ON</v>
      </c>
      <c r="AH324" s="1" t="str">
        <f t="shared" ca="1" si="131"/>
        <v>OFF</v>
      </c>
      <c r="AI324" s="1" t="str">
        <f t="shared" ca="1" si="132"/>
        <v>ON</v>
      </c>
      <c r="AJ324" s="1" t="str">
        <f t="shared" ca="1" si="133"/>
        <v>ON</v>
      </c>
      <c r="AK324" s="1" t="str">
        <f t="shared" ca="1" si="134"/>
        <v>ON</v>
      </c>
      <c r="AL324" s="1"/>
      <c r="AM324" s="20" t="str">
        <f t="shared" si="141"/>
        <v>ON</v>
      </c>
      <c r="AN324" s="20" t="str">
        <f t="shared" si="141"/>
        <v>ON</v>
      </c>
      <c r="AO324" s="20" t="str">
        <f t="shared" si="136"/>
        <v>ON</v>
      </c>
    </row>
    <row r="325" spans="1:41">
      <c r="A325" t="str">
        <f t="shared" ca="1" si="110"/>
        <v>Lagos</v>
      </c>
      <c r="B325" t="str">
        <f t="shared" ca="1" si="111"/>
        <v>B</v>
      </c>
      <c r="C325" t="str">
        <f t="shared" ca="1" si="112"/>
        <v>B1</v>
      </c>
      <c r="D325" t="s">
        <v>7</v>
      </c>
      <c r="E325">
        <f t="shared" ca="1" si="113"/>
        <v>25</v>
      </c>
      <c r="F325">
        <f t="shared" ca="1" si="114"/>
        <v>2</v>
      </c>
      <c r="G325" t="str" cm="1">
        <f t="array" ref="G325:G328">Groups!$B$2:$B$5</f>
        <v>A</v>
      </c>
      <c r="H325" t="str" cm="1">
        <f t="array" ref="H325:H328">Groups!$B$2:$B$5</f>
        <v>A</v>
      </c>
      <c r="I325" t="str">
        <f ca="1">IF($A325="","",IF(COUNTA($K$2:$P$2)=6,"WK "&amp;_xlfn.ISOWEEKNUM($K$2)))</f>
        <v>WK 18</v>
      </c>
      <c r="J325" t="str">
        <f ca="1">IF($A325="","",IF(COUNTA($Y$2:$AD$2)=6,"WK "&amp;_xlfn.ISOWEEKNUM($Y$2)))</f>
        <v>WK 20</v>
      </c>
      <c r="K325" s="20" t="str">
        <f t="shared" ca="1" si="137"/>
        <v>ON</v>
      </c>
      <c r="L325" s="20" t="str">
        <f t="shared" ca="1" si="137"/>
        <v>ON</v>
      </c>
      <c r="M325" s="1" t="str">
        <f t="shared" ca="1" si="116"/>
        <v>OFF</v>
      </c>
      <c r="N325" s="1" t="str">
        <f t="shared" ca="1" si="117"/>
        <v>ON</v>
      </c>
      <c r="O325" s="1" t="str">
        <f t="shared" ca="1" si="118"/>
        <v>ON</v>
      </c>
      <c r="P325" s="1" t="str">
        <f t="shared" ca="1" si="119"/>
        <v>ON</v>
      </c>
      <c r="Q325" s="1"/>
      <c r="R325" s="20" t="str">
        <f t="shared" ca="1" si="138"/>
        <v>ON</v>
      </c>
      <c r="S325" s="20" t="str">
        <f t="shared" ca="1" si="138"/>
        <v>ON</v>
      </c>
      <c r="T325" s="1" t="str">
        <f t="shared" ca="1" si="121"/>
        <v>ON</v>
      </c>
      <c r="U325" s="1" t="str">
        <f t="shared" ca="1" si="122"/>
        <v>ON</v>
      </c>
      <c r="V325" s="1" t="str">
        <f t="shared" ca="1" si="123"/>
        <v>ON</v>
      </c>
      <c r="W325" s="1" t="str">
        <f t="shared" ca="1" si="124"/>
        <v>ON</v>
      </c>
      <c r="X325" s="1"/>
      <c r="Y325" s="20" t="str">
        <f t="shared" ca="1" si="139"/>
        <v>ON</v>
      </c>
      <c r="Z325" s="20" t="str">
        <f t="shared" ca="1" si="139"/>
        <v>ON</v>
      </c>
      <c r="AA325" s="1" t="str">
        <f t="shared" ca="1" si="126"/>
        <v>OFF</v>
      </c>
      <c r="AB325" s="1" t="str">
        <f t="shared" ca="1" si="127"/>
        <v>ON</v>
      </c>
      <c r="AC325" s="1" t="str">
        <f t="shared" ca="1" si="128"/>
        <v>ON</v>
      </c>
      <c r="AD325" s="1" t="str">
        <f t="shared" ca="1" si="129"/>
        <v>ON</v>
      </c>
      <c r="AE325" s="1"/>
      <c r="AF325" s="20" t="str">
        <f t="shared" ca="1" si="140"/>
        <v>ON</v>
      </c>
      <c r="AG325" s="20" t="str">
        <f t="shared" ca="1" si="140"/>
        <v>ON</v>
      </c>
      <c r="AH325" s="1" t="str">
        <f t="shared" ca="1" si="131"/>
        <v>ON</v>
      </c>
      <c r="AI325" s="1" t="str">
        <f t="shared" ca="1" si="132"/>
        <v>ON</v>
      </c>
      <c r="AJ325" s="1" t="str">
        <f t="shared" ca="1" si="133"/>
        <v>ON</v>
      </c>
      <c r="AK325" s="1" t="str">
        <f t="shared" ca="1" si="134"/>
        <v>ON</v>
      </c>
      <c r="AL325" s="1"/>
      <c r="AM325" s="20" t="str">
        <f t="shared" si="141"/>
        <v>ON</v>
      </c>
      <c r="AN325" s="20" t="str">
        <f t="shared" si="141"/>
        <v>ON</v>
      </c>
      <c r="AO325" s="20" t="str">
        <f t="shared" si="136"/>
        <v>ON</v>
      </c>
    </row>
    <row r="326" spans="1:41">
      <c r="A326" t="str">
        <f t="shared" ref="A326:A389" ca="1" si="142">CHOOSE(RANDBETWEEN(1,5),"Lagos","Ogun","Ondo","Oyo","Ekiti")</f>
        <v>Ekiti</v>
      </c>
      <c r="B326" t="str">
        <f t="shared" ref="B326:B389" ca="1" si="143">CHOOSE(RANDBETWEEN(1,5),"A","B","C","D","E")</f>
        <v>B</v>
      </c>
      <c r="C326" t="str">
        <f t="shared" ref="C326:C389" ca="1" si="144">CHOOSE(RANDBETWEEN(1,5),"A1","B1","C1","D1","E1")</f>
        <v>E1</v>
      </c>
      <c r="D326" t="s">
        <v>7</v>
      </c>
      <c r="E326">
        <f t="shared" ref="E326:E389" ca="1" si="145">COUNTIF(K326:AO326, "ON")</f>
        <v>25</v>
      </c>
      <c r="F326">
        <f t="shared" ref="F326:F389" ca="1" si="146">COUNTIF(K326:AO326, "OFF")</f>
        <v>2</v>
      </c>
      <c r="G326" t="str">
        <v>B</v>
      </c>
      <c r="H326" t="str">
        <v>B</v>
      </c>
      <c r="I326" t="str">
        <f ca="1">IF($A326="","",IF(COUNTA($R$2:$W$2)=6,"WK "&amp;_xlfn.ISOWEEKNUM($R$2)))</f>
        <v>WK 19</v>
      </c>
      <c r="J326" t="str">
        <f ca="1">IF($A326="","",IF(COUNTA($AF$2:$AK$2)=6,"WK "&amp;_xlfn.ISOWEEKNUM($AF$2)))</f>
        <v>WK 21</v>
      </c>
      <c r="K326" s="20" t="str">
        <f t="shared" ref="K326:L357" ca="1" si="147">IF($A326="","",IF(COUNTA($K$2:$AO$2)-4,IF(OR(K$4="Mon",K$4="Tue"),$E$1,$D$1)))</f>
        <v>ON</v>
      </c>
      <c r="L326" s="20" t="str">
        <f t="shared" ca="1" si="147"/>
        <v>ON</v>
      </c>
      <c r="M326" s="1" t="str">
        <f t="shared" ref="M326:M389" ca="1" si="148">IF($A326="","",IF(COUNTA($K$2:$AO$2)-4,IF(OR(M$4&lt;&gt;"Mon",M$4&lt;&gt;"Tue"),IF(AND($G326="A",$H326="A",$I326="WK "&amp;_xlfn.ISOWEEKNUM($K$2)),$D$1,$E$1))))</f>
        <v>ON</v>
      </c>
      <c r="N326" s="1" t="str">
        <f t="shared" ref="N326:N389" ca="1" si="149">IF($A326="","",IF(COUNTA($K$2:$AO$2)-4,IF(OR(N$4&lt;&gt;"Mon",N$4&lt;&gt;"Tue"),IF(AND($G326="B",$H326="B",$I326="WK "&amp;_xlfn.ISOWEEKNUM($K$2)),$D$1,$E$1))))</f>
        <v>ON</v>
      </c>
      <c r="O326" s="1" t="str">
        <f t="shared" ref="O326:O389" ca="1" si="150">IF($A326="","",IF(COUNTA($K$2:$AO$2)-4,IF(OR(O$4&lt;&gt;"Mon",O$4&lt;&gt;"Tue"),IF(AND($G326="C",$H326="C",$I326="WK "&amp;_xlfn.ISOWEEKNUM($K$2)),$D$1,$E$1))))</f>
        <v>ON</v>
      </c>
      <c r="P326" s="1" t="str">
        <f t="shared" ref="P326:P389" ca="1" si="151">IF($A326="","",IF(COUNTA($K$2:$AO$2)-4,IF(OR(P$4&lt;&gt;"Mon",P$4&lt;&gt;"Tue"),IF(AND($G326="D",$H326="D",$I326="WK "&amp;_xlfn.ISOWEEKNUM($K$2)),$D$1,$E$1))))</f>
        <v>ON</v>
      </c>
      <c r="Q326" s="1"/>
      <c r="R326" s="20" t="str">
        <f t="shared" ref="R326:S357" ca="1" si="152">IF($A326="","",IF(COUNTA($K$2:$AO$2)-4,IF(OR(R$4="Mon",R$4="Tue"),$E$1,$D$1)))</f>
        <v>ON</v>
      </c>
      <c r="S326" s="20" t="str">
        <f t="shared" ca="1" si="152"/>
        <v>ON</v>
      </c>
      <c r="T326" s="1" t="str">
        <f t="shared" ref="T326:T389" ca="1" si="153">IF($A326="","",IF(COUNTA($K$2:$AO$2)-4,IF(OR(T$4&lt;&gt;"Mon",T$4&lt;&gt;"Tue"),IF(AND($G326="A",$H326="A",$I326="WK "&amp;_xlfn.ISOWEEKNUM($R$2)),$D$1,$E$1))))</f>
        <v>ON</v>
      </c>
      <c r="U326" s="1" t="str">
        <f t="shared" ref="U326:U389" ca="1" si="154">IF($A326="","",IF(COUNTA($K$2:$AO$2)-4,IF(OR(U$4&lt;&gt;"Mon",U$4&lt;&gt;"Tue"),IF(AND($G326="B",$H326="B",$I326="WK "&amp;_xlfn.ISOWEEKNUM($R$2)),$D$1,$E$1))))</f>
        <v>OFF</v>
      </c>
      <c r="V326" s="1" t="str">
        <f t="shared" ref="V326:V389" ca="1" si="155">IF($A326="","",IF(COUNTA($K$2:$AO$2)-4,IF(OR(V$4&lt;&gt;"Mon",V$4&lt;&gt;"Tue"),IF(AND($G326="C",$H326="C",$I326="WK "&amp;_xlfn.ISOWEEKNUM($R$2)),$D$1,$E$1))))</f>
        <v>ON</v>
      </c>
      <c r="W326" s="1" t="str">
        <f t="shared" ref="W326:W389" ca="1" si="156">IF($A326="","",IF(COUNTA($K$2:$AO$2)-4,IF(OR(W$4&lt;&gt;"Mon",W$4&lt;&gt;"Tue"),IF(AND($G326="D",$H326="D",$I326="WK "&amp;_xlfn.ISOWEEKNUM($R$2)),$D$1,$E$1))))</f>
        <v>ON</v>
      </c>
      <c r="X326" s="1"/>
      <c r="Y326" s="20" t="str">
        <f t="shared" ref="Y326:Z357" ca="1" si="157">IF($A326="","",IF(COUNTA($K$2:$AO$2)-4,IF(OR(Y$4="Mon",Y$4="Tue"),$E$1,$D$1)))</f>
        <v>ON</v>
      </c>
      <c r="Z326" s="20" t="str">
        <f t="shared" ca="1" si="157"/>
        <v>ON</v>
      </c>
      <c r="AA326" s="1" t="str">
        <f t="shared" ref="AA326:AA389" ca="1" si="158">IF($A326="","",IF(COUNTA($K$2:$AO$2)-4,IF(OR(AA$4&lt;&gt;"Mon",AA$4&lt;&gt;"Tue"),IF(AND($G326="A",$H326="A",$J326="WK "&amp;_xlfn.ISOWEEKNUM($Y$2)),$D$1,$E$1))))</f>
        <v>ON</v>
      </c>
      <c r="AB326" s="1" t="str">
        <f t="shared" ref="AB326:AB389" ca="1" si="159">IF($A326="","",IF(COUNTA($K$2:$AO$2)-4,IF(OR(AB$4&lt;&gt;"Mon",AB$4&lt;&gt;"Tue"),IF(AND($G326="B",$H326="B",$J326="WK "&amp;_xlfn.ISOWEEKNUM($Y$2)),$D$1,$E$1))))</f>
        <v>ON</v>
      </c>
      <c r="AC326" s="1" t="str">
        <f t="shared" ref="AC326:AC389" ca="1" si="160">IF($A326="","",IF(COUNTA($K$2:$AO$2)-4,IF(OR(AC$4&lt;&gt;"Mon",AC$4&lt;&gt;"Tue"),IF(AND($G326="C",$H326="C",$J326="WK "&amp;_xlfn.ISOWEEKNUM($Y$2)),$D$1,$E$1))))</f>
        <v>ON</v>
      </c>
      <c r="AD326" s="1" t="str">
        <f t="shared" ref="AD326:AD389" ca="1" si="161">IF($A326="","",IF(COUNTA($K$2:$AO$2)-4,IF(OR(AD$4&lt;&gt;"Mon",AD$4&lt;&gt;"Tue"),IF(AND($G326="D",$H326="D",$J326="WK "&amp;_xlfn.ISOWEEKNUM($Y$2)),$D$1,$E$1))))</f>
        <v>ON</v>
      </c>
      <c r="AE326" s="1"/>
      <c r="AF326" s="20" t="str">
        <f t="shared" ref="AF326:AG357" ca="1" si="162">IF($A326="","",IF(COUNTA($K$2:$AO$2)-4,IF(OR(AF$4="Mon",AF$4="Tue"),$E$1,$D$1)))</f>
        <v>ON</v>
      </c>
      <c r="AG326" s="20" t="str">
        <f t="shared" ca="1" si="162"/>
        <v>ON</v>
      </c>
      <c r="AH326" s="1" t="str">
        <f t="shared" ref="AH326:AH389" ca="1" si="163">IF($A326="","",IF(COUNTA($K$2:$AO$2)-4,IF(OR(AH$4&lt;&gt;"Mon",AH$4&lt;&gt;"Tue"),IF(AND($G326="A",$H326="A",$J326="WK "&amp;_xlfn.ISOWEEKNUM($AF$2)),$D$1,$E$1))))</f>
        <v>ON</v>
      </c>
      <c r="AI326" s="1" t="str">
        <f t="shared" ref="AI326:AI389" ca="1" si="164">IF($A326="","",IF(COUNTA($K$2:$AO$2)-4,IF(OR(AI$4&lt;&gt;"Mon",AI$4&lt;&gt;"Tue"),IF(AND($G326="B",$H326="B",$J326="WK "&amp;_xlfn.ISOWEEKNUM($AF$2)),$D$1,$E$1))))</f>
        <v>OFF</v>
      </c>
      <c r="AJ326" s="1" t="str">
        <f t="shared" ref="AJ326:AJ389" ca="1" si="165">IF($A326="","",IF(COUNTA($K$2:$AO$2)-4,IF(OR(AJ$4&lt;&gt;"Mon",AJ$4&lt;&gt;"Tue"),IF(AND($G326="C",$H326="C",$J326="WK "&amp;_xlfn.ISOWEEKNUM($AF$2)),$D$1,$E$1))))</f>
        <v>ON</v>
      </c>
      <c r="AK326" s="1" t="str">
        <f t="shared" ref="AK326:AK389" ca="1" si="166">IF($A326="","",IF(COUNTA($K$2:$AO$2)-4,IF(OR(AK$4&lt;&gt;"Mon",AK$4&lt;&gt;"Tue"),IF(AND($G326="D",$H326="D",$J326="WK "&amp;_xlfn.ISOWEEKNUM($AF$2)),$D$1,$E$1))))</f>
        <v>ON</v>
      </c>
      <c r="AL326" s="1"/>
      <c r="AM326" s="20" t="str">
        <f t="shared" ref="AM326:AN357" si="167">IF(COUNTA($K$2:$AO$2)-4,IF(OR(AM$4="Mon",AM$4="Tue"),$E$1,$D$1))</f>
        <v>ON</v>
      </c>
      <c r="AN326" s="20" t="str">
        <f t="shared" si="167"/>
        <v>ON</v>
      </c>
      <c r="AO326" s="20" t="str">
        <f t="shared" ref="AO326:AO389" si="168">IF(COUNTA($K$2:$AO$2)-4,IF(OR(AO$4="Mon",AO$4="Tue",AO$4="Wed"),$E$1,$D$1))</f>
        <v>ON</v>
      </c>
    </row>
    <row r="327" spans="1:41">
      <c r="A327" t="str">
        <f t="shared" ca="1" si="142"/>
        <v>Oyo</v>
      </c>
      <c r="B327" t="str">
        <f t="shared" ca="1" si="143"/>
        <v>B</v>
      </c>
      <c r="C327" t="str">
        <f t="shared" ca="1" si="144"/>
        <v>D1</v>
      </c>
      <c r="D327" t="s">
        <v>7</v>
      </c>
      <c r="E327">
        <f t="shared" ca="1" si="145"/>
        <v>25</v>
      </c>
      <c r="F327">
        <f t="shared" ca="1" si="146"/>
        <v>2</v>
      </c>
      <c r="G327" t="str">
        <v>C</v>
      </c>
      <c r="H327" t="str">
        <v>C</v>
      </c>
      <c r="I327" t="str">
        <f ca="1">IF($A327="","",IF(COUNTA($K$2:$P$2)=6,"WK "&amp;_xlfn.ISOWEEKNUM($K$2)))</f>
        <v>WK 18</v>
      </c>
      <c r="J327" t="str">
        <f ca="1">IF($A327="","",IF(COUNTA($Y$2:$AD$2)=6,"WK "&amp;_xlfn.ISOWEEKNUM($Y$2)))</f>
        <v>WK 20</v>
      </c>
      <c r="K327" s="20" t="str">
        <f t="shared" ca="1" si="147"/>
        <v>ON</v>
      </c>
      <c r="L327" s="20" t="str">
        <f t="shared" ca="1" si="147"/>
        <v>ON</v>
      </c>
      <c r="M327" s="1" t="str">
        <f t="shared" ca="1" si="148"/>
        <v>ON</v>
      </c>
      <c r="N327" s="1" t="str">
        <f t="shared" ca="1" si="149"/>
        <v>ON</v>
      </c>
      <c r="O327" s="1" t="str">
        <f t="shared" ca="1" si="150"/>
        <v>OFF</v>
      </c>
      <c r="P327" s="1" t="str">
        <f t="shared" ca="1" si="151"/>
        <v>ON</v>
      </c>
      <c r="Q327" s="1"/>
      <c r="R327" s="20" t="str">
        <f t="shared" ca="1" si="152"/>
        <v>ON</v>
      </c>
      <c r="S327" s="20" t="str">
        <f t="shared" ca="1" si="152"/>
        <v>ON</v>
      </c>
      <c r="T327" s="1" t="str">
        <f t="shared" ca="1" si="153"/>
        <v>ON</v>
      </c>
      <c r="U327" s="1" t="str">
        <f t="shared" ca="1" si="154"/>
        <v>ON</v>
      </c>
      <c r="V327" s="1" t="str">
        <f t="shared" ca="1" si="155"/>
        <v>ON</v>
      </c>
      <c r="W327" s="1" t="str">
        <f t="shared" ca="1" si="156"/>
        <v>ON</v>
      </c>
      <c r="X327" s="1"/>
      <c r="Y327" s="20" t="str">
        <f t="shared" ca="1" si="157"/>
        <v>ON</v>
      </c>
      <c r="Z327" s="20" t="str">
        <f t="shared" ca="1" si="157"/>
        <v>ON</v>
      </c>
      <c r="AA327" s="1" t="str">
        <f t="shared" ca="1" si="158"/>
        <v>ON</v>
      </c>
      <c r="AB327" s="1" t="str">
        <f t="shared" ca="1" si="159"/>
        <v>ON</v>
      </c>
      <c r="AC327" s="1" t="str">
        <f t="shared" ca="1" si="160"/>
        <v>OFF</v>
      </c>
      <c r="AD327" s="1" t="str">
        <f t="shared" ca="1" si="161"/>
        <v>ON</v>
      </c>
      <c r="AE327" s="1"/>
      <c r="AF327" s="20" t="str">
        <f t="shared" ca="1" si="162"/>
        <v>ON</v>
      </c>
      <c r="AG327" s="20" t="str">
        <f t="shared" ca="1" si="162"/>
        <v>ON</v>
      </c>
      <c r="AH327" s="1" t="str">
        <f t="shared" ca="1" si="163"/>
        <v>ON</v>
      </c>
      <c r="AI327" s="1" t="str">
        <f t="shared" ca="1" si="164"/>
        <v>ON</v>
      </c>
      <c r="AJ327" s="1" t="str">
        <f t="shared" ca="1" si="165"/>
        <v>ON</v>
      </c>
      <c r="AK327" s="1" t="str">
        <f t="shared" ca="1" si="166"/>
        <v>ON</v>
      </c>
      <c r="AL327" s="1"/>
      <c r="AM327" s="20" t="str">
        <f t="shared" si="167"/>
        <v>ON</v>
      </c>
      <c r="AN327" s="20" t="str">
        <f t="shared" si="167"/>
        <v>ON</v>
      </c>
      <c r="AO327" s="20" t="str">
        <f t="shared" si="168"/>
        <v>ON</v>
      </c>
    </row>
    <row r="328" spans="1:41">
      <c r="A328" t="str">
        <f t="shared" ca="1" si="142"/>
        <v>Oyo</v>
      </c>
      <c r="B328" t="str">
        <f t="shared" ca="1" si="143"/>
        <v>A</v>
      </c>
      <c r="C328" t="str">
        <f t="shared" ca="1" si="144"/>
        <v>D1</v>
      </c>
      <c r="D328" t="s">
        <v>7</v>
      </c>
      <c r="E328">
        <f t="shared" ca="1" si="145"/>
        <v>25</v>
      </c>
      <c r="F328">
        <f t="shared" ca="1" si="146"/>
        <v>2</v>
      </c>
      <c r="G328" t="str">
        <v>D</v>
      </c>
      <c r="H328" t="str">
        <v>D</v>
      </c>
      <c r="I328" t="str">
        <f ca="1">IF($A328="","",IF(COUNTA($R$2:$W$2)=6,"WK "&amp;_xlfn.ISOWEEKNUM($R$2)))</f>
        <v>WK 19</v>
      </c>
      <c r="J328" t="str">
        <f ca="1">IF($A328="","",IF(COUNTA($AF$2:$AK$2)=6,"WK "&amp;_xlfn.ISOWEEKNUM($AF$2)))</f>
        <v>WK 21</v>
      </c>
      <c r="K328" s="20" t="str">
        <f t="shared" ca="1" si="147"/>
        <v>ON</v>
      </c>
      <c r="L328" s="20" t="str">
        <f t="shared" ca="1" si="147"/>
        <v>ON</v>
      </c>
      <c r="M328" s="1" t="str">
        <f t="shared" ca="1" si="148"/>
        <v>ON</v>
      </c>
      <c r="N328" s="1" t="str">
        <f t="shared" ca="1" si="149"/>
        <v>ON</v>
      </c>
      <c r="O328" s="1" t="str">
        <f t="shared" ca="1" si="150"/>
        <v>ON</v>
      </c>
      <c r="P328" s="1" t="str">
        <f t="shared" ca="1" si="151"/>
        <v>ON</v>
      </c>
      <c r="Q328" s="1"/>
      <c r="R328" s="20" t="str">
        <f t="shared" ca="1" si="152"/>
        <v>ON</v>
      </c>
      <c r="S328" s="20" t="str">
        <f t="shared" ca="1" si="152"/>
        <v>ON</v>
      </c>
      <c r="T328" s="1" t="str">
        <f t="shared" ca="1" si="153"/>
        <v>ON</v>
      </c>
      <c r="U328" s="1" t="str">
        <f t="shared" ca="1" si="154"/>
        <v>ON</v>
      </c>
      <c r="V328" s="1" t="str">
        <f t="shared" ca="1" si="155"/>
        <v>ON</v>
      </c>
      <c r="W328" s="1" t="str">
        <f t="shared" ca="1" si="156"/>
        <v>OFF</v>
      </c>
      <c r="X328" s="1"/>
      <c r="Y328" s="20" t="str">
        <f t="shared" ca="1" si="157"/>
        <v>ON</v>
      </c>
      <c r="Z328" s="20" t="str">
        <f t="shared" ca="1" si="157"/>
        <v>ON</v>
      </c>
      <c r="AA328" s="1" t="str">
        <f t="shared" ca="1" si="158"/>
        <v>ON</v>
      </c>
      <c r="AB328" s="1" t="str">
        <f t="shared" ca="1" si="159"/>
        <v>ON</v>
      </c>
      <c r="AC328" s="1" t="str">
        <f t="shared" ca="1" si="160"/>
        <v>ON</v>
      </c>
      <c r="AD328" s="1" t="str">
        <f t="shared" ca="1" si="161"/>
        <v>ON</v>
      </c>
      <c r="AE328" s="1"/>
      <c r="AF328" s="20" t="str">
        <f t="shared" ca="1" si="162"/>
        <v>ON</v>
      </c>
      <c r="AG328" s="20" t="str">
        <f t="shared" ca="1" si="162"/>
        <v>ON</v>
      </c>
      <c r="AH328" s="1" t="str">
        <f t="shared" ca="1" si="163"/>
        <v>ON</v>
      </c>
      <c r="AI328" s="1" t="str">
        <f t="shared" ca="1" si="164"/>
        <v>ON</v>
      </c>
      <c r="AJ328" s="1" t="str">
        <f t="shared" ca="1" si="165"/>
        <v>ON</v>
      </c>
      <c r="AK328" s="1" t="str">
        <f t="shared" ca="1" si="166"/>
        <v>OFF</v>
      </c>
      <c r="AL328" s="1"/>
      <c r="AM328" s="20" t="str">
        <f t="shared" si="167"/>
        <v>ON</v>
      </c>
      <c r="AN328" s="20" t="str">
        <f t="shared" si="167"/>
        <v>ON</v>
      </c>
      <c r="AO328" s="20" t="str">
        <f t="shared" si="168"/>
        <v>ON</v>
      </c>
    </row>
    <row r="329" spans="1:41">
      <c r="A329" t="str">
        <f t="shared" ca="1" si="142"/>
        <v>Ogun</v>
      </c>
      <c r="B329" t="str">
        <f t="shared" ca="1" si="143"/>
        <v>E</v>
      </c>
      <c r="C329" t="str">
        <f t="shared" ca="1" si="144"/>
        <v>E1</v>
      </c>
      <c r="D329" t="s">
        <v>4</v>
      </c>
      <c r="E329">
        <f t="shared" ca="1" si="145"/>
        <v>25</v>
      </c>
      <c r="F329">
        <f t="shared" ca="1" si="146"/>
        <v>2</v>
      </c>
      <c r="G329" t="str" cm="1">
        <f t="array" ref="G329:G332">IF($G$5:$G$8={"A";"B";"C";"D"},{"D";"C";"B";"A"},{"A";"B";"C";"D"})</f>
        <v>D</v>
      </c>
      <c r="H329" t="str" cm="1">
        <f t="array" ref="H329:H332">IF($H$5:$H$8={"A";"B";"C";"D"},{"D";"C";"B";"A"},{"A";"B";"C";"D"})</f>
        <v>D</v>
      </c>
      <c r="I329" t="str">
        <f ca="1">IF($A329="","",IF(COUNTA($K$2:$P$2)=6,"WK "&amp;_xlfn.ISOWEEKNUM($K$2)))</f>
        <v>WK 18</v>
      </c>
      <c r="J329" t="str">
        <f ca="1">IF($A329="","",IF(COUNTA($Y$2:$AD$2)=6,"WK "&amp;_xlfn.ISOWEEKNUM($Y$2)))</f>
        <v>WK 20</v>
      </c>
      <c r="K329" s="20" t="str">
        <f t="shared" ca="1" si="147"/>
        <v>ON</v>
      </c>
      <c r="L329" s="20" t="str">
        <f t="shared" ca="1" si="147"/>
        <v>ON</v>
      </c>
      <c r="M329" s="1" t="str">
        <f t="shared" ca="1" si="148"/>
        <v>ON</v>
      </c>
      <c r="N329" s="1" t="str">
        <f t="shared" ca="1" si="149"/>
        <v>ON</v>
      </c>
      <c r="O329" s="1" t="str">
        <f t="shared" ca="1" si="150"/>
        <v>ON</v>
      </c>
      <c r="P329" s="1" t="str">
        <f t="shared" ca="1" si="151"/>
        <v>OFF</v>
      </c>
      <c r="Q329" s="1"/>
      <c r="R329" s="20" t="str">
        <f t="shared" ca="1" si="152"/>
        <v>ON</v>
      </c>
      <c r="S329" s="20" t="str">
        <f t="shared" ca="1" si="152"/>
        <v>ON</v>
      </c>
      <c r="T329" s="1" t="str">
        <f t="shared" ca="1" si="153"/>
        <v>ON</v>
      </c>
      <c r="U329" s="1" t="str">
        <f t="shared" ca="1" si="154"/>
        <v>ON</v>
      </c>
      <c r="V329" s="1" t="str">
        <f t="shared" ca="1" si="155"/>
        <v>ON</v>
      </c>
      <c r="W329" s="1" t="str">
        <f t="shared" ca="1" si="156"/>
        <v>ON</v>
      </c>
      <c r="X329" s="1"/>
      <c r="Y329" s="20" t="str">
        <f t="shared" ca="1" si="157"/>
        <v>ON</v>
      </c>
      <c r="Z329" s="20" t="str">
        <f t="shared" ca="1" si="157"/>
        <v>ON</v>
      </c>
      <c r="AA329" s="1" t="str">
        <f t="shared" ca="1" si="158"/>
        <v>ON</v>
      </c>
      <c r="AB329" s="1" t="str">
        <f t="shared" ca="1" si="159"/>
        <v>ON</v>
      </c>
      <c r="AC329" s="1" t="str">
        <f t="shared" ca="1" si="160"/>
        <v>ON</v>
      </c>
      <c r="AD329" s="1" t="str">
        <f t="shared" ca="1" si="161"/>
        <v>OFF</v>
      </c>
      <c r="AE329" s="1"/>
      <c r="AF329" s="20" t="str">
        <f t="shared" ca="1" si="162"/>
        <v>ON</v>
      </c>
      <c r="AG329" s="20" t="str">
        <f t="shared" ca="1" si="162"/>
        <v>ON</v>
      </c>
      <c r="AH329" s="1" t="str">
        <f t="shared" ca="1" si="163"/>
        <v>ON</v>
      </c>
      <c r="AI329" s="1" t="str">
        <f t="shared" ca="1" si="164"/>
        <v>ON</v>
      </c>
      <c r="AJ329" s="1" t="str">
        <f t="shared" ca="1" si="165"/>
        <v>ON</v>
      </c>
      <c r="AK329" s="1" t="str">
        <f t="shared" ca="1" si="166"/>
        <v>ON</v>
      </c>
      <c r="AL329" s="1"/>
      <c r="AM329" s="20" t="str">
        <f t="shared" si="167"/>
        <v>ON</v>
      </c>
      <c r="AN329" s="20" t="str">
        <f t="shared" si="167"/>
        <v>ON</v>
      </c>
      <c r="AO329" s="20" t="str">
        <f t="shared" si="168"/>
        <v>ON</v>
      </c>
    </row>
    <row r="330" spans="1:41">
      <c r="A330" t="str">
        <f t="shared" ca="1" si="142"/>
        <v>Ogun</v>
      </c>
      <c r="B330" t="str">
        <f t="shared" ca="1" si="143"/>
        <v>C</v>
      </c>
      <c r="C330" t="str">
        <f t="shared" ca="1" si="144"/>
        <v>D1</v>
      </c>
      <c r="D330" t="s">
        <v>4</v>
      </c>
      <c r="E330">
        <f t="shared" ca="1" si="145"/>
        <v>25</v>
      </c>
      <c r="F330">
        <f t="shared" ca="1" si="146"/>
        <v>2</v>
      </c>
      <c r="G330" t="str">
        <v>C</v>
      </c>
      <c r="H330" t="str">
        <v>C</v>
      </c>
      <c r="I330" t="str">
        <f ca="1">IF($A330="","",IF(COUNTA($R$2:$W$2)=6,"WK "&amp;_xlfn.ISOWEEKNUM($R$2)))</f>
        <v>WK 19</v>
      </c>
      <c r="J330" t="str">
        <f ca="1">IF($A330="","",IF(COUNTA($AF$2:$AK$2)=6,"WK "&amp;_xlfn.ISOWEEKNUM($AF$2)))</f>
        <v>WK 21</v>
      </c>
      <c r="K330" s="20" t="str">
        <f t="shared" ca="1" si="147"/>
        <v>ON</v>
      </c>
      <c r="L330" s="20" t="str">
        <f t="shared" ca="1" si="147"/>
        <v>ON</v>
      </c>
      <c r="M330" s="1" t="str">
        <f t="shared" ca="1" si="148"/>
        <v>ON</v>
      </c>
      <c r="N330" s="1" t="str">
        <f t="shared" ca="1" si="149"/>
        <v>ON</v>
      </c>
      <c r="O330" s="1" t="str">
        <f t="shared" ca="1" si="150"/>
        <v>ON</v>
      </c>
      <c r="P330" s="1" t="str">
        <f t="shared" ca="1" si="151"/>
        <v>ON</v>
      </c>
      <c r="Q330" s="1"/>
      <c r="R330" s="20" t="str">
        <f t="shared" ca="1" si="152"/>
        <v>ON</v>
      </c>
      <c r="S330" s="20" t="str">
        <f t="shared" ca="1" si="152"/>
        <v>ON</v>
      </c>
      <c r="T330" s="1" t="str">
        <f t="shared" ca="1" si="153"/>
        <v>ON</v>
      </c>
      <c r="U330" s="1" t="str">
        <f t="shared" ca="1" si="154"/>
        <v>ON</v>
      </c>
      <c r="V330" s="1" t="str">
        <f t="shared" ca="1" si="155"/>
        <v>OFF</v>
      </c>
      <c r="W330" s="1" t="str">
        <f t="shared" ca="1" si="156"/>
        <v>ON</v>
      </c>
      <c r="X330" s="1"/>
      <c r="Y330" s="20" t="str">
        <f t="shared" ca="1" si="157"/>
        <v>ON</v>
      </c>
      <c r="Z330" s="20" t="str">
        <f t="shared" ca="1" si="157"/>
        <v>ON</v>
      </c>
      <c r="AA330" s="1" t="str">
        <f t="shared" ca="1" si="158"/>
        <v>ON</v>
      </c>
      <c r="AB330" s="1" t="str">
        <f t="shared" ca="1" si="159"/>
        <v>ON</v>
      </c>
      <c r="AC330" s="1" t="str">
        <f t="shared" ca="1" si="160"/>
        <v>ON</v>
      </c>
      <c r="AD330" s="1" t="str">
        <f t="shared" ca="1" si="161"/>
        <v>ON</v>
      </c>
      <c r="AE330" s="1"/>
      <c r="AF330" s="20" t="str">
        <f t="shared" ca="1" si="162"/>
        <v>ON</v>
      </c>
      <c r="AG330" s="20" t="str">
        <f t="shared" ca="1" si="162"/>
        <v>ON</v>
      </c>
      <c r="AH330" s="1" t="str">
        <f t="shared" ca="1" si="163"/>
        <v>ON</v>
      </c>
      <c r="AI330" s="1" t="str">
        <f t="shared" ca="1" si="164"/>
        <v>ON</v>
      </c>
      <c r="AJ330" s="1" t="str">
        <f t="shared" ca="1" si="165"/>
        <v>OFF</v>
      </c>
      <c r="AK330" s="1" t="str">
        <f t="shared" ca="1" si="166"/>
        <v>ON</v>
      </c>
      <c r="AL330" s="1"/>
      <c r="AM330" s="20" t="str">
        <f t="shared" si="167"/>
        <v>ON</v>
      </c>
      <c r="AN330" s="20" t="str">
        <f t="shared" si="167"/>
        <v>ON</v>
      </c>
      <c r="AO330" s="20" t="str">
        <f t="shared" si="168"/>
        <v>ON</v>
      </c>
    </row>
    <row r="331" spans="1:41">
      <c r="A331" t="str">
        <f t="shared" ca="1" si="142"/>
        <v>Lagos</v>
      </c>
      <c r="B331" t="str">
        <f t="shared" ca="1" si="143"/>
        <v>B</v>
      </c>
      <c r="C331" t="str">
        <f t="shared" ca="1" si="144"/>
        <v>A1</v>
      </c>
      <c r="D331" t="s">
        <v>4</v>
      </c>
      <c r="E331">
        <f t="shared" ca="1" si="145"/>
        <v>25</v>
      </c>
      <c r="F331">
        <f t="shared" ca="1" si="146"/>
        <v>2</v>
      </c>
      <c r="G331" t="str">
        <v>B</v>
      </c>
      <c r="H331" t="str">
        <v>B</v>
      </c>
      <c r="I331" t="str">
        <f ca="1">IF($A331="","",IF(COUNTA($K$2:$P$2)=6,"WK "&amp;_xlfn.ISOWEEKNUM($K$2)))</f>
        <v>WK 18</v>
      </c>
      <c r="J331" t="str">
        <f ca="1">IF($A331="","",IF(COUNTA($Y$2:$AD$2)=6,"WK "&amp;_xlfn.ISOWEEKNUM($Y$2)))</f>
        <v>WK 20</v>
      </c>
      <c r="K331" s="20" t="str">
        <f t="shared" ca="1" si="147"/>
        <v>ON</v>
      </c>
      <c r="L331" s="20" t="str">
        <f t="shared" ca="1" si="147"/>
        <v>ON</v>
      </c>
      <c r="M331" s="1" t="str">
        <f t="shared" ca="1" si="148"/>
        <v>ON</v>
      </c>
      <c r="N331" s="1" t="str">
        <f t="shared" ca="1" si="149"/>
        <v>OFF</v>
      </c>
      <c r="O331" s="1" t="str">
        <f t="shared" ca="1" si="150"/>
        <v>ON</v>
      </c>
      <c r="P331" s="1" t="str">
        <f t="shared" ca="1" si="151"/>
        <v>ON</v>
      </c>
      <c r="Q331" s="1"/>
      <c r="R331" s="20" t="str">
        <f t="shared" ca="1" si="152"/>
        <v>ON</v>
      </c>
      <c r="S331" s="20" t="str">
        <f t="shared" ca="1" si="152"/>
        <v>ON</v>
      </c>
      <c r="T331" s="1" t="str">
        <f t="shared" ca="1" si="153"/>
        <v>ON</v>
      </c>
      <c r="U331" s="1" t="str">
        <f t="shared" ca="1" si="154"/>
        <v>ON</v>
      </c>
      <c r="V331" s="1" t="str">
        <f t="shared" ca="1" si="155"/>
        <v>ON</v>
      </c>
      <c r="W331" s="1" t="str">
        <f t="shared" ca="1" si="156"/>
        <v>ON</v>
      </c>
      <c r="X331" s="1"/>
      <c r="Y331" s="20" t="str">
        <f t="shared" ca="1" si="157"/>
        <v>ON</v>
      </c>
      <c r="Z331" s="20" t="str">
        <f t="shared" ca="1" si="157"/>
        <v>ON</v>
      </c>
      <c r="AA331" s="1" t="str">
        <f t="shared" ca="1" si="158"/>
        <v>ON</v>
      </c>
      <c r="AB331" s="1" t="str">
        <f t="shared" ca="1" si="159"/>
        <v>OFF</v>
      </c>
      <c r="AC331" s="1" t="str">
        <f t="shared" ca="1" si="160"/>
        <v>ON</v>
      </c>
      <c r="AD331" s="1" t="str">
        <f t="shared" ca="1" si="161"/>
        <v>ON</v>
      </c>
      <c r="AE331" s="1"/>
      <c r="AF331" s="20" t="str">
        <f t="shared" ca="1" si="162"/>
        <v>ON</v>
      </c>
      <c r="AG331" s="20" t="str">
        <f t="shared" ca="1" si="162"/>
        <v>ON</v>
      </c>
      <c r="AH331" s="1" t="str">
        <f t="shared" ca="1" si="163"/>
        <v>ON</v>
      </c>
      <c r="AI331" s="1" t="str">
        <f t="shared" ca="1" si="164"/>
        <v>ON</v>
      </c>
      <c r="AJ331" s="1" t="str">
        <f t="shared" ca="1" si="165"/>
        <v>ON</v>
      </c>
      <c r="AK331" s="1" t="str">
        <f t="shared" ca="1" si="166"/>
        <v>ON</v>
      </c>
      <c r="AL331" s="1"/>
      <c r="AM331" s="20" t="str">
        <f t="shared" si="167"/>
        <v>ON</v>
      </c>
      <c r="AN331" s="20" t="str">
        <f t="shared" si="167"/>
        <v>ON</v>
      </c>
      <c r="AO331" s="20" t="str">
        <f t="shared" si="168"/>
        <v>ON</v>
      </c>
    </row>
    <row r="332" spans="1:41">
      <c r="A332" t="str">
        <f t="shared" ca="1" si="142"/>
        <v>Oyo</v>
      </c>
      <c r="B332" t="str">
        <f t="shared" ca="1" si="143"/>
        <v>C</v>
      </c>
      <c r="C332" t="str">
        <f t="shared" ca="1" si="144"/>
        <v>E1</v>
      </c>
      <c r="D332" t="s">
        <v>4</v>
      </c>
      <c r="E332">
        <f t="shared" ca="1" si="145"/>
        <v>25</v>
      </c>
      <c r="F332">
        <f t="shared" ca="1" si="146"/>
        <v>2</v>
      </c>
      <c r="G332" t="str">
        <v>A</v>
      </c>
      <c r="H332" t="str">
        <v>A</v>
      </c>
      <c r="I332" t="str">
        <f ca="1">IF($A332="","",IF(COUNTA($R$2:$W$2)=6,"WK "&amp;_xlfn.ISOWEEKNUM($R$2)))</f>
        <v>WK 19</v>
      </c>
      <c r="J332" t="str">
        <f ca="1">IF($A332="","",IF(COUNTA($AF$2:$AK$2)=6,"WK "&amp;_xlfn.ISOWEEKNUM($AF$2)))</f>
        <v>WK 21</v>
      </c>
      <c r="K332" s="20" t="str">
        <f t="shared" ca="1" si="147"/>
        <v>ON</v>
      </c>
      <c r="L332" s="20" t="str">
        <f t="shared" ca="1" si="147"/>
        <v>ON</v>
      </c>
      <c r="M332" s="1" t="str">
        <f t="shared" ca="1" si="148"/>
        <v>ON</v>
      </c>
      <c r="N332" s="1" t="str">
        <f t="shared" ca="1" si="149"/>
        <v>ON</v>
      </c>
      <c r="O332" s="1" t="str">
        <f t="shared" ca="1" si="150"/>
        <v>ON</v>
      </c>
      <c r="P332" s="1" t="str">
        <f t="shared" ca="1" si="151"/>
        <v>ON</v>
      </c>
      <c r="Q332" s="1"/>
      <c r="R332" s="20" t="str">
        <f t="shared" ca="1" si="152"/>
        <v>ON</v>
      </c>
      <c r="S332" s="20" t="str">
        <f t="shared" ca="1" si="152"/>
        <v>ON</v>
      </c>
      <c r="T332" s="1" t="str">
        <f t="shared" ca="1" si="153"/>
        <v>OFF</v>
      </c>
      <c r="U332" s="1" t="str">
        <f t="shared" ca="1" si="154"/>
        <v>ON</v>
      </c>
      <c r="V332" s="1" t="str">
        <f t="shared" ca="1" si="155"/>
        <v>ON</v>
      </c>
      <c r="W332" s="1" t="str">
        <f t="shared" ca="1" si="156"/>
        <v>ON</v>
      </c>
      <c r="X332" s="1"/>
      <c r="Y332" s="20" t="str">
        <f t="shared" ca="1" si="157"/>
        <v>ON</v>
      </c>
      <c r="Z332" s="20" t="str">
        <f t="shared" ca="1" si="157"/>
        <v>ON</v>
      </c>
      <c r="AA332" s="1" t="str">
        <f t="shared" ca="1" si="158"/>
        <v>ON</v>
      </c>
      <c r="AB332" s="1" t="str">
        <f t="shared" ca="1" si="159"/>
        <v>ON</v>
      </c>
      <c r="AC332" s="1" t="str">
        <f t="shared" ca="1" si="160"/>
        <v>ON</v>
      </c>
      <c r="AD332" s="1" t="str">
        <f t="shared" ca="1" si="161"/>
        <v>ON</v>
      </c>
      <c r="AE332" s="1"/>
      <c r="AF332" s="20" t="str">
        <f t="shared" ca="1" si="162"/>
        <v>ON</v>
      </c>
      <c r="AG332" s="20" t="str">
        <f t="shared" ca="1" si="162"/>
        <v>ON</v>
      </c>
      <c r="AH332" s="1" t="str">
        <f t="shared" ca="1" si="163"/>
        <v>OFF</v>
      </c>
      <c r="AI332" s="1" t="str">
        <f t="shared" ca="1" si="164"/>
        <v>ON</v>
      </c>
      <c r="AJ332" s="1" t="str">
        <f t="shared" ca="1" si="165"/>
        <v>ON</v>
      </c>
      <c r="AK332" s="1" t="str">
        <f t="shared" ca="1" si="166"/>
        <v>ON</v>
      </c>
      <c r="AL332" s="1"/>
      <c r="AM332" s="20" t="str">
        <f t="shared" si="167"/>
        <v>ON</v>
      </c>
      <c r="AN332" s="20" t="str">
        <f t="shared" si="167"/>
        <v>ON</v>
      </c>
      <c r="AO332" s="20" t="str">
        <f t="shared" si="168"/>
        <v>ON</v>
      </c>
    </row>
    <row r="333" spans="1:41">
      <c r="A333" t="str">
        <f t="shared" ca="1" si="142"/>
        <v>Lagos</v>
      </c>
      <c r="B333" t="str">
        <f t="shared" ca="1" si="143"/>
        <v>E</v>
      </c>
      <c r="C333" t="str">
        <f t="shared" ca="1" si="144"/>
        <v>D1</v>
      </c>
      <c r="D333" t="s">
        <v>5</v>
      </c>
      <c r="E333">
        <f t="shared" ca="1" si="145"/>
        <v>25</v>
      </c>
      <c r="F333">
        <f t="shared" ca="1" si="146"/>
        <v>2</v>
      </c>
      <c r="G333" t="str" cm="1">
        <f t="array" ref="G333:G336">Groups!$B$2:$B$5</f>
        <v>A</v>
      </c>
      <c r="H333" t="str" cm="1">
        <f t="array" ref="H333:H336">Groups!$B$2:$B$5</f>
        <v>A</v>
      </c>
      <c r="I333" t="str">
        <f ca="1">IF($A333="","",IF(COUNTA($K$2:$P$2)=6,"WK "&amp;_xlfn.ISOWEEKNUM($K$2)))</f>
        <v>WK 18</v>
      </c>
      <c r="J333" t="str">
        <f ca="1">IF($A333="","",IF(COUNTA($Y$2:$AD$2)=6,"WK "&amp;_xlfn.ISOWEEKNUM($Y$2)))</f>
        <v>WK 20</v>
      </c>
      <c r="K333" s="20" t="str">
        <f t="shared" ca="1" si="147"/>
        <v>ON</v>
      </c>
      <c r="L333" s="20" t="str">
        <f t="shared" ca="1" si="147"/>
        <v>ON</v>
      </c>
      <c r="M333" s="1" t="str">
        <f t="shared" ca="1" si="148"/>
        <v>OFF</v>
      </c>
      <c r="N333" s="1" t="str">
        <f t="shared" ca="1" si="149"/>
        <v>ON</v>
      </c>
      <c r="O333" s="1" t="str">
        <f t="shared" ca="1" si="150"/>
        <v>ON</v>
      </c>
      <c r="P333" s="1" t="str">
        <f t="shared" ca="1" si="151"/>
        <v>ON</v>
      </c>
      <c r="Q333" s="1"/>
      <c r="R333" s="20" t="str">
        <f t="shared" ca="1" si="152"/>
        <v>ON</v>
      </c>
      <c r="S333" s="20" t="str">
        <f t="shared" ca="1" si="152"/>
        <v>ON</v>
      </c>
      <c r="T333" s="1" t="str">
        <f t="shared" ca="1" si="153"/>
        <v>ON</v>
      </c>
      <c r="U333" s="1" t="str">
        <f t="shared" ca="1" si="154"/>
        <v>ON</v>
      </c>
      <c r="V333" s="1" t="str">
        <f t="shared" ca="1" si="155"/>
        <v>ON</v>
      </c>
      <c r="W333" s="1" t="str">
        <f t="shared" ca="1" si="156"/>
        <v>ON</v>
      </c>
      <c r="X333" s="1"/>
      <c r="Y333" s="20" t="str">
        <f t="shared" ca="1" si="157"/>
        <v>ON</v>
      </c>
      <c r="Z333" s="20" t="str">
        <f t="shared" ca="1" si="157"/>
        <v>ON</v>
      </c>
      <c r="AA333" s="1" t="str">
        <f t="shared" ca="1" si="158"/>
        <v>OFF</v>
      </c>
      <c r="AB333" s="1" t="str">
        <f t="shared" ca="1" si="159"/>
        <v>ON</v>
      </c>
      <c r="AC333" s="1" t="str">
        <f t="shared" ca="1" si="160"/>
        <v>ON</v>
      </c>
      <c r="AD333" s="1" t="str">
        <f t="shared" ca="1" si="161"/>
        <v>ON</v>
      </c>
      <c r="AE333" s="1"/>
      <c r="AF333" s="20" t="str">
        <f t="shared" ca="1" si="162"/>
        <v>ON</v>
      </c>
      <c r="AG333" s="20" t="str">
        <f t="shared" ca="1" si="162"/>
        <v>ON</v>
      </c>
      <c r="AH333" s="1" t="str">
        <f t="shared" ca="1" si="163"/>
        <v>ON</v>
      </c>
      <c r="AI333" s="1" t="str">
        <f t="shared" ca="1" si="164"/>
        <v>ON</v>
      </c>
      <c r="AJ333" s="1" t="str">
        <f t="shared" ca="1" si="165"/>
        <v>ON</v>
      </c>
      <c r="AK333" s="1" t="str">
        <f t="shared" ca="1" si="166"/>
        <v>ON</v>
      </c>
      <c r="AL333" s="1"/>
      <c r="AM333" s="20" t="str">
        <f t="shared" si="167"/>
        <v>ON</v>
      </c>
      <c r="AN333" s="20" t="str">
        <f t="shared" si="167"/>
        <v>ON</v>
      </c>
      <c r="AO333" s="20" t="str">
        <f t="shared" si="168"/>
        <v>ON</v>
      </c>
    </row>
    <row r="334" spans="1:41">
      <c r="A334" t="str">
        <f t="shared" ca="1" si="142"/>
        <v>Ekiti</v>
      </c>
      <c r="B334" t="str">
        <f t="shared" ca="1" si="143"/>
        <v>B</v>
      </c>
      <c r="C334" t="str">
        <f t="shared" ca="1" si="144"/>
        <v>C1</v>
      </c>
      <c r="D334" t="s">
        <v>5</v>
      </c>
      <c r="E334">
        <f t="shared" ca="1" si="145"/>
        <v>25</v>
      </c>
      <c r="F334">
        <f t="shared" ca="1" si="146"/>
        <v>2</v>
      </c>
      <c r="G334" t="str">
        <v>B</v>
      </c>
      <c r="H334" t="str">
        <v>B</v>
      </c>
      <c r="I334" t="str">
        <f ca="1">IF($A334="","",IF(COUNTA($R$2:$W$2)=6,"WK "&amp;_xlfn.ISOWEEKNUM($R$2)))</f>
        <v>WK 19</v>
      </c>
      <c r="J334" t="str">
        <f ca="1">IF($A334="","",IF(COUNTA($AF$2:$AK$2)=6,"WK "&amp;_xlfn.ISOWEEKNUM($AF$2)))</f>
        <v>WK 21</v>
      </c>
      <c r="K334" s="20" t="str">
        <f t="shared" ca="1" si="147"/>
        <v>ON</v>
      </c>
      <c r="L334" s="20" t="str">
        <f t="shared" ca="1" si="147"/>
        <v>ON</v>
      </c>
      <c r="M334" s="1" t="str">
        <f t="shared" ca="1" si="148"/>
        <v>ON</v>
      </c>
      <c r="N334" s="1" t="str">
        <f t="shared" ca="1" si="149"/>
        <v>ON</v>
      </c>
      <c r="O334" s="1" t="str">
        <f t="shared" ca="1" si="150"/>
        <v>ON</v>
      </c>
      <c r="P334" s="1" t="str">
        <f t="shared" ca="1" si="151"/>
        <v>ON</v>
      </c>
      <c r="Q334" s="1"/>
      <c r="R334" s="20" t="str">
        <f t="shared" ca="1" si="152"/>
        <v>ON</v>
      </c>
      <c r="S334" s="20" t="str">
        <f t="shared" ca="1" si="152"/>
        <v>ON</v>
      </c>
      <c r="T334" s="1" t="str">
        <f t="shared" ca="1" si="153"/>
        <v>ON</v>
      </c>
      <c r="U334" s="1" t="str">
        <f t="shared" ca="1" si="154"/>
        <v>OFF</v>
      </c>
      <c r="V334" s="1" t="str">
        <f t="shared" ca="1" si="155"/>
        <v>ON</v>
      </c>
      <c r="W334" s="1" t="str">
        <f t="shared" ca="1" si="156"/>
        <v>ON</v>
      </c>
      <c r="X334" s="1"/>
      <c r="Y334" s="20" t="str">
        <f t="shared" ca="1" si="157"/>
        <v>ON</v>
      </c>
      <c r="Z334" s="20" t="str">
        <f t="shared" ca="1" si="157"/>
        <v>ON</v>
      </c>
      <c r="AA334" s="1" t="str">
        <f t="shared" ca="1" si="158"/>
        <v>ON</v>
      </c>
      <c r="AB334" s="1" t="str">
        <f t="shared" ca="1" si="159"/>
        <v>ON</v>
      </c>
      <c r="AC334" s="1" t="str">
        <f t="shared" ca="1" si="160"/>
        <v>ON</v>
      </c>
      <c r="AD334" s="1" t="str">
        <f t="shared" ca="1" si="161"/>
        <v>ON</v>
      </c>
      <c r="AE334" s="1"/>
      <c r="AF334" s="20" t="str">
        <f t="shared" ca="1" si="162"/>
        <v>ON</v>
      </c>
      <c r="AG334" s="20" t="str">
        <f t="shared" ca="1" si="162"/>
        <v>ON</v>
      </c>
      <c r="AH334" s="1" t="str">
        <f t="shared" ca="1" si="163"/>
        <v>ON</v>
      </c>
      <c r="AI334" s="1" t="str">
        <f t="shared" ca="1" si="164"/>
        <v>OFF</v>
      </c>
      <c r="AJ334" s="1" t="str">
        <f t="shared" ca="1" si="165"/>
        <v>ON</v>
      </c>
      <c r="AK334" s="1" t="str">
        <f t="shared" ca="1" si="166"/>
        <v>ON</v>
      </c>
      <c r="AL334" s="1"/>
      <c r="AM334" s="20" t="str">
        <f t="shared" si="167"/>
        <v>ON</v>
      </c>
      <c r="AN334" s="20" t="str">
        <f t="shared" si="167"/>
        <v>ON</v>
      </c>
      <c r="AO334" s="20" t="str">
        <f t="shared" si="168"/>
        <v>ON</v>
      </c>
    </row>
    <row r="335" spans="1:41">
      <c r="A335" t="str">
        <f t="shared" ca="1" si="142"/>
        <v>Oyo</v>
      </c>
      <c r="B335" t="str">
        <f t="shared" ca="1" si="143"/>
        <v>A</v>
      </c>
      <c r="C335" t="str">
        <f t="shared" ca="1" si="144"/>
        <v>B1</v>
      </c>
      <c r="D335" t="s">
        <v>5</v>
      </c>
      <c r="E335">
        <f t="shared" ca="1" si="145"/>
        <v>25</v>
      </c>
      <c r="F335">
        <f t="shared" ca="1" si="146"/>
        <v>2</v>
      </c>
      <c r="G335" t="str">
        <v>C</v>
      </c>
      <c r="H335" t="str">
        <v>C</v>
      </c>
      <c r="I335" t="str">
        <f ca="1">IF($A335="","",IF(COUNTA($K$2:$P$2)=6,"WK "&amp;_xlfn.ISOWEEKNUM($K$2)))</f>
        <v>WK 18</v>
      </c>
      <c r="J335" t="str">
        <f ca="1">IF($A335="","",IF(COUNTA($Y$2:$AD$2)=6,"WK "&amp;_xlfn.ISOWEEKNUM($Y$2)))</f>
        <v>WK 20</v>
      </c>
      <c r="K335" s="20" t="str">
        <f t="shared" ca="1" si="147"/>
        <v>ON</v>
      </c>
      <c r="L335" s="20" t="str">
        <f t="shared" ca="1" si="147"/>
        <v>ON</v>
      </c>
      <c r="M335" s="1" t="str">
        <f t="shared" ca="1" si="148"/>
        <v>ON</v>
      </c>
      <c r="N335" s="1" t="str">
        <f t="shared" ca="1" si="149"/>
        <v>ON</v>
      </c>
      <c r="O335" s="1" t="str">
        <f t="shared" ca="1" si="150"/>
        <v>OFF</v>
      </c>
      <c r="P335" s="1" t="str">
        <f t="shared" ca="1" si="151"/>
        <v>ON</v>
      </c>
      <c r="Q335" s="1"/>
      <c r="R335" s="20" t="str">
        <f t="shared" ca="1" si="152"/>
        <v>ON</v>
      </c>
      <c r="S335" s="20" t="str">
        <f t="shared" ca="1" si="152"/>
        <v>ON</v>
      </c>
      <c r="T335" s="1" t="str">
        <f t="shared" ca="1" si="153"/>
        <v>ON</v>
      </c>
      <c r="U335" s="1" t="str">
        <f t="shared" ca="1" si="154"/>
        <v>ON</v>
      </c>
      <c r="V335" s="1" t="str">
        <f t="shared" ca="1" si="155"/>
        <v>ON</v>
      </c>
      <c r="W335" s="1" t="str">
        <f t="shared" ca="1" si="156"/>
        <v>ON</v>
      </c>
      <c r="X335" s="1"/>
      <c r="Y335" s="20" t="str">
        <f t="shared" ca="1" si="157"/>
        <v>ON</v>
      </c>
      <c r="Z335" s="20" t="str">
        <f t="shared" ca="1" si="157"/>
        <v>ON</v>
      </c>
      <c r="AA335" s="1" t="str">
        <f t="shared" ca="1" si="158"/>
        <v>ON</v>
      </c>
      <c r="AB335" s="1" t="str">
        <f t="shared" ca="1" si="159"/>
        <v>ON</v>
      </c>
      <c r="AC335" s="1" t="str">
        <f t="shared" ca="1" si="160"/>
        <v>OFF</v>
      </c>
      <c r="AD335" s="1" t="str">
        <f t="shared" ca="1" si="161"/>
        <v>ON</v>
      </c>
      <c r="AE335" s="1"/>
      <c r="AF335" s="20" t="str">
        <f t="shared" ca="1" si="162"/>
        <v>ON</v>
      </c>
      <c r="AG335" s="20" t="str">
        <f t="shared" ca="1" si="162"/>
        <v>ON</v>
      </c>
      <c r="AH335" s="1" t="str">
        <f t="shared" ca="1" si="163"/>
        <v>ON</v>
      </c>
      <c r="AI335" s="1" t="str">
        <f t="shared" ca="1" si="164"/>
        <v>ON</v>
      </c>
      <c r="AJ335" s="1" t="str">
        <f t="shared" ca="1" si="165"/>
        <v>ON</v>
      </c>
      <c r="AK335" s="1" t="str">
        <f t="shared" ca="1" si="166"/>
        <v>ON</v>
      </c>
      <c r="AL335" s="1"/>
      <c r="AM335" s="20" t="str">
        <f t="shared" si="167"/>
        <v>ON</v>
      </c>
      <c r="AN335" s="20" t="str">
        <f t="shared" si="167"/>
        <v>ON</v>
      </c>
      <c r="AO335" s="20" t="str">
        <f t="shared" si="168"/>
        <v>ON</v>
      </c>
    </row>
    <row r="336" spans="1:41">
      <c r="A336" t="str">
        <f t="shared" ca="1" si="142"/>
        <v>Ekiti</v>
      </c>
      <c r="B336" t="str">
        <f t="shared" ca="1" si="143"/>
        <v>C</v>
      </c>
      <c r="C336" t="str">
        <f t="shared" ca="1" si="144"/>
        <v>C1</v>
      </c>
      <c r="D336" t="s">
        <v>5</v>
      </c>
      <c r="E336">
        <f t="shared" ca="1" si="145"/>
        <v>25</v>
      </c>
      <c r="F336">
        <f t="shared" ca="1" si="146"/>
        <v>2</v>
      </c>
      <c r="G336" t="str">
        <v>D</v>
      </c>
      <c r="H336" t="str">
        <v>D</v>
      </c>
      <c r="I336" t="str">
        <f ca="1">IF($A336="","",IF(COUNTA($R$2:$W$2)=6,"WK "&amp;_xlfn.ISOWEEKNUM($R$2)))</f>
        <v>WK 19</v>
      </c>
      <c r="J336" t="str">
        <f ca="1">IF($A336="","",IF(COUNTA($AF$2:$AK$2)=6,"WK "&amp;_xlfn.ISOWEEKNUM($AF$2)))</f>
        <v>WK 21</v>
      </c>
      <c r="K336" s="20" t="str">
        <f t="shared" ca="1" si="147"/>
        <v>ON</v>
      </c>
      <c r="L336" s="20" t="str">
        <f t="shared" ca="1" si="147"/>
        <v>ON</v>
      </c>
      <c r="M336" s="1" t="str">
        <f t="shared" ca="1" si="148"/>
        <v>ON</v>
      </c>
      <c r="N336" s="1" t="str">
        <f t="shared" ca="1" si="149"/>
        <v>ON</v>
      </c>
      <c r="O336" s="1" t="str">
        <f t="shared" ca="1" si="150"/>
        <v>ON</v>
      </c>
      <c r="P336" s="1" t="str">
        <f t="shared" ca="1" si="151"/>
        <v>ON</v>
      </c>
      <c r="Q336" s="1"/>
      <c r="R336" s="20" t="str">
        <f t="shared" ca="1" si="152"/>
        <v>ON</v>
      </c>
      <c r="S336" s="20" t="str">
        <f t="shared" ca="1" si="152"/>
        <v>ON</v>
      </c>
      <c r="T336" s="1" t="str">
        <f t="shared" ca="1" si="153"/>
        <v>ON</v>
      </c>
      <c r="U336" s="1" t="str">
        <f t="shared" ca="1" si="154"/>
        <v>ON</v>
      </c>
      <c r="V336" s="1" t="str">
        <f t="shared" ca="1" si="155"/>
        <v>ON</v>
      </c>
      <c r="W336" s="1" t="str">
        <f t="shared" ca="1" si="156"/>
        <v>OFF</v>
      </c>
      <c r="X336" s="1"/>
      <c r="Y336" s="20" t="str">
        <f t="shared" ca="1" si="157"/>
        <v>ON</v>
      </c>
      <c r="Z336" s="20" t="str">
        <f t="shared" ca="1" si="157"/>
        <v>ON</v>
      </c>
      <c r="AA336" s="1" t="str">
        <f t="shared" ca="1" si="158"/>
        <v>ON</v>
      </c>
      <c r="AB336" s="1" t="str">
        <f t="shared" ca="1" si="159"/>
        <v>ON</v>
      </c>
      <c r="AC336" s="1" t="str">
        <f t="shared" ca="1" si="160"/>
        <v>ON</v>
      </c>
      <c r="AD336" s="1" t="str">
        <f t="shared" ca="1" si="161"/>
        <v>ON</v>
      </c>
      <c r="AE336" s="1"/>
      <c r="AF336" s="20" t="str">
        <f t="shared" ca="1" si="162"/>
        <v>ON</v>
      </c>
      <c r="AG336" s="20" t="str">
        <f t="shared" ca="1" si="162"/>
        <v>ON</v>
      </c>
      <c r="AH336" s="1" t="str">
        <f t="shared" ca="1" si="163"/>
        <v>ON</v>
      </c>
      <c r="AI336" s="1" t="str">
        <f t="shared" ca="1" si="164"/>
        <v>ON</v>
      </c>
      <c r="AJ336" s="1" t="str">
        <f t="shared" ca="1" si="165"/>
        <v>ON</v>
      </c>
      <c r="AK336" s="1" t="str">
        <f t="shared" ca="1" si="166"/>
        <v>OFF</v>
      </c>
      <c r="AL336" s="1"/>
      <c r="AM336" s="20" t="str">
        <f t="shared" si="167"/>
        <v>ON</v>
      </c>
      <c r="AN336" s="20" t="str">
        <f t="shared" si="167"/>
        <v>ON</v>
      </c>
      <c r="AO336" s="20" t="str">
        <f t="shared" si="168"/>
        <v>ON</v>
      </c>
    </row>
    <row r="337" spans="1:41">
      <c r="A337" t="str">
        <f t="shared" ca="1" si="142"/>
        <v>Ekiti</v>
      </c>
      <c r="B337" t="str">
        <f t="shared" ca="1" si="143"/>
        <v>E</v>
      </c>
      <c r="C337" t="str">
        <f t="shared" ca="1" si="144"/>
        <v>D1</v>
      </c>
      <c r="D337" t="s">
        <v>5</v>
      </c>
      <c r="E337">
        <f t="shared" ca="1" si="145"/>
        <v>25</v>
      </c>
      <c r="F337">
        <f t="shared" ca="1" si="146"/>
        <v>2</v>
      </c>
      <c r="G337" t="str" cm="1">
        <f t="array" ref="G337:G340">IF($G$5:$G$8={"A";"B";"C";"D"},{"D";"C";"B";"A"},{"A";"B";"C";"D"})</f>
        <v>D</v>
      </c>
      <c r="H337" t="str" cm="1">
        <f t="array" ref="H337:H340">IF($H$5:$H$8={"A";"B";"C";"D"},{"D";"C";"B";"A"},{"A";"B";"C";"D"})</f>
        <v>D</v>
      </c>
      <c r="I337" t="str">
        <f ca="1">IF($A337="","",IF(COUNTA($K$2:$P$2)=6,"WK "&amp;_xlfn.ISOWEEKNUM($K$2)))</f>
        <v>WK 18</v>
      </c>
      <c r="J337" t="str">
        <f ca="1">IF($A337="","",IF(COUNTA($Y$2:$AD$2)=6,"WK "&amp;_xlfn.ISOWEEKNUM($Y$2)))</f>
        <v>WK 20</v>
      </c>
      <c r="K337" s="20" t="str">
        <f t="shared" ca="1" si="147"/>
        <v>ON</v>
      </c>
      <c r="L337" s="20" t="str">
        <f t="shared" ca="1" si="147"/>
        <v>ON</v>
      </c>
      <c r="M337" s="1" t="str">
        <f t="shared" ca="1" si="148"/>
        <v>ON</v>
      </c>
      <c r="N337" s="1" t="str">
        <f t="shared" ca="1" si="149"/>
        <v>ON</v>
      </c>
      <c r="O337" s="1" t="str">
        <f t="shared" ca="1" si="150"/>
        <v>ON</v>
      </c>
      <c r="P337" s="1" t="str">
        <f t="shared" ca="1" si="151"/>
        <v>OFF</v>
      </c>
      <c r="Q337" s="1"/>
      <c r="R337" s="20" t="str">
        <f t="shared" ca="1" si="152"/>
        <v>ON</v>
      </c>
      <c r="S337" s="20" t="str">
        <f t="shared" ca="1" si="152"/>
        <v>ON</v>
      </c>
      <c r="T337" s="1" t="str">
        <f t="shared" ca="1" si="153"/>
        <v>ON</v>
      </c>
      <c r="U337" s="1" t="str">
        <f t="shared" ca="1" si="154"/>
        <v>ON</v>
      </c>
      <c r="V337" s="1" t="str">
        <f t="shared" ca="1" si="155"/>
        <v>ON</v>
      </c>
      <c r="W337" s="1" t="str">
        <f t="shared" ca="1" si="156"/>
        <v>ON</v>
      </c>
      <c r="X337" s="1"/>
      <c r="Y337" s="20" t="str">
        <f t="shared" ca="1" si="157"/>
        <v>ON</v>
      </c>
      <c r="Z337" s="20" t="str">
        <f t="shared" ca="1" si="157"/>
        <v>ON</v>
      </c>
      <c r="AA337" s="1" t="str">
        <f t="shared" ca="1" si="158"/>
        <v>ON</v>
      </c>
      <c r="AB337" s="1" t="str">
        <f t="shared" ca="1" si="159"/>
        <v>ON</v>
      </c>
      <c r="AC337" s="1" t="str">
        <f t="shared" ca="1" si="160"/>
        <v>ON</v>
      </c>
      <c r="AD337" s="1" t="str">
        <f t="shared" ca="1" si="161"/>
        <v>OFF</v>
      </c>
      <c r="AE337" s="1"/>
      <c r="AF337" s="20" t="str">
        <f t="shared" ca="1" si="162"/>
        <v>ON</v>
      </c>
      <c r="AG337" s="20" t="str">
        <f t="shared" ca="1" si="162"/>
        <v>ON</v>
      </c>
      <c r="AH337" s="1" t="str">
        <f t="shared" ca="1" si="163"/>
        <v>ON</v>
      </c>
      <c r="AI337" s="1" t="str">
        <f t="shared" ca="1" si="164"/>
        <v>ON</v>
      </c>
      <c r="AJ337" s="1" t="str">
        <f t="shared" ca="1" si="165"/>
        <v>ON</v>
      </c>
      <c r="AK337" s="1" t="str">
        <f t="shared" ca="1" si="166"/>
        <v>ON</v>
      </c>
      <c r="AL337" s="1"/>
      <c r="AM337" s="20" t="str">
        <f t="shared" si="167"/>
        <v>ON</v>
      </c>
      <c r="AN337" s="20" t="str">
        <f t="shared" si="167"/>
        <v>ON</v>
      </c>
      <c r="AO337" s="20" t="str">
        <f t="shared" si="168"/>
        <v>ON</v>
      </c>
    </row>
    <row r="338" spans="1:41">
      <c r="A338" t="str">
        <f t="shared" ca="1" si="142"/>
        <v>Oyo</v>
      </c>
      <c r="B338" t="str">
        <f t="shared" ca="1" si="143"/>
        <v>D</v>
      </c>
      <c r="C338" t="str">
        <f t="shared" ca="1" si="144"/>
        <v>B1</v>
      </c>
      <c r="D338" t="s">
        <v>8</v>
      </c>
      <c r="E338">
        <f t="shared" ca="1" si="145"/>
        <v>25</v>
      </c>
      <c r="F338">
        <f t="shared" ca="1" si="146"/>
        <v>2</v>
      </c>
      <c r="G338" t="str">
        <v>C</v>
      </c>
      <c r="H338" t="str">
        <v>C</v>
      </c>
      <c r="I338" t="str">
        <f ca="1">IF($A338="","",IF(COUNTA($R$2:$W$2)=6,"WK "&amp;_xlfn.ISOWEEKNUM($R$2)))</f>
        <v>WK 19</v>
      </c>
      <c r="J338" t="str">
        <f ca="1">IF($A338="","",IF(COUNTA($AF$2:$AK$2)=6,"WK "&amp;_xlfn.ISOWEEKNUM($AF$2)))</f>
        <v>WK 21</v>
      </c>
      <c r="K338" s="20" t="str">
        <f t="shared" ca="1" si="147"/>
        <v>ON</v>
      </c>
      <c r="L338" s="20" t="str">
        <f t="shared" ca="1" si="147"/>
        <v>ON</v>
      </c>
      <c r="M338" s="1" t="str">
        <f t="shared" ca="1" si="148"/>
        <v>ON</v>
      </c>
      <c r="N338" s="1" t="str">
        <f t="shared" ca="1" si="149"/>
        <v>ON</v>
      </c>
      <c r="O338" s="1" t="str">
        <f t="shared" ca="1" si="150"/>
        <v>ON</v>
      </c>
      <c r="P338" s="1" t="str">
        <f t="shared" ca="1" si="151"/>
        <v>ON</v>
      </c>
      <c r="Q338" s="1"/>
      <c r="R338" s="20" t="str">
        <f t="shared" ca="1" si="152"/>
        <v>ON</v>
      </c>
      <c r="S338" s="20" t="str">
        <f t="shared" ca="1" si="152"/>
        <v>ON</v>
      </c>
      <c r="T338" s="1" t="str">
        <f t="shared" ca="1" si="153"/>
        <v>ON</v>
      </c>
      <c r="U338" s="1" t="str">
        <f t="shared" ca="1" si="154"/>
        <v>ON</v>
      </c>
      <c r="V338" s="1" t="str">
        <f t="shared" ca="1" si="155"/>
        <v>OFF</v>
      </c>
      <c r="W338" s="1" t="str">
        <f t="shared" ca="1" si="156"/>
        <v>ON</v>
      </c>
      <c r="X338" s="1"/>
      <c r="Y338" s="20" t="str">
        <f t="shared" ca="1" si="157"/>
        <v>ON</v>
      </c>
      <c r="Z338" s="20" t="str">
        <f t="shared" ca="1" si="157"/>
        <v>ON</v>
      </c>
      <c r="AA338" s="1" t="str">
        <f t="shared" ca="1" si="158"/>
        <v>ON</v>
      </c>
      <c r="AB338" s="1" t="str">
        <f t="shared" ca="1" si="159"/>
        <v>ON</v>
      </c>
      <c r="AC338" s="1" t="str">
        <f t="shared" ca="1" si="160"/>
        <v>ON</v>
      </c>
      <c r="AD338" s="1" t="str">
        <f t="shared" ca="1" si="161"/>
        <v>ON</v>
      </c>
      <c r="AE338" s="1"/>
      <c r="AF338" s="20" t="str">
        <f t="shared" ca="1" si="162"/>
        <v>ON</v>
      </c>
      <c r="AG338" s="20" t="str">
        <f t="shared" ca="1" si="162"/>
        <v>ON</v>
      </c>
      <c r="AH338" s="1" t="str">
        <f t="shared" ca="1" si="163"/>
        <v>ON</v>
      </c>
      <c r="AI338" s="1" t="str">
        <f t="shared" ca="1" si="164"/>
        <v>ON</v>
      </c>
      <c r="AJ338" s="1" t="str">
        <f t="shared" ca="1" si="165"/>
        <v>OFF</v>
      </c>
      <c r="AK338" s="1" t="str">
        <f t="shared" ca="1" si="166"/>
        <v>ON</v>
      </c>
      <c r="AL338" s="1"/>
      <c r="AM338" s="20" t="str">
        <f t="shared" si="167"/>
        <v>ON</v>
      </c>
      <c r="AN338" s="20" t="str">
        <f t="shared" si="167"/>
        <v>ON</v>
      </c>
      <c r="AO338" s="20" t="str">
        <f t="shared" si="168"/>
        <v>ON</v>
      </c>
    </row>
    <row r="339" spans="1:41">
      <c r="A339" t="str">
        <f t="shared" ca="1" si="142"/>
        <v>Ogun</v>
      </c>
      <c r="B339" t="str">
        <f t="shared" ca="1" si="143"/>
        <v>D</v>
      </c>
      <c r="C339" t="str">
        <f t="shared" ca="1" si="144"/>
        <v>C1</v>
      </c>
      <c r="D339" t="s">
        <v>8</v>
      </c>
      <c r="E339">
        <f t="shared" ca="1" si="145"/>
        <v>25</v>
      </c>
      <c r="F339">
        <f t="shared" ca="1" si="146"/>
        <v>2</v>
      </c>
      <c r="G339" t="str">
        <v>B</v>
      </c>
      <c r="H339" t="str">
        <v>B</v>
      </c>
      <c r="I339" t="str">
        <f ca="1">IF($A339="","",IF(COUNTA($K$2:$P$2)=6,"WK "&amp;_xlfn.ISOWEEKNUM($K$2)))</f>
        <v>WK 18</v>
      </c>
      <c r="J339" t="str">
        <f ca="1">IF($A339="","",IF(COUNTA($Y$2:$AD$2)=6,"WK "&amp;_xlfn.ISOWEEKNUM($Y$2)))</f>
        <v>WK 20</v>
      </c>
      <c r="K339" s="20" t="str">
        <f t="shared" ca="1" si="147"/>
        <v>ON</v>
      </c>
      <c r="L339" s="20" t="str">
        <f t="shared" ca="1" si="147"/>
        <v>ON</v>
      </c>
      <c r="M339" s="1" t="str">
        <f t="shared" ca="1" si="148"/>
        <v>ON</v>
      </c>
      <c r="N339" s="1" t="str">
        <f t="shared" ca="1" si="149"/>
        <v>OFF</v>
      </c>
      <c r="O339" s="1" t="str">
        <f t="shared" ca="1" si="150"/>
        <v>ON</v>
      </c>
      <c r="P339" s="1" t="str">
        <f t="shared" ca="1" si="151"/>
        <v>ON</v>
      </c>
      <c r="Q339" s="1"/>
      <c r="R339" s="20" t="str">
        <f t="shared" ca="1" si="152"/>
        <v>ON</v>
      </c>
      <c r="S339" s="20" t="str">
        <f t="shared" ca="1" si="152"/>
        <v>ON</v>
      </c>
      <c r="T339" s="1" t="str">
        <f t="shared" ca="1" si="153"/>
        <v>ON</v>
      </c>
      <c r="U339" s="1" t="str">
        <f t="shared" ca="1" si="154"/>
        <v>ON</v>
      </c>
      <c r="V339" s="1" t="str">
        <f t="shared" ca="1" si="155"/>
        <v>ON</v>
      </c>
      <c r="W339" s="1" t="str">
        <f t="shared" ca="1" si="156"/>
        <v>ON</v>
      </c>
      <c r="X339" s="1"/>
      <c r="Y339" s="20" t="str">
        <f t="shared" ca="1" si="157"/>
        <v>ON</v>
      </c>
      <c r="Z339" s="20" t="str">
        <f t="shared" ca="1" si="157"/>
        <v>ON</v>
      </c>
      <c r="AA339" s="1" t="str">
        <f t="shared" ca="1" si="158"/>
        <v>ON</v>
      </c>
      <c r="AB339" s="1" t="str">
        <f t="shared" ca="1" si="159"/>
        <v>OFF</v>
      </c>
      <c r="AC339" s="1" t="str">
        <f t="shared" ca="1" si="160"/>
        <v>ON</v>
      </c>
      <c r="AD339" s="1" t="str">
        <f t="shared" ca="1" si="161"/>
        <v>ON</v>
      </c>
      <c r="AE339" s="1"/>
      <c r="AF339" s="20" t="str">
        <f t="shared" ca="1" si="162"/>
        <v>ON</v>
      </c>
      <c r="AG339" s="20" t="str">
        <f t="shared" ca="1" si="162"/>
        <v>ON</v>
      </c>
      <c r="AH339" s="1" t="str">
        <f t="shared" ca="1" si="163"/>
        <v>ON</v>
      </c>
      <c r="AI339" s="1" t="str">
        <f t="shared" ca="1" si="164"/>
        <v>ON</v>
      </c>
      <c r="AJ339" s="1" t="str">
        <f t="shared" ca="1" si="165"/>
        <v>ON</v>
      </c>
      <c r="AK339" s="1" t="str">
        <f t="shared" ca="1" si="166"/>
        <v>ON</v>
      </c>
      <c r="AL339" s="1"/>
      <c r="AM339" s="20" t="str">
        <f t="shared" si="167"/>
        <v>ON</v>
      </c>
      <c r="AN339" s="20" t="str">
        <f t="shared" si="167"/>
        <v>ON</v>
      </c>
      <c r="AO339" s="20" t="str">
        <f t="shared" si="168"/>
        <v>ON</v>
      </c>
    </row>
    <row r="340" spans="1:41">
      <c r="A340" t="str">
        <f t="shared" ca="1" si="142"/>
        <v>Oyo</v>
      </c>
      <c r="B340" t="str">
        <f t="shared" ca="1" si="143"/>
        <v>A</v>
      </c>
      <c r="C340" t="str">
        <f t="shared" ca="1" si="144"/>
        <v>C1</v>
      </c>
      <c r="D340" t="s">
        <v>8</v>
      </c>
      <c r="E340">
        <f t="shared" ca="1" si="145"/>
        <v>25</v>
      </c>
      <c r="F340">
        <f t="shared" ca="1" si="146"/>
        <v>2</v>
      </c>
      <c r="G340" t="str">
        <v>A</v>
      </c>
      <c r="H340" t="str">
        <v>A</v>
      </c>
      <c r="I340" t="str">
        <f ca="1">IF($A340="","",IF(COUNTA($R$2:$W$2)=6,"WK "&amp;_xlfn.ISOWEEKNUM($R$2)))</f>
        <v>WK 19</v>
      </c>
      <c r="J340" t="str">
        <f ca="1">IF($A340="","",IF(COUNTA($AF$2:$AK$2)=6,"WK "&amp;_xlfn.ISOWEEKNUM($AF$2)))</f>
        <v>WK 21</v>
      </c>
      <c r="K340" s="20" t="str">
        <f t="shared" ca="1" si="147"/>
        <v>ON</v>
      </c>
      <c r="L340" s="20" t="str">
        <f t="shared" ca="1" si="147"/>
        <v>ON</v>
      </c>
      <c r="M340" s="1" t="str">
        <f t="shared" ca="1" si="148"/>
        <v>ON</v>
      </c>
      <c r="N340" s="1" t="str">
        <f t="shared" ca="1" si="149"/>
        <v>ON</v>
      </c>
      <c r="O340" s="1" t="str">
        <f t="shared" ca="1" si="150"/>
        <v>ON</v>
      </c>
      <c r="P340" s="1" t="str">
        <f t="shared" ca="1" si="151"/>
        <v>ON</v>
      </c>
      <c r="Q340" s="1"/>
      <c r="R340" s="20" t="str">
        <f t="shared" ca="1" si="152"/>
        <v>ON</v>
      </c>
      <c r="S340" s="20" t="str">
        <f t="shared" ca="1" si="152"/>
        <v>ON</v>
      </c>
      <c r="T340" s="1" t="str">
        <f t="shared" ca="1" si="153"/>
        <v>OFF</v>
      </c>
      <c r="U340" s="1" t="str">
        <f t="shared" ca="1" si="154"/>
        <v>ON</v>
      </c>
      <c r="V340" s="1" t="str">
        <f t="shared" ca="1" si="155"/>
        <v>ON</v>
      </c>
      <c r="W340" s="1" t="str">
        <f t="shared" ca="1" si="156"/>
        <v>ON</v>
      </c>
      <c r="X340" s="1"/>
      <c r="Y340" s="20" t="str">
        <f t="shared" ca="1" si="157"/>
        <v>ON</v>
      </c>
      <c r="Z340" s="20" t="str">
        <f t="shared" ca="1" si="157"/>
        <v>ON</v>
      </c>
      <c r="AA340" s="1" t="str">
        <f t="shared" ca="1" si="158"/>
        <v>ON</v>
      </c>
      <c r="AB340" s="1" t="str">
        <f t="shared" ca="1" si="159"/>
        <v>ON</v>
      </c>
      <c r="AC340" s="1" t="str">
        <f t="shared" ca="1" si="160"/>
        <v>ON</v>
      </c>
      <c r="AD340" s="1" t="str">
        <f t="shared" ca="1" si="161"/>
        <v>ON</v>
      </c>
      <c r="AE340" s="1"/>
      <c r="AF340" s="20" t="str">
        <f t="shared" ca="1" si="162"/>
        <v>ON</v>
      </c>
      <c r="AG340" s="20" t="str">
        <f t="shared" ca="1" si="162"/>
        <v>ON</v>
      </c>
      <c r="AH340" s="1" t="str">
        <f t="shared" ca="1" si="163"/>
        <v>OFF</v>
      </c>
      <c r="AI340" s="1" t="str">
        <f t="shared" ca="1" si="164"/>
        <v>ON</v>
      </c>
      <c r="AJ340" s="1" t="str">
        <f t="shared" ca="1" si="165"/>
        <v>ON</v>
      </c>
      <c r="AK340" s="1" t="str">
        <f t="shared" ca="1" si="166"/>
        <v>ON</v>
      </c>
      <c r="AL340" s="1"/>
      <c r="AM340" s="20" t="str">
        <f t="shared" si="167"/>
        <v>ON</v>
      </c>
      <c r="AN340" s="20" t="str">
        <f t="shared" si="167"/>
        <v>ON</v>
      </c>
      <c r="AO340" s="20" t="str">
        <f t="shared" si="168"/>
        <v>ON</v>
      </c>
    </row>
    <row r="341" spans="1:41">
      <c r="A341" t="str">
        <f t="shared" ca="1" si="142"/>
        <v>Lagos</v>
      </c>
      <c r="B341" t="str">
        <f t="shared" ca="1" si="143"/>
        <v>E</v>
      </c>
      <c r="C341" t="str">
        <f t="shared" ca="1" si="144"/>
        <v>D1</v>
      </c>
      <c r="D341" t="s">
        <v>7</v>
      </c>
      <c r="E341">
        <f t="shared" ca="1" si="145"/>
        <v>25</v>
      </c>
      <c r="F341">
        <f t="shared" ca="1" si="146"/>
        <v>2</v>
      </c>
      <c r="G341" t="str" cm="1">
        <f t="array" ref="G341:G344">Groups!$B$2:$B$5</f>
        <v>A</v>
      </c>
      <c r="H341" t="str" cm="1">
        <f t="array" ref="H341:H344">Groups!$B$2:$B$5</f>
        <v>A</v>
      </c>
      <c r="I341" t="str">
        <f ca="1">IF($A341="","",IF(COUNTA($K$2:$P$2)=6,"WK "&amp;_xlfn.ISOWEEKNUM($K$2)))</f>
        <v>WK 18</v>
      </c>
      <c r="J341" t="str">
        <f ca="1">IF($A341="","",IF(COUNTA($Y$2:$AD$2)=6,"WK "&amp;_xlfn.ISOWEEKNUM($Y$2)))</f>
        <v>WK 20</v>
      </c>
      <c r="K341" s="20" t="str">
        <f t="shared" ca="1" si="147"/>
        <v>ON</v>
      </c>
      <c r="L341" s="20" t="str">
        <f t="shared" ca="1" si="147"/>
        <v>ON</v>
      </c>
      <c r="M341" s="1" t="str">
        <f t="shared" ca="1" si="148"/>
        <v>OFF</v>
      </c>
      <c r="N341" s="1" t="str">
        <f t="shared" ca="1" si="149"/>
        <v>ON</v>
      </c>
      <c r="O341" s="1" t="str">
        <f t="shared" ca="1" si="150"/>
        <v>ON</v>
      </c>
      <c r="P341" s="1" t="str">
        <f t="shared" ca="1" si="151"/>
        <v>ON</v>
      </c>
      <c r="Q341" s="1"/>
      <c r="R341" s="20" t="str">
        <f t="shared" ca="1" si="152"/>
        <v>ON</v>
      </c>
      <c r="S341" s="20" t="str">
        <f t="shared" ca="1" si="152"/>
        <v>ON</v>
      </c>
      <c r="T341" s="1" t="str">
        <f t="shared" ca="1" si="153"/>
        <v>ON</v>
      </c>
      <c r="U341" s="1" t="str">
        <f t="shared" ca="1" si="154"/>
        <v>ON</v>
      </c>
      <c r="V341" s="1" t="str">
        <f t="shared" ca="1" si="155"/>
        <v>ON</v>
      </c>
      <c r="W341" s="1" t="str">
        <f t="shared" ca="1" si="156"/>
        <v>ON</v>
      </c>
      <c r="X341" s="1"/>
      <c r="Y341" s="20" t="str">
        <f t="shared" ca="1" si="157"/>
        <v>ON</v>
      </c>
      <c r="Z341" s="20" t="str">
        <f t="shared" ca="1" si="157"/>
        <v>ON</v>
      </c>
      <c r="AA341" s="1" t="str">
        <f t="shared" ca="1" si="158"/>
        <v>OFF</v>
      </c>
      <c r="AB341" s="1" t="str">
        <f t="shared" ca="1" si="159"/>
        <v>ON</v>
      </c>
      <c r="AC341" s="1" t="str">
        <f t="shared" ca="1" si="160"/>
        <v>ON</v>
      </c>
      <c r="AD341" s="1" t="str">
        <f t="shared" ca="1" si="161"/>
        <v>ON</v>
      </c>
      <c r="AE341" s="1"/>
      <c r="AF341" s="20" t="str">
        <f t="shared" ca="1" si="162"/>
        <v>ON</v>
      </c>
      <c r="AG341" s="20" t="str">
        <f t="shared" ca="1" si="162"/>
        <v>ON</v>
      </c>
      <c r="AH341" s="1" t="str">
        <f t="shared" ca="1" si="163"/>
        <v>ON</v>
      </c>
      <c r="AI341" s="1" t="str">
        <f t="shared" ca="1" si="164"/>
        <v>ON</v>
      </c>
      <c r="AJ341" s="1" t="str">
        <f t="shared" ca="1" si="165"/>
        <v>ON</v>
      </c>
      <c r="AK341" s="1" t="str">
        <f t="shared" ca="1" si="166"/>
        <v>ON</v>
      </c>
      <c r="AL341" s="1"/>
      <c r="AM341" s="20" t="str">
        <f t="shared" si="167"/>
        <v>ON</v>
      </c>
      <c r="AN341" s="20" t="str">
        <f t="shared" si="167"/>
        <v>ON</v>
      </c>
      <c r="AO341" s="20" t="str">
        <f t="shared" si="168"/>
        <v>ON</v>
      </c>
    </row>
    <row r="342" spans="1:41">
      <c r="A342" t="str">
        <f t="shared" ca="1" si="142"/>
        <v>Ogun</v>
      </c>
      <c r="B342" t="str">
        <f t="shared" ca="1" si="143"/>
        <v>D</v>
      </c>
      <c r="C342" t="str">
        <f t="shared" ca="1" si="144"/>
        <v>C1</v>
      </c>
      <c r="D342" t="s">
        <v>7</v>
      </c>
      <c r="E342">
        <f t="shared" ca="1" si="145"/>
        <v>25</v>
      </c>
      <c r="F342">
        <f t="shared" ca="1" si="146"/>
        <v>2</v>
      </c>
      <c r="G342" t="str">
        <v>B</v>
      </c>
      <c r="H342" t="str">
        <v>B</v>
      </c>
      <c r="I342" t="str">
        <f ca="1">IF($A342="","",IF(COUNTA($R$2:$W$2)=6,"WK "&amp;_xlfn.ISOWEEKNUM($R$2)))</f>
        <v>WK 19</v>
      </c>
      <c r="J342" t="str">
        <f ca="1">IF($A342="","",IF(COUNTA($AF$2:$AK$2)=6,"WK "&amp;_xlfn.ISOWEEKNUM($AF$2)))</f>
        <v>WK 21</v>
      </c>
      <c r="K342" s="20" t="str">
        <f t="shared" ca="1" si="147"/>
        <v>ON</v>
      </c>
      <c r="L342" s="20" t="str">
        <f t="shared" ca="1" si="147"/>
        <v>ON</v>
      </c>
      <c r="M342" s="1" t="str">
        <f t="shared" ca="1" si="148"/>
        <v>ON</v>
      </c>
      <c r="N342" s="1" t="str">
        <f t="shared" ca="1" si="149"/>
        <v>ON</v>
      </c>
      <c r="O342" s="1" t="str">
        <f t="shared" ca="1" si="150"/>
        <v>ON</v>
      </c>
      <c r="P342" s="1" t="str">
        <f t="shared" ca="1" si="151"/>
        <v>ON</v>
      </c>
      <c r="Q342" s="1"/>
      <c r="R342" s="20" t="str">
        <f t="shared" ca="1" si="152"/>
        <v>ON</v>
      </c>
      <c r="S342" s="20" t="str">
        <f t="shared" ca="1" si="152"/>
        <v>ON</v>
      </c>
      <c r="T342" s="1" t="str">
        <f t="shared" ca="1" si="153"/>
        <v>ON</v>
      </c>
      <c r="U342" s="1" t="str">
        <f t="shared" ca="1" si="154"/>
        <v>OFF</v>
      </c>
      <c r="V342" s="1" t="str">
        <f t="shared" ca="1" si="155"/>
        <v>ON</v>
      </c>
      <c r="W342" s="1" t="str">
        <f t="shared" ca="1" si="156"/>
        <v>ON</v>
      </c>
      <c r="X342" s="1"/>
      <c r="Y342" s="20" t="str">
        <f t="shared" ca="1" si="157"/>
        <v>ON</v>
      </c>
      <c r="Z342" s="20" t="str">
        <f t="shared" ca="1" si="157"/>
        <v>ON</v>
      </c>
      <c r="AA342" s="1" t="str">
        <f t="shared" ca="1" si="158"/>
        <v>ON</v>
      </c>
      <c r="AB342" s="1" t="str">
        <f t="shared" ca="1" si="159"/>
        <v>ON</v>
      </c>
      <c r="AC342" s="1" t="str">
        <f t="shared" ca="1" si="160"/>
        <v>ON</v>
      </c>
      <c r="AD342" s="1" t="str">
        <f t="shared" ca="1" si="161"/>
        <v>ON</v>
      </c>
      <c r="AE342" s="1"/>
      <c r="AF342" s="20" t="str">
        <f t="shared" ca="1" si="162"/>
        <v>ON</v>
      </c>
      <c r="AG342" s="20" t="str">
        <f t="shared" ca="1" si="162"/>
        <v>ON</v>
      </c>
      <c r="AH342" s="1" t="str">
        <f t="shared" ca="1" si="163"/>
        <v>ON</v>
      </c>
      <c r="AI342" s="1" t="str">
        <f t="shared" ca="1" si="164"/>
        <v>OFF</v>
      </c>
      <c r="AJ342" s="1" t="str">
        <f t="shared" ca="1" si="165"/>
        <v>ON</v>
      </c>
      <c r="AK342" s="1" t="str">
        <f t="shared" ca="1" si="166"/>
        <v>ON</v>
      </c>
      <c r="AL342" s="1"/>
      <c r="AM342" s="20" t="str">
        <f t="shared" si="167"/>
        <v>ON</v>
      </c>
      <c r="AN342" s="20" t="str">
        <f t="shared" si="167"/>
        <v>ON</v>
      </c>
      <c r="AO342" s="20" t="str">
        <f t="shared" si="168"/>
        <v>ON</v>
      </c>
    </row>
    <row r="343" spans="1:41">
      <c r="A343" t="str">
        <f t="shared" ca="1" si="142"/>
        <v>Ekiti</v>
      </c>
      <c r="B343" t="str">
        <f t="shared" ca="1" si="143"/>
        <v>E</v>
      </c>
      <c r="C343" t="str">
        <f t="shared" ca="1" si="144"/>
        <v>B1</v>
      </c>
      <c r="D343" t="s">
        <v>7</v>
      </c>
      <c r="E343">
        <f t="shared" ca="1" si="145"/>
        <v>25</v>
      </c>
      <c r="F343">
        <f t="shared" ca="1" si="146"/>
        <v>2</v>
      </c>
      <c r="G343" t="str">
        <v>C</v>
      </c>
      <c r="H343" t="str">
        <v>C</v>
      </c>
      <c r="I343" t="str">
        <f ca="1">IF($A343="","",IF(COUNTA($K$2:$P$2)=6,"WK "&amp;_xlfn.ISOWEEKNUM($K$2)))</f>
        <v>WK 18</v>
      </c>
      <c r="J343" t="str">
        <f ca="1">IF($A343="","",IF(COUNTA($Y$2:$AD$2)=6,"WK "&amp;_xlfn.ISOWEEKNUM($Y$2)))</f>
        <v>WK 20</v>
      </c>
      <c r="K343" s="20" t="str">
        <f t="shared" ca="1" si="147"/>
        <v>ON</v>
      </c>
      <c r="L343" s="20" t="str">
        <f t="shared" ca="1" si="147"/>
        <v>ON</v>
      </c>
      <c r="M343" s="1" t="str">
        <f t="shared" ca="1" si="148"/>
        <v>ON</v>
      </c>
      <c r="N343" s="1" t="str">
        <f t="shared" ca="1" si="149"/>
        <v>ON</v>
      </c>
      <c r="O343" s="1" t="str">
        <f t="shared" ca="1" si="150"/>
        <v>OFF</v>
      </c>
      <c r="P343" s="1" t="str">
        <f t="shared" ca="1" si="151"/>
        <v>ON</v>
      </c>
      <c r="Q343" s="1"/>
      <c r="R343" s="20" t="str">
        <f t="shared" ca="1" si="152"/>
        <v>ON</v>
      </c>
      <c r="S343" s="20" t="str">
        <f t="shared" ca="1" si="152"/>
        <v>ON</v>
      </c>
      <c r="T343" s="1" t="str">
        <f t="shared" ca="1" si="153"/>
        <v>ON</v>
      </c>
      <c r="U343" s="1" t="str">
        <f t="shared" ca="1" si="154"/>
        <v>ON</v>
      </c>
      <c r="V343" s="1" t="str">
        <f t="shared" ca="1" si="155"/>
        <v>ON</v>
      </c>
      <c r="W343" s="1" t="str">
        <f t="shared" ca="1" si="156"/>
        <v>ON</v>
      </c>
      <c r="X343" s="1"/>
      <c r="Y343" s="20" t="str">
        <f t="shared" ca="1" si="157"/>
        <v>ON</v>
      </c>
      <c r="Z343" s="20" t="str">
        <f t="shared" ca="1" si="157"/>
        <v>ON</v>
      </c>
      <c r="AA343" s="1" t="str">
        <f t="shared" ca="1" si="158"/>
        <v>ON</v>
      </c>
      <c r="AB343" s="1" t="str">
        <f t="shared" ca="1" si="159"/>
        <v>ON</v>
      </c>
      <c r="AC343" s="1" t="str">
        <f t="shared" ca="1" si="160"/>
        <v>OFF</v>
      </c>
      <c r="AD343" s="1" t="str">
        <f t="shared" ca="1" si="161"/>
        <v>ON</v>
      </c>
      <c r="AE343" s="1"/>
      <c r="AF343" s="20" t="str">
        <f t="shared" ca="1" si="162"/>
        <v>ON</v>
      </c>
      <c r="AG343" s="20" t="str">
        <f t="shared" ca="1" si="162"/>
        <v>ON</v>
      </c>
      <c r="AH343" s="1" t="str">
        <f t="shared" ca="1" si="163"/>
        <v>ON</v>
      </c>
      <c r="AI343" s="1" t="str">
        <f t="shared" ca="1" si="164"/>
        <v>ON</v>
      </c>
      <c r="AJ343" s="1" t="str">
        <f t="shared" ca="1" si="165"/>
        <v>ON</v>
      </c>
      <c r="AK343" s="1" t="str">
        <f t="shared" ca="1" si="166"/>
        <v>ON</v>
      </c>
      <c r="AL343" s="1"/>
      <c r="AM343" s="20" t="str">
        <f t="shared" si="167"/>
        <v>ON</v>
      </c>
      <c r="AN343" s="20" t="str">
        <f t="shared" si="167"/>
        <v>ON</v>
      </c>
      <c r="AO343" s="20" t="str">
        <f t="shared" si="168"/>
        <v>ON</v>
      </c>
    </row>
    <row r="344" spans="1:41">
      <c r="A344" t="str">
        <f t="shared" ca="1" si="142"/>
        <v>Ogun</v>
      </c>
      <c r="B344" t="str">
        <f t="shared" ca="1" si="143"/>
        <v>B</v>
      </c>
      <c r="C344" t="str">
        <f t="shared" ca="1" si="144"/>
        <v>E1</v>
      </c>
      <c r="D344" t="s">
        <v>7</v>
      </c>
      <c r="E344">
        <f t="shared" ca="1" si="145"/>
        <v>25</v>
      </c>
      <c r="F344">
        <f t="shared" ca="1" si="146"/>
        <v>2</v>
      </c>
      <c r="G344" t="str">
        <v>D</v>
      </c>
      <c r="H344" t="str">
        <v>D</v>
      </c>
      <c r="I344" t="str">
        <f ca="1">IF($A344="","",IF(COUNTA($R$2:$W$2)=6,"WK "&amp;_xlfn.ISOWEEKNUM($R$2)))</f>
        <v>WK 19</v>
      </c>
      <c r="J344" t="str">
        <f ca="1">IF($A344="","",IF(COUNTA($AF$2:$AK$2)=6,"WK "&amp;_xlfn.ISOWEEKNUM($AF$2)))</f>
        <v>WK 21</v>
      </c>
      <c r="K344" s="20" t="str">
        <f t="shared" ca="1" si="147"/>
        <v>ON</v>
      </c>
      <c r="L344" s="20" t="str">
        <f t="shared" ca="1" si="147"/>
        <v>ON</v>
      </c>
      <c r="M344" s="1" t="str">
        <f t="shared" ca="1" si="148"/>
        <v>ON</v>
      </c>
      <c r="N344" s="1" t="str">
        <f t="shared" ca="1" si="149"/>
        <v>ON</v>
      </c>
      <c r="O344" s="1" t="str">
        <f t="shared" ca="1" si="150"/>
        <v>ON</v>
      </c>
      <c r="P344" s="1" t="str">
        <f t="shared" ca="1" si="151"/>
        <v>ON</v>
      </c>
      <c r="Q344" s="1"/>
      <c r="R344" s="20" t="str">
        <f t="shared" ca="1" si="152"/>
        <v>ON</v>
      </c>
      <c r="S344" s="20" t="str">
        <f t="shared" ca="1" si="152"/>
        <v>ON</v>
      </c>
      <c r="T344" s="1" t="str">
        <f t="shared" ca="1" si="153"/>
        <v>ON</v>
      </c>
      <c r="U344" s="1" t="str">
        <f t="shared" ca="1" si="154"/>
        <v>ON</v>
      </c>
      <c r="V344" s="1" t="str">
        <f t="shared" ca="1" si="155"/>
        <v>ON</v>
      </c>
      <c r="W344" s="1" t="str">
        <f t="shared" ca="1" si="156"/>
        <v>OFF</v>
      </c>
      <c r="X344" s="1"/>
      <c r="Y344" s="20" t="str">
        <f t="shared" ca="1" si="157"/>
        <v>ON</v>
      </c>
      <c r="Z344" s="20" t="str">
        <f t="shared" ca="1" si="157"/>
        <v>ON</v>
      </c>
      <c r="AA344" s="1" t="str">
        <f t="shared" ca="1" si="158"/>
        <v>ON</v>
      </c>
      <c r="AB344" s="1" t="str">
        <f t="shared" ca="1" si="159"/>
        <v>ON</v>
      </c>
      <c r="AC344" s="1" t="str">
        <f t="shared" ca="1" si="160"/>
        <v>ON</v>
      </c>
      <c r="AD344" s="1" t="str">
        <f t="shared" ca="1" si="161"/>
        <v>ON</v>
      </c>
      <c r="AE344" s="1"/>
      <c r="AF344" s="20" t="str">
        <f t="shared" ca="1" si="162"/>
        <v>ON</v>
      </c>
      <c r="AG344" s="20" t="str">
        <f t="shared" ca="1" si="162"/>
        <v>ON</v>
      </c>
      <c r="AH344" s="1" t="str">
        <f t="shared" ca="1" si="163"/>
        <v>ON</v>
      </c>
      <c r="AI344" s="1" t="str">
        <f t="shared" ca="1" si="164"/>
        <v>ON</v>
      </c>
      <c r="AJ344" s="1" t="str">
        <f t="shared" ca="1" si="165"/>
        <v>ON</v>
      </c>
      <c r="AK344" s="1" t="str">
        <f t="shared" ca="1" si="166"/>
        <v>OFF</v>
      </c>
      <c r="AL344" s="1"/>
      <c r="AM344" s="20" t="str">
        <f t="shared" si="167"/>
        <v>ON</v>
      </c>
      <c r="AN344" s="20" t="str">
        <f t="shared" si="167"/>
        <v>ON</v>
      </c>
      <c r="AO344" s="20" t="str">
        <f t="shared" si="168"/>
        <v>ON</v>
      </c>
    </row>
    <row r="345" spans="1:41">
      <c r="A345" t="str">
        <f t="shared" ca="1" si="142"/>
        <v>Ogun</v>
      </c>
      <c r="B345" t="str">
        <f t="shared" ca="1" si="143"/>
        <v>D</v>
      </c>
      <c r="C345" t="str">
        <f t="shared" ca="1" si="144"/>
        <v>D1</v>
      </c>
      <c r="D345" t="s">
        <v>7</v>
      </c>
      <c r="E345">
        <f t="shared" ca="1" si="145"/>
        <v>25</v>
      </c>
      <c r="F345">
        <f t="shared" ca="1" si="146"/>
        <v>2</v>
      </c>
      <c r="G345" t="str" cm="1">
        <f t="array" ref="G345:G348">IF($G$5:$G$8={"A";"B";"C";"D"},{"D";"C";"B";"A"},{"A";"B";"C";"D"})</f>
        <v>D</v>
      </c>
      <c r="H345" t="str" cm="1">
        <f t="array" ref="H345:H348">IF($H$5:$H$8={"A";"B";"C";"D"},{"D";"C";"B";"A"},{"A";"B";"C";"D"})</f>
        <v>D</v>
      </c>
      <c r="I345" t="str">
        <f ca="1">IF($A345="","",IF(COUNTA($K$2:$P$2)=6,"WK "&amp;_xlfn.ISOWEEKNUM($K$2)))</f>
        <v>WK 18</v>
      </c>
      <c r="J345" t="str">
        <f ca="1">IF($A345="","",IF(COUNTA($Y$2:$AD$2)=6,"WK "&amp;_xlfn.ISOWEEKNUM($Y$2)))</f>
        <v>WK 20</v>
      </c>
      <c r="K345" s="20" t="str">
        <f t="shared" ca="1" si="147"/>
        <v>ON</v>
      </c>
      <c r="L345" s="20" t="str">
        <f t="shared" ca="1" si="147"/>
        <v>ON</v>
      </c>
      <c r="M345" s="1" t="str">
        <f t="shared" ca="1" si="148"/>
        <v>ON</v>
      </c>
      <c r="N345" s="1" t="str">
        <f t="shared" ca="1" si="149"/>
        <v>ON</v>
      </c>
      <c r="O345" s="1" t="str">
        <f t="shared" ca="1" si="150"/>
        <v>ON</v>
      </c>
      <c r="P345" s="1" t="str">
        <f t="shared" ca="1" si="151"/>
        <v>OFF</v>
      </c>
      <c r="Q345" s="1"/>
      <c r="R345" s="20" t="str">
        <f t="shared" ca="1" si="152"/>
        <v>ON</v>
      </c>
      <c r="S345" s="20" t="str">
        <f t="shared" ca="1" si="152"/>
        <v>ON</v>
      </c>
      <c r="T345" s="1" t="str">
        <f t="shared" ca="1" si="153"/>
        <v>ON</v>
      </c>
      <c r="U345" s="1" t="str">
        <f t="shared" ca="1" si="154"/>
        <v>ON</v>
      </c>
      <c r="V345" s="1" t="str">
        <f t="shared" ca="1" si="155"/>
        <v>ON</v>
      </c>
      <c r="W345" s="1" t="str">
        <f t="shared" ca="1" si="156"/>
        <v>ON</v>
      </c>
      <c r="X345" s="1"/>
      <c r="Y345" s="20" t="str">
        <f t="shared" ca="1" si="157"/>
        <v>ON</v>
      </c>
      <c r="Z345" s="20" t="str">
        <f t="shared" ca="1" si="157"/>
        <v>ON</v>
      </c>
      <c r="AA345" s="1" t="str">
        <f t="shared" ca="1" si="158"/>
        <v>ON</v>
      </c>
      <c r="AB345" s="1" t="str">
        <f t="shared" ca="1" si="159"/>
        <v>ON</v>
      </c>
      <c r="AC345" s="1" t="str">
        <f t="shared" ca="1" si="160"/>
        <v>ON</v>
      </c>
      <c r="AD345" s="1" t="str">
        <f t="shared" ca="1" si="161"/>
        <v>OFF</v>
      </c>
      <c r="AE345" s="1"/>
      <c r="AF345" s="20" t="str">
        <f t="shared" ca="1" si="162"/>
        <v>ON</v>
      </c>
      <c r="AG345" s="20" t="str">
        <f t="shared" ca="1" si="162"/>
        <v>ON</v>
      </c>
      <c r="AH345" s="1" t="str">
        <f t="shared" ca="1" si="163"/>
        <v>ON</v>
      </c>
      <c r="AI345" s="1" t="str">
        <f t="shared" ca="1" si="164"/>
        <v>ON</v>
      </c>
      <c r="AJ345" s="1" t="str">
        <f t="shared" ca="1" si="165"/>
        <v>ON</v>
      </c>
      <c r="AK345" s="1" t="str">
        <f t="shared" ca="1" si="166"/>
        <v>ON</v>
      </c>
      <c r="AL345" s="1"/>
      <c r="AM345" s="20" t="str">
        <f t="shared" si="167"/>
        <v>ON</v>
      </c>
      <c r="AN345" s="20" t="str">
        <f t="shared" si="167"/>
        <v>ON</v>
      </c>
      <c r="AO345" s="20" t="str">
        <f t="shared" si="168"/>
        <v>ON</v>
      </c>
    </row>
    <row r="346" spans="1:41">
      <c r="A346" t="str">
        <f t="shared" ca="1" si="142"/>
        <v>Ondo</v>
      </c>
      <c r="B346" t="str">
        <f t="shared" ca="1" si="143"/>
        <v>A</v>
      </c>
      <c r="C346" t="str">
        <f t="shared" ca="1" si="144"/>
        <v>D1</v>
      </c>
      <c r="D346" t="s">
        <v>4</v>
      </c>
      <c r="E346">
        <f t="shared" ca="1" si="145"/>
        <v>25</v>
      </c>
      <c r="F346">
        <f t="shared" ca="1" si="146"/>
        <v>2</v>
      </c>
      <c r="G346" t="str">
        <v>C</v>
      </c>
      <c r="H346" t="str">
        <v>C</v>
      </c>
      <c r="I346" t="str">
        <f ca="1">IF($A346="","",IF(COUNTA($R$2:$W$2)=6,"WK "&amp;_xlfn.ISOWEEKNUM($R$2)))</f>
        <v>WK 19</v>
      </c>
      <c r="J346" t="str">
        <f ca="1">IF($A346="","",IF(COUNTA($AF$2:$AK$2)=6,"WK "&amp;_xlfn.ISOWEEKNUM($AF$2)))</f>
        <v>WK 21</v>
      </c>
      <c r="K346" s="20" t="str">
        <f t="shared" ca="1" si="147"/>
        <v>ON</v>
      </c>
      <c r="L346" s="20" t="str">
        <f t="shared" ca="1" si="147"/>
        <v>ON</v>
      </c>
      <c r="M346" s="1" t="str">
        <f t="shared" ca="1" si="148"/>
        <v>ON</v>
      </c>
      <c r="N346" s="1" t="str">
        <f t="shared" ca="1" si="149"/>
        <v>ON</v>
      </c>
      <c r="O346" s="1" t="str">
        <f t="shared" ca="1" si="150"/>
        <v>ON</v>
      </c>
      <c r="P346" s="1" t="str">
        <f t="shared" ca="1" si="151"/>
        <v>ON</v>
      </c>
      <c r="Q346" s="1"/>
      <c r="R346" s="20" t="str">
        <f t="shared" ca="1" si="152"/>
        <v>ON</v>
      </c>
      <c r="S346" s="20" t="str">
        <f t="shared" ca="1" si="152"/>
        <v>ON</v>
      </c>
      <c r="T346" s="1" t="str">
        <f t="shared" ca="1" si="153"/>
        <v>ON</v>
      </c>
      <c r="U346" s="1" t="str">
        <f t="shared" ca="1" si="154"/>
        <v>ON</v>
      </c>
      <c r="V346" s="1" t="str">
        <f t="shared" ca="1" si="155"/>
        <v>OFF</v>
      </c>
      <c r="W346" s="1" t="str">
        <f t="shared" ca="1" si="156"/>
        <v>ON</v>
      </c>
      <c r="X346" s="1"/>
      <c r="Y346" s="20" t="str">
        <f t="shared" ca="1" si="157"/>
        <v>ON</v>
      </c>
      <c r="Z346" s="20" t="str">
        <f t="shared" ca="1" si="157"/>
        <v>ON</v>
      </c>
      <c r="AA346" s="1" t="str">
        <f t="shared" ca="1" si="158"/>
        <v>ON</v>
      </c>
      <c r="AB346" s="1" t="str">
        <f t="shared" ca="1" si="159"/>
        <v>ON</v>
      </c>
      <c r="AC346" s="1" t="str">
        <f t="shared" ca="1" si="160"/>
        <v>ON</v>
      </c>
      <c r="AD346" s="1" t="str">
        <f t="shared" ca="1" si="161"/>
        <v>ON</v>
      </c>
      <c r="AE346" s="1"/>
      <c r="AF346" s="20" t="str">
        <f t="shared" ca="1" si="162"/>
        <v>ON</v>
      </c>
      <c r="AG346" s="20" t="str">
        <f t="shared" ca="1" si="162"/>
        <v>ON</v>
      </c>
      <c r="AH346" s="1" t="str">
        <f t="shared" ca="1" si="163"/>
        <v>ON</v>
      </c>
      <c r="AI346" s="1" t="str">
        <f t="shared" ca="1" si="164"/>
        <v>ON</v>
      </c>
      <c r="AJ346" s="1" t="str">
        <f t="shared" ca="1" si="165"/>
        <v>OFF</v>
      </c>
      <c r="AK346" s="1" t="str">
        <f t="shared" ca="1" si="166"/>
        <v>ON</v>
      </c>
      <c r="AL346" s="1"/>
      <c r="AM346" s="20" t="str">
        <f t="shared" si="167"/>
        <v>ON</v>
      </c>
      <c r="AN346" s="20" t="str">
        <f t="shared" si="167"/>
        <v>ON</v>
      </c>
      <c r="AO346" s="20" t="str">
        <f t="shared" si="168"/>
        <v>ON</v>
      </c>
    </row>
    <row r="347" spans="1:41">
      <c r="A347" t="str">
        <f t="shared" ca="1" si="142"/>
        <v>Oyo</v>
      </c>
      <c r="B347" t="str">
        <f t="shared" ca="1" si="143"/>
        <v>A</v>
      </c>
      <c r="C347" t="str">
        <f t="shared" ca="1" si="144"/>
        <v>D1</v>
      </c>
      <c r="D347" t="s">
        <v>4</v>
      </c>
      <c r="E347">
        <f t="shared" ca="1" si="145"/>
        <v>25</v>
      </c>
      <c r="F347">
        <f t="shared" ca="1" si="146"/>
        <v>2</v>
      </c>
      <c r="G347" t="str">
        <v>B</v>
      </c>
      <c r="H347" t="str">
        <v>B</v>
      </c>
      <c r="I347" t="str">
        <f ca="1">IF($A347="","",IF(COUNTA($K$2:$P$2)=6,"WK "&amp;_xlfn.ISOWEEKNUM($K$2)))</f>
        <v>WK 18</v>
      </c>
      <c r="J347" t="str">
        <f ca="1">IF($A347="","",IF(COUNTA($Y$2:$AD$2)=6,"WK "&amp;_xlfn.ISOWEEKNUM($Y$2)))</f>
        <v>WK 20</v>
      </c>
      <c r="K347" s="20" t="str">
        <f t="shared" ca="1" si="147"/>
        <v>ON</v>
      </c>
      <c r="L347" s="20" t="str">
        <f t="shared" ca="1" si="147"/>
        <v>ON</v>
      </c>
      <c r="M347" s="1" t="str">
        <f t="shared" ca="1" si="148"/>
        <v>ON</v>
      </c>
      <c r="N347" s="1" t="str">
        <f t="shared" ca="1" si="149"/>
        <v>OFF</v>
      </c>
      <c r="O347" s="1" t="str">
        <f t="shared" ca="1" si="150"/>
        <v>ON</v>
      </c>
      <c r="P347" s="1" t="str">
        <f t="shared" ca="1" si="151"/>
        <v>ON</v>
      </c>
      <c r="Q347" s="1"/>
      <c r="R347" s="20" t="str">
        <f t="shared" ca="1" si="152"/>
        <v>ON</v>
      </c>
      <c r="S347" s="20" t="str">
        <f t="shared" ca="1" si="152"/>
        <v>ON</v>
      </c>
      <c r="T347" s="1" t="str">
        <f t="shared" ca="1" si="153"/>
        <v>ON</v>
      </c>
      <c r="U347" s="1" t="str">
        <f t="shared" ca="1" si="154"/>
        <v>ON</v>
      </c>
      <c r="V347" s="1" t="str">
        <f t="shared" ca="1" si="155"/>
        <v>ON</v>
      </c>
      <c r="W347" s="1" t="str">
        <f t="shared" ca="1" si="156"/>
        <v>ON</v>
      </c>
      <c r="X347" s="1"/>
      <c r="Y347" s="20" t="str">
        <f t="shared" ca="1" si="157"/>
        <v>ON</v>
      </c>
      <c r="Z347" s="20" t="str">
        <f t="shared" ca="1" si="157"/>
        <v>ON</v>
      </c>
      <c r="AA347" s="1" t="str">
        <f t="shared" ca="1" si="158"/>
        <v>ON</v>
      </c>
      <c r="AB347" s="1" t="str">
        <f t="shared" ca="1" si="159"/>
        <v>OFF</v>
      </c>
      <c r="AC347" s="1" t="str">
        <f t="shared" ca="1" si="160"/>
        <v>ON</v>
      </c>
      <c r="AD347" s="1" t="str">
        <f t="shared" ca="1" si="161"/>
        <v>ON</v>
      </c>
      <c r="AE347" s="1"/>
      <c r="AF347" s="20" t="str">
        <f t="shared" ca="1" si="162"/>
        <v>ON</v>
      </c>
      <c r="AG347" s="20" t="str">
        <f t="shared" ca="1" si="162"/>
        <v>ON</v>
      </c>
      <c r="AH347" s="1" t="str">
        <f t="shared" ca="1" si="163"/>
        <v>ON</v>
      </c>
      <c r="AI347" s="1" t="str">
        <f t="shared" ca="1" si="164"/>
        <v>ON</v>
      </c>
      <c r="AJ347" s="1" t="str">
        <f t="shared" ca="1" si="165"/>
        <v>ON</v>
      </c>
      <c r="AK347" s="1" t="str">
        <f t="shared" ca="1" si="166"/>
        <v>ON</v>
      </c>
      <c r="AL347" s="1"/>
      <c r="AM347" s="20" t="str">
        <f t="shared" si="167"/>
        <v>ON</v>
      </c>
      <c r="AN347" s="20" t="str">
        <f t="shared" si="167"/>
        <v>ON</v>
      </c>
      <c r="AO347" s="20" t="str">
        <f t="shared" si="168"/>
        <v>ON</v>
      </c>
    </row>
    <row r="348" spans="1:41">
      <c r="A348" t="str">
        <f t="shared" ca="1" si="142"/>
        <v>Lagos</v>
      </c>
      <c r="B348" t="str">
        <f t="shared" ca="1" si="143"/>
        <v>E</v>
      </c>
      <c r="C348" t="str">
        <f t="shared" ca="1" si="144"/>
        <v>D1</v>
      </c>
      <c r="D348" t="s">
        <v>9</v>
      </c>
      <c r="E348">
        <f t="shared" ca="1" si="145"/>
        <v>25</v>
      </c>
      <c r="F348">
        <f t="shared" ca="1" si="146"/>
        <v>2</v>
      </c>
      <c r="G348" t="str">
        <v>A</v>
      </c>
      <c r="H348" t="str">
        <v>A</v>
      </c>
      <c r="I348" t="str">
        <f ca="1">IF($A348="","",IF(COUNTA($R$2:$W$2)=6,"WK "&amp;_xlfn.ISOWEEKNUM($R$2)))</f>
        <v>WK 19</v>
      </c>
      <c r="J348" t="str">
        <f ca="1">IF($A348="","",IF(COUNTA($AF$2:$AK$2)=6,"WK "&amp;_xlfn.ISOWEEKNUM($AF$2)))</f>
        <v>WK 21</v>
      </c>
      <c r="K348" s="20" t="str">
        <f t="shared" ca="1" si="147"/>
        <v>ON</v>
      </c>
      <c r="L348" s="20" t="str">
        <f t="shared" ca="1" si="147"/>
        <v>ON</v>
      </c>
      <c r="M348" s="1" t="str">
        <f t="shared" ca="1" si="148"/>
        <v>ON</v>
      </c>
      <c r="N348" s="1" t="str">
        <f t="shared" ca="1" si="149"/>
        <v>ON</v>
      </c>
      <c r="O348" s="1" t="str">
        <f t="shared" ca="1" si="150"/>
        <v>ON</v>
      </c>
      <c r="P348" s="1" t="str">
        <f t="shared" ca="1" si="151"/>
        <v>ON</v>
      </c>
      <c r="Q348" s="1"/>
      <c r="R348" s="20" t="str">
        <f t="shared" ca="1" si="152"/>
        <v>ON</v>
      </c>
      <c r="S348" s="20" t="str">
        <f t="shared" ca="1" si="152"/>
        <v>ON</v>
      </c>
      <c r="T348" s="1" t="str">
        <f t="shared" ca="1" si="153"/>
        <v>OFF</v>
      </c>
      <c r="U348" s="1" t="str">
        <f t="shared" ca="1" si="154"/>
        <v>ON</v>
      </c>
      <c r="V348" s="1" t="str">
        <f t="shared" ca="1" si="155"/>
        <v>ON</v>
      </c>
      <c r="W348" s="1" t="str">
        <f t="shared" ca="1" si="156"/>
        <v>ON</v>
      </c>
      <c r="X348" s="1"/>
      <c r="Y348" s="20" t="str">
        <f t="shared" ca="1" si="157"/>
        <v>ON</v>
      </c>
      <c r="Z348" s="20" t="str">
        <f t="shared" ca="1" si="157"/>
        <v>ON</v>
      </c>
      <c r="AA348" s="1" t="str">
        <f t="shared" ca="1" si="158"/>
        <v>ON</v>
      </c>
      <c r="AB348" s="1" t="str">
        <f t="shared" ca="1" si="159"/>
        <v>ON</v>
      </c>
      <c r="AC348" s="1" t="str">
        <f t="shared" ca="1" si="160"/>
        <v>ON</v>
      </c>
      <c r="AD348" s="1" t="str">
        <f t="shared" ca="1" si="161"/>
        <v>ON</v>
      </c>
      <c r="AE348" s="1"/>
      <c r="AF348" s="20" t="str">
        <f t="shared" ca="1" si="162"/>
        <v>ON</v>
      </c>
      <c r="AG348" s="20" t="str">
        <f t="shared" ca="1" si="162"/>
        <v>ON</v>
      </c>
      <c r="AH348" s="1" t="str">
        <f t="shared" ca="1" si="163"/>
        <v>OFF</v>
      </c>
      <c r="AI348" s="1" t="str">
        <f t="shared" ca="1" si="164"/>
        <v>ON</v>
      </c>
      <c r="AJ348" s="1" t="str">
        <f t="shared" ca="1" si="165"/>
        <v>ON</v>
      </c>
      <c r="AK348" s="1" t="str">
        <f t="shared" ca="1" si="166"/>
        <v>ON</v>
      </c>
      <c r="AL348" s="1"/>
      <c r="AM348" s="20" t="str">
        <f t="shared" si="167"/>
        <v>ON</v>
      </c>
      <c r="AN348" s="20" t="str">
        <f t="shared" si="167"/>
        <v>ON</v>
      </c>
      <c r="AO348" s="20" t="str">
        <f t="shared" si="168"/>
        <v>ON</v>
      </c>
    </row>
    <row r="349" spans="1:41">
      <c r="A349" t="str">
        <f t="shared" ca="1" si="142"/>
        <v>Ogun</v>
      </c>
      <c r="B349" t="str">
        <f t="shared" ca="1" si="143"/>
        <v>B</v>
      </c>
      <c r="C349" t="str">
        <f t="shared" ca="1" si="144"/>
        <v>D1</v>
      </c>
      <c r="D349" t="s">
        <v>5</v>
      </c>
      <c r="E349">
        <f t="shared" ca="1" si="145"/>
        <v>25</v>
      </c>
      <c r="F349">
        <f t="shared" ca="1" si="146"/>
        <v>2</v>
      </c>
      <c r="G349" t="str" cm="1">
        <f t="array" ref="G349:G352">Groups!$B$2:$B$5</f>
        <v>A</v>
      </c>
      <c r="H349" t="str" cm="1">
        <f t="array" ref="H349:H352">Groups!$B$2:$B$5</f>
        <v>A</v>
      </c>
      <c r="I349" t="str">
        <f ca="1">IF($A349="","",IF(COUNTA($K$2:$P$2)=6,"WK "&amp;_xlfn.ISOWEEKNUM($K$2)))</f>
        <v>WK 18</v>
      </c>
      <c r="J349" t="str">
        <f ca="1">IF($A349="","",IF(COUNTA($Y$2:$AD$2)=6,"WK "&amp;_xlfn.ISOWEEKNUM($Y$2)))</f>
        <v>WK 20</v>
      </c>
      <c r="K349" s="20" t="str">
        <f t="shared" ca="1" si="147"/>
        <v>ON</v>
      </c>
      <c r="L349" s="20" t="str">
        <f t="shared" ca="1" si="147"/>
        <v>ON</v>
      </c>
      <c r="M349" s="1" t="str">
        <f t="shared" ca="1" si="148"/>
        <v>OFF</v>
      </c>
      <c r="N349" s="1" t="str">
        <f t="shared" ca="1" si="149"/>
        <v>ON</v>
      </c>
      <c r="O349" s="1" t="str">
        <f t="shared" ca="1" si="150"/>
        <v>ON</v>
      </c>
      <c r="P349" s="1" t="str">
        <f t="shared" ca="1" si="151"/>
        <v>ON</v>
      </c>
      <c r="Q349" s="1"/>
      <c r="R349" s="20" t="str">
        <f t="shared" ca="1" si="152"/>
        <v>ON</v>
      </c>
      <c r="S349" s="20" t="str">
        <f t="shared" ca="1" si="152"/>
        <v>ON</v>
      </c>
      <c r="T349" s="1" t="str">
        <f t="shared" ca="1" si="153"/>
        <v>ON</v>
      </c>
      <c r="U349" s="1" t="str">
        <f t="shared" ca="1" si="154"/>
        <v>ON</v>
      </c>
      <c r="V349" s="1" t="str">
        <f t="shared" ca="1" si="155"/>
        <v>ON</v>
      </c>
      <c r="W349" s="1" t="str">
        <f t="shared" ca="1" si="156"/>
        <v>ON</v>
      </c>
      <c r="X349" s="1"/>
      <c r="Y349" s="20" t="str">
        <f t="shared" ca="1" si="157"/>
        <v>ON</v>
      </c>
      <c r="Z349" s="20" t="str">
        <f t="shared" ca="1" si="157"/>
        <v>ON</v>
      </c>
      <c r="AA349" s="1" t="str">
        <f t="shared" ca="1" si="158"/>
        <v>OFF</v>
      </c>
      <c r="AB349" s="1" t="str">
        <f t="shared" ca="1" si="159"/>
        <v>ON</v>
      </c>
      <c r="AC349" s="1" t="str">
        <f t="shared" ca="1" si="160"/>
        <v>ON</v>
      </c>
      <c r="AD349" s="1" t="str">
        <f t="shared" ca="1" si="161"/>
        <v>ON</v>
      </c>
      <c r="AE349" s="1"/>
      <c r="AF349" s="20" t="str">
        <f t="shared" ca="1" si="162"/>
        <v>ON</v>
      </c>
      <c r="AG349" s="20" t="str">
        <f t="shared" ca="1" si="162"/>
        <v>ON</v>
      </c>
      <c r="AH349" s="1" t="str">
        <f t="shared" ca="1" si="163"/>
        <v>ON</v>
      </c>
      <c r="AI349" s="1" t="str">
        <f t="shared" ca="1" si="164"/>
        <v>ON</v>
      </c>
      <c r="AJ349" s="1" t="str">
        <f t="shared" ca="1" si="165"/>
        <v>ON</v>
      </c>
      <c r="AK349" s="1" t="str">
        <f t="shared" ca="1" si="166"/>
        <v>ON</v>
      </c>
      <c r="AL349" s="1"/>
      <c r="AM349" s="20" t="str">
        <f t="shared" si="167"/>
        <v>ON</v>
      </c>
      <c r="AN349" s="20" t="str">
        <f t="shared" si="167"/>
        <v>ON</v>
      </c>
      <c r="AO349" s="20" t="str">
        <f t="shared" si="168"/>
        <v>ON</v>
      </c>
    </row>
    <row r="350" spans="1:41">
      <c r="A350" t="str">
        <f t="shared" ca="1" si="142"/>
        <v>Ondo</v>
      </c>
      <c r="B350" t="str">
        <f t="shared" ca="1" si="143"/>
        <v>B</v>
      </c>
      <c r="C350" t="str">
        <f t="shared" ca="1" si="144"/>
        <v>B1</v>
      </c>
      <c r="D350" t="s">
        <v>5</v>
      </c>
      <c r="E350">
        <f t="shared" ca="1" si="145"/>
        <v>25</v>
      </c>
      <c r="F350">
        <f t="shared" ca="1" si="146"/>
        <v>2</v>
      </c>
      <c r="G350" t="str">
        <v>B</v>
      </c>
      <c r="H350" t="str">
        <v>B</v>
      </c>
      <c r="I350" t="str">
        <f ca="1">IF($A350="","",IF(COUNTA($R$2:$W$2)=6,"WK "&amp;_xlfn.ISOWEEKNUM($R$2)))</f>
        <v>WK 19</v>
      </c>
      <c r="J350" t="str">
        <f ca="1">IF($A350="","",IF(COUNTA($AF$2:$AK$2)=6,"WK "&amp;_xlfn.ISOWEEKNUM($AF$2)))</f>
        <v>WK 21</v>
      </c>
      <c r="K350" s="20" t="str">
        <f t="shared" ca="1" si="147"/>
        <v>ON</v>
      </c>
      <c r="L350" s="20" t="str">
        <f t="shared" ca="1" si="147"/>
        <v>ON</v>
      </c>
      <c r="M350" s="1" t="str">
        <f t="shared" ca="1" si="148"/>
        <v>ON</v>
      </c>
      <c r="N350" s="1" t="str">
        <f t="shared" ca="1" si="149"/>
        <v>ON</v>
      </c>
      <c r="O350" s="1" t="str">
        <f t="shared" ca="1" si="150"/>
        <v>ON</v>
      </c>
      <c r="P350" s="1" t="str">
        <f t="shared" ca="1" si="151"/>
        <v>ON</v>
      </c>
      <c r="Q350" s="1"/>
      <c r="R350" s="20" t="str">
        <f t="shared" ca="1" si="152"/>
        <v>ON</v>
      </c>
      <c r="S350" s="20" t="str">
        <f t="shared" ca="1" si="152"/>
        <v>ON</v>
      </c>
      <c r="T350" s="1" t="str">
        <f t="shared" ca="1" si="153"/>
        <v>ON</v>
      </c>
      <c r="U350" s="1" t="str">
        <f t="shared" ca="1" si="154"/>
        <v>OFF</v>
      </c>
      <c r="V350" s="1" t="str">
        <f t="shared" ca="1" si="155"/>
        <v>ON</v>
      </c>
      <c r="W350" s="1" t="str">
        <f t="shared" ca="1" si="156"/>
        <v>ON</v>
      </c>
      <c r="X350" s="1"/>
      <c r="Y350" s="20" t="str">
        <f t="shared" ca="1" si="157"/>
        <v>ON</v>
      </c>
      <c r="Z350" s="20" t="str">
        <f t="shared" ca="1" si="157"/>
        <v>ON</v>
      </c>
      <c r="AA350" s="1" t="str">
        <f t="shared" ca="1" si="158"/>
        <v>ON</v>
      </c>
      <c r="AB350" s="1" t="str">
        <f t="shared" ca="1" si="159"/>
        <v>ON</v>
      </c>
      <c r="AC350" s="1" t="str">
        <f t="shared" ca="1" si="160"/>
        <v>ON</v>
      </c>
      <c r="AD350" s="1" t="str">
        <f t="shared" ca="1" si="161"/>
        <v>ON</v>
      </c>
      <c r="AE350" s="1"/>
      <c r="AF350" s="20" t="str">
        <f t="shared" ca="1" si="162"/>
        <v>ON</v>
      </c>
      <c r="AG350" s="20" t="str">
        <f t="shared" ca="1" si="162"/>
        <v>ON</v>
      </c>
      <c r="AH350" s="1" t="str">
        <f t="shared" ca="1" si="163"/>
        <v>ON</v>
      </c>
      <c r="AI350" s="1" t="str">
        <f t="shared" ca="1" si="164"/>
        <v>OFF</v>
      </c>
      <c r="AJ350" s="1" t="str">
        <f t="shared" ca="1" si="165"/>
        <v>ON</v>
      </c>
      <c r="AK350" s="1" t="str">
        <f t="shared" ca="1" si="166"/>
        <v>ON</v>
      </c>
      <c r="AL350" s="1"/>
      <c r="AM350" s="20" t="str">
        <f t="shared" si="167"/>
        <v>ON</v>
      </c>
      <c r="AN350" s="20" t="str">
        <f t="shared" si="167"/>
        <v>ON</v>
      </c>
      <c r="AO350" s="20" t="str">
        <f t="shared" si="168"/>
        <v>ON</v>
      </c>
    </row>
    <row r="351" spans="1:41">
      <c r="A351" t="str">
        <f t="shared" ca="1" si="142"/>
        <v>Oyo</v>
      </c>
      <c r="B351" t="str">
        <f t="shared" ca="1" si="143"/>
        <v>D</v>
      </c>
      <c r="C351" t="str">
        <f t="shared" ca="1" si="144"/>
        <v>D1</v>
      </c>
      <c r="D351" t="s">
        <v>5</v>
      </c>
      <c r="E351">
        <f t="shared" ca="1" si="145"/>
        <v>25</v>
      </c>
      <c r="F351">
        <f t="shared" ca="1" si="146"/>
        <v>2</v>
      </c>
      <c r="G351" t="str">
        <v>C</v>
      </c>
      <c r="H351" t="str">
        <v>C</v>
      </c>
      <c r="I351" t="str">
        <f ca="1">IF($A351="","",IF(COUNTA($K$2:$P$2)=6,"WK "&amp;_xlfn.ISOWEEKNUM($K$2)))</f>
        <v>WK 18</v>
      </c>
      <c r="J351" t="str">
        <f ca="1">IF($A351="","",IF(COUNTA($Y$2:$AD$2)=6,"WK "&amp;_xlfn.ISOWEEKNUM($Y$2)))</f>
        <v>WK 20</v>
      </c>
      <c r="K351" s="20" t="str">
        <f t="shared" ca="1" si="147"/>
        <v>ON</v>
      </c>
      <c r="L351" s="20" t="str">
        <f t="shared" ca="1" si="147"/>
        <v>ON</v>
      </c>
      <c r="M351" s="1" t="str">
        <f t="shared" ca="1" si="148"/>
        <v>ON</v>
      </c>
      <c r="N351" s="1" t="str">
        <f t="shared" ca="1" si="149"/>
        <v>ON</v>
      </c>
      <c r="O351" s="1" t="str">
        <f t="shared" ca="1" si="150"/>
        <v>OFF</v>
      </c>
      <c r="P351" s="1" t="str">
        <f t="shared" ca="1" si="151"/>
        <v>ON</v>
      </c>
      <c r="Q351" s="1"/>
      <c r="R351" s="20" t="str">
        <f t="shared" ca="1" si="152"/>
        <v>ON</v>
      </c>
      <c r="S351" s="20" t="str">
        <f t="shared" ca="1" si="152"/>
        <v>ON</v>
      </c>
      <c r="T351" s="1" t="str">
        <f t="shared" ca="1" si="153"/>
        <v>ON</v>
      </c>
      <c r="U351" s="1" t="str">
        <f t="shared" ca="1" si="154"/>
        <v>ON</v>
      </c>
      <c r="V351" s="1" t="str">
        <f t="shared" ca="1" si="155"/>
        <v>ON</v>
      </c>
      <c r="W351" s="1" t="str">
        <f t="shared" ca="1" si="156"/>
        <v>ON</v>
      </c>
      <c r="X351" s="1"/>
      <c r="Y351" s="20" t="str">
        <f t="shared" ca="1" si="157"/>
        <v>ON</v>
      </c>
      <c r="Z351" s="20" t="str">
        <f t="shared" ca="1" si="157"/>
        <v>ON</v>
      </c>
      <c r="AA351" s="1" t="str">
        <f t="shared" ca="1" si="158"/>
        <v>ON</v>
      </c>
      <c r="AB351" s="1" t="str">
        <f t="shared" ca="1" si="159"/>
        <v>ON</v>
      </c>
      <c r="AC351" s="1" t="str">
        <f t="shared" ca="1" si="160"/>
        <v>OFF</v>
      </c>
      <c r="AD351" s="1" t="str">
        <f t="shared" ca="1" si="161"/>
        <v>ON</v>
      </c>
      <c r="AE351" s="1"/>
      <c r="AF351" s="20" t="str">
        <f t="shared" ca="1" si="162"/>
        <v>ON</v>
      </c>
      <c r="AG351" s="20" t="str">
        <f t="shared" ca="1" si="162"/>
        <v>ON</v>
      </c>
      <c r="AH351" s="1" t="str">
        <f t="shared" ca="1" si="163"/>
        <v>ON</v>
      </c>
      <c r="AI351" s="1" t="str">
        <f t="shared" ca="1" si="164"/>
        <v>ON</v>
      </c>
      <c r="AJ351" s="1" t="str">
        <f t="shared" ca="1" si="165"/>
        <v>ON</v>
      </c>
      <c r="AK351" s="1" t="str">
        <f t="shared" ca="1" si="166"/>
        <v>ON</v>
      </c>
      <c r="AL351" s="1"/>
      <c r="AM351" s="20" t="str">
        <f t="shared" si="167"/>
        <v>ON</v>
      </c>
      <c r="AN351" s="20" t="str">
        <f t="shared" si="167"/>
        <v>ON</v>
      </c>
      <c r="AO351" s="20" t="str">
        <f t="shared" si="168"/>
        <v>ON</v>
      </c>
    </row>
    <row r="352" spans="1:41">
      <c r="A352" t="str">
        <f t="shared" ca="1" si="142"/>
        <v>Oyo</v>
      </c>
      <c r="B352" t="str">
        <f t="shared" ca="1" si="143"/>
        <v>D</v>
      </c>
      <c r="C352" t="str">
        <f t="shared" ca="1" si="144"/>
        <v>D1</v>
      </c>
      <c r="D352" t="s">
        <v>5</v>
      </c>
      <c r="E352">
        <f t="shared" ca="1" si="145"/>
        <v>25</v>
      </c>
      <c r="F352">
        <f t="shared" ca="1" si="146"/>
        <v>2</v>
      </c>
      <c r="G352" t="str">
        <v>D</v>
      </c>
      <c r="H352" t="str">
        <v>D</v>
      </c>
      <c r="I352" t="str">
        <f ca="1">IF($A352="","",IF(COUNTA($R$2:$W$2)=6,"WK "&amp;_xlfn.ISOWEEKNUM($R$2)))</f>
        <v>WK 19</v>
      </c>
      <c r="J352" t="str">
        <f ca="1">IF($A352="","",IF(COUNTA($AF$2:$AK$2)=6,"WK "&amp;_xlfn.ISOWEEKNUM($AF$2)))</f>
        <v>WK 21</v>
      </c>
      <c r="K352" s="20" t="str">
        <f t="shared" ca="1" si="147"/>
        <v>ON</v>
      </c>
      <c r="L352" s="20" t="str">
        <f t="shared" ca="1" si="147"/>
        <v>ON</v>
      </c>
      <c r="M352" s="1" t="str">
        <f t="shared" ca="1" si="148"/>
        <v>ON</v>
      </c>
      <c r="N352" s="1" t="str">
        <f t="shared" ca="1" si="149"/>
        <v>ON</v>
      </c>
      <c r="O352" s="1" t="str">
        <f t="shared" ca="1" si="150"/>
        <v>ON</v>
      </c>
      <c r="P352" s="1" t="str">
        <f t="shared" ca="1" si="151"/>
        <v>ON</v>
      </c>
      <c r="Q352" s="1"/>
      <c r="R352" s="20" t="str">
        <f t="shared" ca="1" si="152"/>
        <v>ON</v>
      </c>
      <c r="S352" s="20" t="str">
        <f t="shared" ca="1" si="152"/>
        <v>ON</v>
      </c>
      <c r="T352" s="1" t="str">
        <f t="shared" ca="1" si="153"/>
        <v>ON</v>
      </c>
      <c r="U352" s="1" t="str">
        <f t="shared" ca="1" si="154"/>
        <v>ON</v>
      </c>
      <c r="V352" s="1" t="str">
        <f t="shared" ca="1" si="155"/>
        <v>ON</v>
      </c>
      <c r="W352" s="1" t="str">
        <f t="shared" ca="1" si="156"/>
        <v>OFF</v>
      </c>
      <c r="X352" s="1"/>
      <c r="Y352" s="20" t="str">
        <f t="shared" ca="1" si="157"/>
        <v>ON</v>
      </c>
      <c r="Z352" s="20" t="str">
        <f t="shared" ca="1" si="157"/>
        <v>ON</v>
      </c>
      <c r="AA352" s="1" t="str">
        <f t="shared" ca="1" si="158"/>
        <v>ON</v>
      </c>
      <c r="AB352" s="1" t="str">
        <f t="shared" ca="1" si="159"/>
        <v>ON</v>
      </c>
      <c r="AC352" s="1" t="str">
        <f t="shared" ca="1" si="160"/>
        <v>ON</v>
      </c>
      <c r="AD352" s="1" t="str">
        <f t="shared" ca="1" si="161"/>
        <v>ON</v>
      </c>
      <c r="AE352" s="1"/>
      <c r="AF352" s="20" t="str">
        <f t="shared" ca="1" si="162"/>
        <v>ON</v>
      </c>
      <c r="AG352" s="20" t="str">
        <f t="shared" ca="1" si="162"/>
        <v>ON</v>
      </c>
      <c r="AH352" s="1" t="str">
        <f t="shared" ca="1" si="163"/>
        <v>ON</v>
      </c>
      <c r="AI352" s="1" t="str">
        <f t="shared" ca="1" si="164"/>
        <v>ON</v>
      </c>
      <c r="AJ352" s="1" t="str">
        <f t="shared" ca="1" si="165"/>
        <v>ON</v>
      </c>
      <c r="AK352" s="1" t="str">
        <f t="shared" ca="1" si="166"/>
        <v>OFF</v>
      </c>
      <c r="AL352" s="1"/>
      <c r="AM352" s="20" t="str">
        <f t="shared" si="167"/>
        <v>ON</v>
      </c>
      <c r="AN352" s="20" t="str">
        <f t="shared" si="167"/>
        <v>ON</v>
      </c>
      <c r="AO352" s="20" t="str">
        <f t="shared" si="168"/>
        <v>ON</v>
      </c>
    </row>
    <row r="353" spans="1:41">
      <c r="A353" t="str">
        <f t="shared" ca="1" si="142"/>
        <v>Lagos</v>
      </c>
      <c r="B353" t="str">
        <f t="shared" ca="1" si="143"/>
        <v>D</v>
      </c>
      <c r="C353" t="str">
        <f t="shared" ca="1" si="144"/>
        <v>D1</v>
      </c>
      <c r="D353" t="s">
        <v>5</v>
      </c>
      <c r="E353">
        <f t="shared" ca="1" si="145"/>
        <v>25</v>
      </c>
      <c r="F353">
        <f t="shared" ca="1" si="146"/>
        <v>2</v>
      </c>
      <c r="G353" t="str" cm="1">
        <f t="array" ref="G353:G356">IF($G$5:$G$8={"A";"B";"C";"D"},{"D";"C";"B";"A"},{"A";"B";"C";"D"})</f>
        <v>D</v>
      </c>
      <c r="H353" t="str" cm="1">
        <f t="array" ref="H353:H356">IF($H$5:$H$8={"A";"B";"C";"D"},{"D";"C";"B";"A"},{"A";"B";"C";"D"})</f>
        <v>D</v>
      </c>
      <c r="I353" t="str">
        <f ca="1">IF($A353="","",IF(COUNTA($K$2:$P$2)=6,"WK "&amp;_xlfn.ISOWEEKNUM($K$2)))</f>
        <v>WK 18</v>
      </c>
      <c r="J353" t="str">
        <f ca="1">IF($A353="","",IF(COUNTA($Y$2:$AD$2)=6,"WK "&amp;_xlfn.ISOWEEKNUM($Y$2)))</f>
        <v>WK 20</v>
      </c>
      <c r="K353" s="20" t="str">
        <f t="shared" ca="1" si="147"/>
        <v>ON</v>
      </c>
      <c r="L353" s="20" t="str">
        <f t="shared" ca="1" si="147"/>
        <v>ON</v>
      </c>
      <c r="M353" s="1" t="str">
        <f t="shared" ca="1" si="148"/>
        <v>ON</v>
      </c>
      <c r="N353" s="1" t="str">
        <f t="shared" ca="1" si="149"/>
        <v>ON</v>
      </c>
      <c r="O353" s="1" t="str">
        <f t="shared" ca="1" si="150"/>
        <v>ON</v>
      </c>
      <c r="P353" s="1" t="str">
        <f t="shared" ca="1" si="151"/>
        <v>OFF</v>
      </c>
      <c r="Q353" s="1"/>
      <c r="R353" s="20" t="str">
        <f t="shared" ca="1" si="152"/>
        <v>ON</v>
      </c>
      <c r="S353" s="20" t="str">
        <f t="shared" ca="1" si="152"/>
        <v>ON</v>
      </c>
      <c r="T353" s="1" t="str">
        <f t="shared" ca="1" si="153"/>
        <v>ON</v>
      </c>
      <c r="U353" s="1" t="str">
        <f t="shared" ca="1" si="154"/>
        <v>ON</v>
      </c>
      <c r="V353" s="1" t="str">
        <f t="shared" ca="1" si="155"/>
        <v>ON</v>
      </c>
      <c r="W353" s="1" t="str">
        <f t="shared" ca="1" si="156"/>
        <v>ON</v>
      </c>
      <c r="X353" s="1"/>
      <c r="Y353" s="20" t="str">
        <f t="shared" ca="1" si="157"/>
        <v>ON</v>
      </c>
      <c r="Z353" s="20" t="str">
        <f t="shared" ca="1" si="157"/>
        <v>ON</v>
      </c>
      <c r="AA353" s="1" t="str">
        <f t="shared" ca="1" si="158"/>
        <v>ON</v>
      </c>
      <c r="AB353" s="1" t="str">
        <f t="shared" ca="1" si="159"/>
        <v>ON</v>
      </c>
      <c r="AC353" s="1" t="str">
        <f t="shared" ca="1" si="160"/>
        <v>ON</v>
      </c>
      <c r="AD353" s="1" t="str">
        <f t="shared" ca="1" si="161"/>
        <v>OFF</v>
      </c>
      <c r="AE353" s="1"/>
      <c r="AF353" s="20" t="str">
        <f t="shared" ca="1" si="162"/>
        <v>ON</v>
      </c>
      <c r="AG353" s="20" t="str">
        <f t="shared" ca="1" si="162"/>
        <v>ON</v>
      </c>
      <c r="AH353" s="1" t="str">
        <f t="shared" ca="1" si="163"/>
        <v>ON</v>
      </c>
      <c r="AI353" s="1" t="str">
        <f t="shared" ca="1" si="164"/>
        <v>ON</v>
      </c>
      <c r="AJ353" s="1" t="str">
        <f t="shared" ca="1" si="165"/>
        <v>ON</v>
      </c>
      <c r="AK353" s="1" t="str">
        <f t="shared" ca="1" si="166"/>
        <v>ON</v>
      </c>
      <c r="AL353" s="1"/>
      <c r="AM353" s="20" t="str">
        <f t="shared" si="167"/>
        <v>ON</v>
      </c>
      <c r="AN353" s="20" t="str">
        <f t="shared" si="167"/>
        <v>ON</v>
      </c>
      <c r="AO353" s="20" t="str">
        <f t="shared" si="168"/>
        <v>ON</v>
      </c>
    </row>
    <row r="354" spans="1:41">
      <c r="A354" t="str">
        <f t="shared" ca="1" si="142"/>
        <v>Ondo</v>
      </c>
      <c r="B354" t="str">
        <f t="shared" ca="1" si="143"/>
        <v>D</v>
      </c>
      <c r="C354" t="str">
        <f t="shared" ca="1" si="144"/>
        <v>E1</v>
      </c>
      <c r="D354" t="s">
        <v>8</v>
      </c>
      <c r="E354">
        <f t="shared" ca="1" si="145"/>
        <v>25</v>
      </c>
      <c r="F354">
        <f t="shared" ca="1" si="146"/>
        <v>2</v>
      </c>
      <c r="G354" t="str">
        <v>C</v>
      </c>
      <c r="H354" t="str">
        <v>C</v>
      </c>
      <c r="I354" t="str">
        <f ca="1">IF($A354="","",IF(COUNTA($R$2:$W$2)=6,"WK "&amp;_xlfn.ISOWEEKNUM($R$2)))</f>
        <v>WK 19</v>
      </c>
      <c r="J354" t="str">
        <f ca="1">IF($A354="","",IF(COUNTA($AF$2:$AK$2)=6,"WK "&amp;_xlfn.ISOWEEKNUM($AF$2)))</f>
        <v>WK 21</v>
      </c>
      <c r="K354" s="20" t="str">
        <f t="shared" ca="1" si="147"/>
        <v>ON</v>
      </c>
      <c r="L354" s="20" t="str">
        <f t="shared" ca="1" si="147"/>
        <v>ON</v>
      </c>
      <c r="M354" s="1" t="str">
        <f t="shared" ca="1" si="148"/>
        <v>ON</v>
      </c>
      <c r="N354" s="1" t="str">
        <f t="shared" ca="1" si="149"/>
        <v>ON</v>
      </c>
      <c r="O354" s="1" t="str">
        <f t="shared" ca="1" si="150"/>
        <v>ON</v>
      </c>
      <c r="P354" s="1" t="str">
        <f t="shared" ca="1" si="151"/>
        <v>ON</v>
      </c>
      <c r="Q354" s="1"/>
      <c r="R354" s="20" t="str">
        <f t="shared" ca="1" si="152"/>
        <v>ON</v>
      </c>
      <c r="S354" s="20" t="str">
        <f t="shared" ca="1" si="152"/>
        <v>ON</v>
      </c>
      <c r="T354" s="1" t="str">
        <f t="shared" ca="1" si="153"/>
        <v>ON</v>
      </c>
      <c r="U354" s="1" t="str">
        <f t="shared" ca="1" si="154"/>
        <v>ON</v>
      </c>
      <c r="V354" s="1" t="str">
        <f t="shared" ca="1" si="155"/>
        <v>OFF</v>
      </c>
      <c r="W354" s="1" t="str">
        <f t="shared" ca="1" si="156"/>
        <v>ON</v>
      </c>
      <c r="X354" s="1"/>
      <c r="Y354" s="20" t="str">
        <f t="shared" ca="1" si="157"/>
        <v>ON</v>
      </c>
      <c r="Z354" s="20" t="str">
        <f t="shared" ca="1" si="157"/>
        <v>ON</v>
      </c>
      <c r="AA354" s="1" t="str">
        <f t="shared" ca="1" si="158"/>
        <v>ON</v>
      </c>
      <c r="AB354" s="1" t="str">
        <f t="shared" ca="1" si="159"/>
        <v>ON</v>
      </c>
      <c r="AC354" s="1" t="str">
        <f t="shared" ca="1" si="160"/>
        <v>ON</v>
      </c>
      <c r="AD354" s="1" t="str">
        <f t="shared" ca="1" si="161"/>
        <v>ON</v>
      </c>
      <c r="AE354" s="1"/>
      <c r="AF354" s="20" t="str">
        <f t="shared" ca="1" si="162"/>
        <v>ON</v>
      </c>
      <c r="AG354" s="20" t="str">
        <f t="shared" ca="1" si="162"/>
        <v>ON</v>
      </c>
      <c r="AH354" s="1" t="str">
        <f t="shared" ca="1" si="163"/>
        <v>ON</v>
      </c>
      <c r="AI354" s="1" t="str">
        <f t="shared" ca="1" si="164"/>
        <v>ON</v>
      </c>
      <c r="AJ354" s="1" t="str">
        <f t="shared" ca="1" si="165"/>
        <v>OFF</v>
      </c>
      <c r="AK354" s="1" t="str">
        <f t="shared" ca="1" si="166"/>
        <v>ON</v>
      </c>
      <c r="AL354" s="1"/>
      <c r="AM354" s="20" t="str">
        <f t="shared" si="167"/>
        <v>ON</v>
      </c>
      <c r="AN354" s="20" t="str">
        <f t="shared" si="167"/>
        <v>ON</v>
      </c>
      <c r="AO354" s="20" t="str">
        <f t="shared" si="168"/>
        <v>ON</v>
      </c>
    </row>
    <row r="355" spans="1:41">
      <c r="A355" t="str">
        <f t="shared" ca="1" si="142"/>
        <v>Lagos</v>
      </c>
      <c r="B355" t="str">
        <f t="shared" ca="1" si="143"/>
        <v>C</v>
      </c>
      <c r="C355" t="str">
        <f t="shared" ca="1" si="144"/>
        <v>D1</v>
      </c>
      <c r="D355" t="s">
        <v>8</v>
      </c>
      <c r="E355">
        <f t="shared" ca="1" si="145"/>
        <v>25</v>
      </c>
      <c r="F355">
        <f t="shared" ca="1" si="146"/>
        <v>2</v>
      </c>
      <c r="G355" t="str">
        <v>B</v>
      </c>
      <c r="H355" t="str">
        <v>B</v>
      </c>
      <c r="I355" t="str">
        <f ca="1">IF($A355="","",IF(COUNTA($K$2:$P$2)=6,"WK "&amp;_xlfn.ISOWEEKNUM($K$2)))</f>
        <v>WK 18</v>
      </c>
      <c r="J355" t="str">
        <f ca="1">IF($A355="","",IF(COUNTA($Y$2:$AD$2)=6,"WK "&amp;_xlfn.ISOWEEKNUM($Y$2)))</f>
        <v>WK 20</v>
      </c>
      <c r="K355" s="20" t="str">
        <f t="shared" ca="1" si="147"/>
        <v>ON</v>
      </c>
      <c r="L355" s="20" t="str">
        <f t="shared" ca="1" si="147"/>
        <v>ON</v>
      </c>
      <c r="M355" s="1" t="str">
        <f t="shared" ca="1" si="148"/>
        <v>ON</v>
      </c>
      <c r="N355" s="1" t="str">
        <f t="shared" ca="1" si="149"/>
        <v>OFF</v>
      </c>
      <c r="O355" s="1" t="str">
        <f t="shared" ca="1" si="150"/>
        <v>ON</v>
      </c>
      <c r="P355" s="1" t="str">
        <f t="shared" ca="1" si="151"/>
        <v>ON</v>
      </c>
      <c r="Q355" s="1"/>
      <c r="R355" s="20" t="str">
        <f t="shared" ca="1" si="152"/>
        <v>ON</v>
      </c>
      <c r="S355" s="20" t="str">
        <f t="shared" ca="1" si="152"/>
        <v>ON</v>
      </c>
      <c r="T355" s="1" t="str">
        <f t="shared" ca="1" si="153"/>
        <v>ON</v>
      </c>
      <c r="U355" s="1" t="str">
        <f t="shared" ca="1" si="154"/>
        <v>ON</v>
      </c>
      <c r="V355" s="1" t="str">
        <f t="shared" ca="1" si="155"/>
        <v>ON</v>
      </c>
      <c r="W355" s="1" t="str">
        <f t="shared" ca="1" si="156"/>
        <v>ON</v>
      </c>
      <c r="X355" s="1"/>
      <c r="Y355" s="20" t="str">
        <f t="shared" ca="1" si="157"/>
        <v>ON</v>
      </c>
      <c r="Z355" s="20" t="str">
        <f t="shared" ca="1" si="157"/>
        <v>ON</v>
      </c>
      <c r="AA355" s="1" t="str">
        <f t="shared" ca="1" si="158"/>
        <v>ON</v>
      </c>
      <c r="AB355" s="1" t="str">
        <f t="shared" ca="1" si="159"/>
        <v>OFF</v>
      </c>
      <c r="AC355" s="1" t="str">
        <f t="shared" ca="1" si="160"/>
        <v>ON</v>
      </c>
      <c r="AD355" s="1" t="str">
        <f t="shared" ca="1" si="161"/>
        <v>ON</v>
      </c>
      <c r="AE355" s="1"/>
      <c r="AF355" s="20" t="str">
        <f t="shared" ca="1" si="162"/>
        <v>ON</v>
      </c>
      <c r="AG355" s="20" t="str">
        <f t="shared" ca="1" si="162"/>
        <v>ON</v>
      </c>
      <c r="AH355" s="1" t="str">
        <f t="shared" ca="1" si="163"/>
        <v>ON</v>
      </c>
      <c r="AI355" s="1" t="str">
        <f t="shared" ca="1" si="164"/>
        <v>ON</v>
      </c>
      <c r="AJ355" s="1" t="str">
        <f t="shared" ca="1" si="165"/>
        <v>ON</v>
      </c>
      <c r="AK355" s="1" t="str">
        <f t="shared" ca="1" si="166"/>
        <v>ON</v>
      </c>
      <c r="AL355" s="1"/>
      <c r="AM355" s="20" t="str">
        <f t="shared" si="167"/>
        <v>ON</v>
      </c>
      <c r="AN355" s="20" t="str">
        <f t="shared" si="167"/>
        <v>ON</v>
      </c>
      <c r="AO355" s="20" t="str">
        <f t="shared" si="168"/>
        <v>ON</v>
      </c>
    </row>
    <row r="356" spans="1:41">
      <c r="A356" t="str">
        <f t="shared" ca="1" si="142"/>
        <v>Ogun</v>
      </c>
      <c r="B356" t="str">
        <f t="shared" ca="1" si="143"/>
        <v>E</v>
      </c>
      <c r="C356" t="str">
        <f t="shared" ca="1" si="144"/>
        <v>B1</v>
      </c>
      <c r="D356" t="s">
        <v>7</v>
      </c>
      <c r="E356">
        <f t="shared" ca="1" si="145"/>
        <v>25</v>
      </c>
      <c r="F356">
        <f t="shared" ca="1" si="146"/>
        <v>2</v>
      </c>
      <c r="G356" t="str">
        <v>A</v>
      </c>
      <c r="H356" t="str">
        <v>A</v>
      </c>
      <c r="I356" t="str">
        <f ca="1">IF($A356="","",IF(COUNTA($R$2:$W$2)=6,"WK "&amp;_xlfn.ISOWEEKNUM($R$2)))</f>
        <v>WK 19</v>
      </c>
      <c r="J356" t="str">
        <f ca="1">IF($A356="","",IF(COUNTA($AF$2:$AK$2)=6,"WK "&amp;_xlfn.ISOWEEKNUM($AF$2)))</f>
        <v>WK 21</v>
      </c>
      <c r="K356" s="20" t="str">
        <f t="shared" ca="1" si="147"/>
        <v>ON</v>
      </c>
      <c r="L356" s="20" t="str">
        <f t="shared" ca="1" si="147"/>
        <v>ON</v>
      </c>
      <c r="M356" s="1" t="str">
        <f t="shared" ca="1" si="148"/>
        <v>ON</v>
      </c>
      <c r="N356" s="1" t="str">
        <f t="shared" ca="1" si="149"/>
        <v>ON</v>
      </c>
      <c r="O356" s="1" t="str">
        <f t="shared" ca="1" si="150"/>
        <v>ON</v>
      </c>
      <c r="P356" s="1" t="str">
        <f t="shared" ca="1" si="151"/>
        <v>ON</v>
      </c>
      <c r="Q356" s="1"/>
      <c r="R356" s="20" t="str">
        <f t="shared" ca="1" si="152"/>
        <v>ON</v>
      </c>
      <c r="S356" s="20" t="str">
        <f t="shared" ca="1" si="152"/>
        <v>ON</v>
      </c>
      <c r="T356" s="1" t="str">
        <f t="shared" ca="1" si="153"/>
        <v>OFF</v>
      </c>
      <c r="U356" s="1" t="str">
        <f t="shared" ca="1" si="154"/>
        <v>ON</v>
      </c>
      <c r="V356" s="1" t="str">
        <f t="shared" ca="1" si="155"/>
        <v>ON</v>
      </c>
      <c r="W356" s="1" t="str">
        <f t="shared" ca="1" si="156"/>
        <v>ON</v>
      </c>
      <c r="X356" s="1"/>
      <c r="Y356" s="20" t="str">
        <f t="shared" ca="1" si="157"/>
        <v>ON</v>
      </c>
      <c r="Z356" s="20" t="str">
        <f t="shared" ca="1" si="157"/>
        <v>ON</v>
      </c>
      <c r="AA356" s="1" t="str">
        <f t="shared" ca="1" si="158"/>
        <v>ON</v>
      </c>
      <c r="AB356" s="1" t="str">
        <f t="shared" ca="1" si="159"/>
        <v>ON</v>
      </c>
      <c r="AC356" s="1" t="str">
        <f t="shared" ca="1" si="160"/>
        <v>ON</v>
      </c>
      <c r="AD356" s="1" t="str">
        <f t="shared" ca="1" si="161"/>
        <v>ON</v>
      </c>
      <c r="AE356" s="1"/>
      <c r="AF356" s="20" t="str">
        <f t="shared" ca="1" si="162"/>
        <v>ON</v>
      </c>
      <c r="AG356" s="20" t="str">
        <f t="shared" ca="1" si="162"/>
        <v>ON</v>
      </c>
      <c r="AH356" s="1" t="str">
        <f t="shared" ca="1" si="163"/>
        <v>OFF</v>
      </c>
      <c r="AI356" s="1" t="str">
        <f t="shared" ca="1" si="164"/>
        <v>ON</v>
      </c>
      <c r="AJ356" s="1" t="str">
        <f t="shared" ca="1" si="165"/>
        <v>ON</v>
      </c>
      <c r="AK356" s="1" t="str">
        <f t="shared" ca="1" si="166"/>
        <v>ON</v>
      </c>
      <c r="AL356" s="1"/>
      <c r="AM356" s="20" t="str">
        <f t="shared" si="167"/>
        <v>ON</v>
      </c>
      <c r="AN356" s="20" t="str">
        <f t="shared" si="167"/>
        <v>ON</v>
      </c>
      <c r="AO356" s="20" t="str">
        <f t="shared" si="168"/>
        <v>ON</v>
      </c>
    </row>
    <row r="357" spans="1:41">
      <c r="A357" t="str">
        <f t="shared" ca="1" si="142"/>
        <v>Ekiti</v>
      </c>
      <c r="B357" t="str">
        <f t="shared" ca="1" si="143"/>
        <v>C</v>
      </c>
      <c r="C357" t="str">
        <f t="shared" ca="1" si="144"/>
        <v>A1</v>
      </c>
      <c r="D357" t="s">
        <v>7</v>
      </c>
      <c r="E357">
        <f t="shared" ca="1" si="145"/>
        <v>25</v>
      </c>
      <c r="F357">
        <f t="shared" ca="1" si="146"/>
        <v>2</v>
      </c>
      <c r="G357" t="str" cm="1">
        <f t="array" ref="G357:G360">Groups!$B$2:$B$5</f>
        <v>A</v>
      </c>
      <c r="H357" t="str" cm="1">
        <f t="array" ref="H357:H360">Groups!$B$2:$B$5</f>
        <v>A</v>
      </c>
      <c r="I357" t="str">
        <f ca="1">IF($A357="","",IF(COUNTA($K$2:$P$2)=6,"WK "&amp;_xlfn.ISOWEEKNUM($K$2)))</f>
        <v>WK 18</v>
      </c>
      <c r="J357" t="str">
        <f ca="1">IF($A357="","",IF(COUNTA($Y$2:$AD$2)=6,"WK "&amp;_xlfn.ISOWEEKNUM($Y$2)))</f>
        <v>WK 20</v>
      </c>
      <c r="K357" s="20" t="str">
        <f t="shared" ca="1" si="147"/>
        <v>ON</v>
      </c>
      <c r="L357" s="20" t="str">
        <f t="shared" ca="1" si="147"/>
        <v>ON</v>
      </c>
      <c r="M357" s="1" t="str">
        <f t="shared" ca="1" si="148"/>
        <v>OFF</v>
      </c>
      <c r="N357" s="1" t="str">
        <f t="shared" ca="1" si="149"/>
        <v>ON</v>
      </c>
      <c r="O357" s="1" t="str">
        <f t="shared" ca="1" si="150"/>
        <v>ON</v>
      </c>
      <c r="P357" s="1" t="str">
        <f t="shared" ca="1" si="151"/>
        <v>ON</v>
      </c>
      <c r="Q357" s="1"/>
      <c r="R357" s="20" t="str">
        <f t="shared" ca="1" si="152"/>
        <v>ON</v>
      </c>
      <c r="S357" s="20" t="str">
        <f t="shared" ca="1" si="152"/>
        <v>ON</v>
      </c>
      <c r="T357" s="1" t="str">
        <f t="shared" ca="1" si="153"/>
        <v>ON</v>
      </c>
      <c r="U357" s="1" t="str">
        <f t="shared" ca="1" si="154"/>
        <v>ON</v>
      </c>
      <c r="V357" s="1" t="str">
        <f t="shared" ca="1" si="155"/>
        <v>ON</v>
      </c>
      <c r="W357" s="1" t="str">
        <f t="shared" ca="1" si="156"/>
        <v>ON</v>
      </c>
      <c r="X357" s="1"/>
      <c r="Y357" s="20" t="str">
        <f t="shared" ca="1" si="157"/>
        <v>ON</v>
      </c>
      <c r="Z357" s="20" t="str">
        <f t="shared" ca="1" si="157"/>
        <v>ON</v>
      </c>
      <c r="AA357" s="1" t="str">
        <f t="shared" ca="1" si="158"/>
        <v>OFF</v>
      </c>
      <c r="AB357" s="1" t="str">
        <f t="shared" ca="1" si="159"/>
        <v>ON</v>
      </c>
      <c r="AC357" s="1" t="str">
        <f t="shared" ca="1" si="160"/>
        <v>ON</v>
      </c>
      <c r="AD357" s="1" t="str">
        <f t="shared" ca="1" si="161"/>
        <v>ON</v>
      </c>
      <c r="AE357" s="1"/>
      <c r="AF357" s="20" t="str">
        <f t="shared" ca="1" si="162"/>
        <v>ON</v>
      </c>
      <c r="AG357" s="20" t="str">
        <f t="shared" ca="1" si="162"/>
        <v>ON</v>
      </c>
      <c r="AH357" s="1" t="str">
        <f t="shared" ca="1" si="163"/>
        <v>ON</v>
      </c>
      <c r="AI357" s="1" t="str">
        <f t="shared" ca="1" si="164"/>
        <v>ON</v>
      </c>
      <c r="AJ357" s="1" t="str">
        <f t="shared" ca="1" si="165"/>
        <v>ON</v>
      </c>
      <c r="AK357" s="1" t="str">
        <f t="shared" ca="1" si="166"/>
        <v>ON</v>
      </c>
      <c r="AL357" s="1"/>
      <c r="AM357" s="20" t="str">
        <f t="shared" si="167"/>
        <v>ON</v>
      </c>
      <c r="AN357" s="20" t="str">
        <f t="shared" si="167"/>
        <v>ON</v>
      </c>
      <c r="AO357" s="20" t="str">
        <f t="shared" si="168"/>
        <v>ON</v>
      </c>
    </row>
    <row r="358" spans="1:41">
      <c r="A358" t="str">
        <f t="shared" ca="1" si="142"/>
        <v>Lagos</v>
      </c>
      <c r="B358" t="str">
        <f t="shared" ca="1" si="143"/>
        <v>D</v>
      </c>
      <c r="C358" t="str">
        <f t="shared" ca="1" si="144"/>
        <v>A1</v>
      </c>
      <c r="D358" t="s">
        <v>7</v>
      </c>
      <c r="E358">
        <f t="shared" ca="1" si="145"/>
        <v>25</v>
      </c>
      <c r="F358">
        <f t="shared" ca="1" si="146"/>
        <v>2</v>
      </c>
      <c r="G358" t="str">
        <v>B</v>
      </c>
      <c r="H358" t="str">
        <v>B</v>
      </c>
      <c r="I358" t="str">
        <f ca="1">IF($A358="","",IF(COUNTA($R$2:$W$2)=6,"WK "&amp;_xlfn.ISOWEEKNUM($R$2)))</f>
        <v>WK 19</v>
      </c>
      <c r="J358" t="str">
        <f ca="1">IF($A358="","",IF(COUNTA($AF$2:$AK$2)=6,"WK "&amp;_xlfn.ISOWEEKNUM($AF$2)))</f>
        <v>WK 21</v>
      </c>
      <c r="K358" s="20" t="str">
        <f t="shared" ref="K358:L389" ca="1" si="169">IF($A358="","",IF(COUNTA($K$2:$AO$2)-4,IF(OR(K$4="Mon",K$4="Tue"),$E$1,$D$1)))</f>
        <v>ON</v>
      </c>
      <c r="L358" s="20" t="str">
        <f t="shared" ca="1" si="169"/>
        <v>ON</v>
      </c>
      <c r="M358" s="1" t="str">
        <f t="shared" ca="1" si="148"/>
        <v>ON</v>
      </c>
      <c r="N358" s="1" t="str">
        <f t="shared" ca="1" si="149"/>
        <v>ON</v>
      </c>
      <c r="O358" s="1" t="str">
        <f t="shared" ca="1" si="150"/>
        <v>ON</v>
      </c>
      <c r="P358" s="1" t="str">
        <f t="shared" ca="1" si="151"/>
        <v>ON</v>
      </c>
      <c r="Q358" s="1"/>
      <c r="R358" s="20" t="str">
        <f t="shared" ref="R358:S389" ca="1" si="170">IF($A358="","",IF(COUNTA($K$2:$AO$2)-4,IF(OR(R$4="Mon",R$4="Tue"),$E$1,$D$1)))</f>
        <v>ON</v>
      </c>
      <c r="S358" s="20" t="str">
        <f t="shared" ca="1" si="170"/>
        <v>ON</v>
      </c>
      <c r="T358" s="1" t="str">
        <f t="shared" ca="1" si="153"/>
        <v>ON</v>
      </c>
      <c r="U358" s="1" t="str">
        <f t="shared" ca="1" si="154"/>
        <v>OFF</v>
      </c>
      <c r="V358" s="1" t="str">
        <f t="shared" ca="1" si="155"/>
        <v>ON</v>
      </c>
      <c r="W358" s="1" t="str">
        <f t="shared" ca="1" si="156"/>
        <v>ON</v>
      </c>
      <c r="X358" s="1"/>
      <c r="Y358" s="20" t="str">
        <f t="shared" ref="Y358:Z389" ca="1" si="171">IF($A358="","",IF(COUNTA($K$2:$AO$2)-4,IF(OR(Y$4="Mon",Y$4="Tue"),$E$1,$D$1)))</f>
        <v>ON</v>
      </c>
      <c r="Z358" s="20" t="str">
        <f t="shared" ca="1" si="171"/>
        <v>ON</v>
      </c>
      <c r="AA358" s="1" t="str">
        <f t="shared" ca="1" si="158"/>
        <v>ON</v>
      </c>
      <c r="AB358" s="1" t="str">
        <f t="shared" ca="1" si="159"/>
        <v>ON</v>
      </c>
      <c r="AC358" s="1" t="str">
        <f t="shared" ca="1" si="160"/>
        <v>ON</v>
      </c>
      <c r="AD358" s="1" t="str">
        <f t="shared" ca="1" si="161"/>
        <v>ON</v>
      </c>
      <c r="AE358" s="1"/>
      <c r="AF358" s="20" t="str">
        <f t="shared" ref="AF358:AG389" ca="1" si="172">IF($A358="","",IF(COUNTA($K$2:$AO$2)-4,IF(OR(AF$4="Mon",AF$4="Tue"),$E$1,$D$1)))</f>
        <v>ON</v>
      </c>
      <c r="AG358" s="20" t="str">
        <f t="shared" ca="1" si="172"/>
        <v>ON</v>
      </c>
      <c r="AH358" s="1" t="str">
        <f t="shared" ca="1" si="163"/>
        <v>ON</v>
      </c>
      <c r="AI358" s="1" t="str">
        <f t="shared" ca="1" si="164"/>
        <v>OFF</v>
      </c>
      <c r="AJ358" s="1" t="str">
        <f t="shared" ca="1" si="165"/>
        <v>ON</v>
      </c>
      <c r="AK358" s="1" t="str">
        <f t="shared" ca="1" si="166"/>
        <v>ON</v>
      </c>
      <c r="AL358" s="1"/>
      <c r="AM358" s="20" t="str">
        <f t="shared" ref="AM358:AN389" si="173">IF(COUNTA($K$2:$AO$2)-4,IF(OR(AM$4="Mon",AM$4="Tue"),$E$1,$D$1))</f>
        <v>ON</v>
      </c>
      <c r="AN358" s="20" t="str">
        <f t="shared" si="173"/>
        <v>ON</v>
      </c>
      <c r="AO358" s="20" t="str">
        <f t="shared" si="168"/>
        <v>ON</v>
      </c>
    </row>
    <row r="359" spans="1:41">
      <c r="A359" t="str">
        <f t="shared" ca="1" si="142"/>
        <v>Ogun</v>
      </c>
      <c r="B359" t="str">
        <f t="shared" ca="1" si="143"/>
        <v>D</v>
      </c>
      <c r="C359" t="str">
        <f t="shared" ca="1" si="144"/>
        <v>D1</v>
      </c>
      <c r="D359" t="s">
        <v>7</v>
      </c>
      <c r="E359">
        <f t="shared" ca="1" si="145"/>
        <v>25</v>
      </c>
      <c r="F359">
        <f t="shared" ca="1" si="146"/>
        <v>2</v>
      </c>
      <c r="G359" t="str">
        <v>C</v>
      </c>
      <c r="H359" t="str">
        <v>C</v>
      </c>
      <c r="I359" t="str">
        <f ca="1">IF($A359="","",IF(COUNTA($K$2:$P$2)=6,"WK "&amp;_xlfn.ISOWEEKNUM($K$2)))</f>
        <v>WK 18</v>
      </c>
      <c r="J359" t="str">
        <f ca="1">IF($A359="","",IF(COUNTA($Y$2:$AD$2)=6,"WK "&amp;_xlfn.ISOWEEKNUM($Y$2)))</f>
        <v>WK 20</v>
      </c>
      <c r="K359" s="20" t="str">
        <f t="shared" ca="1" si="169"/>
        <v>ON</v>
      </c>
      <c r="L359" s="20" t="str">
        <f t="shared" ca="1" si="169"/>
        <v>ON</v>
      </c>
      <c r="M359" s="1" t="str">
        <f t="shared" ca="1" si="148"/>
        <v>ON</v>
      </c>
      <c r="N359" s="1" t="str">
        <f t="shared" ca="1" si="149"/>
        <v>ON</v>
      </c>
      <c r="O359" s="1" t="str">
        <f t="shared" ca="1" si="150"/>
        <v>OFF</v>
      </c>
      <c r="P359" s="1" t="str">
        <f t="shared" ca="1" si="151"/>
        <v>ON</v>
      </c>
      <c r="Q359" s="1"/>
      <c r="R359" s="20" t="str">
        <f t="shared" ca="1" si="170"/>
        <v>ON</v>
      </c>
      <c r="S359" s="20" t="str">
        <f t="shared" ca="1" si="170"/>
        <v>ON</v>
      </c>
      <c r="T359" s="1" t="str">
        <f t="shared" ca="1" si="153"/>
        <v>ON</v>
      </c>
      <c r="U359" s="1" t="str">
        <f t="shared" ca="1" si="154"/>
        <v>ON</v>
      </c>
      <c r="V359" s="1" t="str">
        <f t="shared" ca="1" si="155"/>
        <v>ON</v>
      </c>
      <c r="W359" s="1" t="str">
        <f t="shared" ca="1" si="156"/>
        <v>ON</v>
      </c>
      <c r="X359" s="1"/>
      <c r="Y359" s="20" t="str">
        <f t="shared" ca="1" si="171"/>
        <v>ON</v>
      </c>
      <c r="Z359" s="20" t="str">
        <f t="shared" ca="1" si="171"/>
        <v>ON</v>
      </c>
      <c r="AA359" s="1" t="str">
        <f t="shared" ca="1" si="158"/>
        <v>ON</v>
      </c>
      <c r="AB359" s="1" t="str">
        <f t="shared" ca="1" si="159"/>
        <v>ON</v>
      </c>
      <c r="AC359" s="1" t="str">
        <f t="shared" ca="1" si="160"/>
        <v>OFF</v>
      </c>
      <c r="AD359" s="1" t="str">
        <f t="shared" ca="1" si="161"/>
        <v>ON</v>
      </c>
      <c r="AE359" s="1"/>
      <c r="AF359" s="20" t="str">
        <f t="shared" ca="1" si="172"/>
        <v>ON</v>
      </c>
      <c r="AG359" s="20" t="str">
        <f t="shared" ca="1" si="172"/>
        <v>ON</v>
      </c>
      <c r="AH359" s="1" t="str">
        <f t="shared" ca="1" si="163"/>
        <v>ON</v>
      </c>
      <c r="AI359" s="1" t="str">
        <f t="shared" ca="1" si="164"/>
        <v>ON</v>
      </c>
      <c r="AJ359" s="1" t="str">
        <f t="shared" ca="1" si="165"/>
        <v>ON</v>
      </c>
      <c r="AK359" s="1" t="str">
        <f t="shared" ca="1" si="166"/>
        <v>ON</v>
      </c>
      <c r="AL359" s="1"/>
      <c r="AM359" s="20" t="str">
        <f t="shared" si="173"/>
        <v>ON</v>
      </c>
      <c r="AN359" s="20" t="str">
        <f t="shared" si="173"/>
        <v>ON</v>
      </c>
      <c r="AO359" s="20" t="str">
        <f t="shared" si="168"/>
        <v>ON</v>
      </c>
    </row>
    <row r="360" spans="1:41">
      <c r="A360" t="str">
        <f t="shared" ca="1" si="142"/>
        <v>Ogun</v>
      </c>
      <c r="B360" t="str">
        <f t="shared" ca="1" si="143"/>
        <v>C</v>
      </c>
      <c r="C360" t="str">
        <f t="shared" ca="1" si="144"/>
        <v>B1</v>
      </c>
      <c r="D360" t="s">
        <v>4</v>
      </c>
      <c r="E360">
        <f t="shared" ca="1" si="145"/>
        <v>25</v>
      </c>
      <c r="F360">
        <f t="shared" ca="1" si="146"/>
        <v>2</v>
      </c>
      <c r="G360" t="str">
        <v>D</v>
      </c>
      <c r="H360" t="str">
        <v>D</v>
      </c>
      <c r="I360" t="str">
        <f ca="1">IF($A360="","",IF(COUNTA($R$2:$W$2)=6,"WK "&amp;_xlfn.ISOWEEKNUM($R$2)))</f>
        <v>WK 19</v>
      </c>
      <c r="J360" t="str">
        <f ca="1">IF($A360="","",IF(COUNTA($AF$2:$AK$2)=6,"WK "&amp;_xlfn.ISOWEEKNUM($AF$2)))</f>
        <v>WK 21</v>
      </c>
      <c r="K360" s="20" t="str">
        <f t="shared" ca="1" si="169"/>
        <v>ON</v>
      </c>
      <c r="L360" s="20" t="str">
        <f t="shared" ca="1" si="169"/>
        <v>ON</v>
      </c>
      <c r="M360" s="1" t="str">
        <f t="shared" ca="1" si="148"/>
        <v>ON</v>
      </c>
      <c r="N360" s="1" t="str">
        <f t="shared" ca="1" si="149"/>
        <v>ON</v>
      </c>
      <c r="O360" s="1" t="str">
        <f t="shared" ca="1" si="150"/>
        <v>ON</v>
      </c>
      <c r="P360" s="1" t="str">
        <f t="shared" ca="1" si="151"/>
        <v>ON</v>
      </c>
      <c r="Q360" s="1"/>
      <c r="R360" s="20" t="str">
        <f t="shared" ca="1" si="170"/>
        <v>ON</v>
      </c>
      <c r="S360" s="20" t="str">
        <f t="shared" ca="1" si="170"/>
        <v>ON</v>
      </c>
      <c r="T360" s="1" t="str">
        <f t="shared" ca="1" si="153"/>
        <v>ON</v>
      </c>
      <c r="U360" s="1" t="str">
        <f t="shared" ca="1" si="154"/>
        <v>ON</v>
      </c>
      <c r="V360" s="1" t="str">
        <f t="shared" ca="1" si="155"/>
        <v>ON</v>
      </c>
      <c r="W360" s="1" t="str">
        <f t="shared" ca="1" si="156"/>
        <v>OFF</v>
      </c>
      <c r="X360" s="1"/>
      <c r="Y360" s="20" t="str">
        <f t="shared" ca="1" si="171"/>
        <v>ON</v>
      </c>
      <c r="Z360" s="20" t="str">
        <f t="shared" ca="1" si="171"/>
        <v>ON</v>
      </c>
      <c r="AA360" s="1" t="str">
        <f t="shared" ca="1" si="158"/>
        <v>ON</v>
      </c>
      <c r="AB360" s="1" t="str">
        <f t="shared" ca="1" si="159"/>
        <v>ON</v>
      </c>
      <c r="AC360" s="1" t="str">
        <f t="shared" ca="1" si="160"/>
        <v>ON</v>
      </c>
      <c r="AD360" s="1" t="str">
        <f t="shared" ca="1" si="161"/>
        <v>ON</v>
      </c>
      <c r="AE360" s="1"/>
      <c r="AF360" s="20" t="str">
        <f t="shared" ca="1" si="172"/>
        <v>ON</v>
      </c>
      <c r="AG360" s="20" t="str">
        <f t="shared" ca="1" si="172"/>
        <v>ON</v>
      </c>
      <c r="AH360" s="1" t="str">
        <f t="shared" ca="1" si="163"/>
        <v>ON</v>
      </c>
      <c r="AI360" s="1" t="str">
        <f t="shared" ca="1" si="164"/>
        <v>ON</v>
      </c>
      <c r="AJ360" s="1" t="str">
        <f t="shared" ca="1" si="165"/>
        <v>ON</v>
      </c>
      <c r="AK360" s="1" t="str">
        <f t="shared" ca="1" si="166"/>
        <v>OFF</v>
      </c>
      <c r="AL360" s="1"/>
      <c r="AM360" s="20" t="str">
        <f t="shared" si="173"/>
        <v>ON</v>
      </c>
      <c r="AN360" s="20" t="str">
        <f t="shared" si="173"/>
        <v>ON</v>
      </c>
      <c r="AO360" s="20" t="str">
        <f t="shared" si="168"/>
        <v>ON</v>
      </c>
    </row>
    <row r="361" spans="1:41">
      <c r="A361" t="str">
        <f t="shared" ca="1" si="142"/>
        <v>Lagos</v>
      </c>
      <c r="B361" t="str">
        <f t="shared" ca="1" si="143"/>
        <v>C</v>
      </c>
      <c r="C361" t="str">
        <f t="shared" ca="1" si="144"/>
        <v>B1</v>
      </c>
      <c r="D361" t="s">
        <v>5</v>
      </c>
      <c r="E361">
        <f t="shared" ca="1" si="145"/>
        <v>25</v>
      </c>
      <c r="F361">
        <f t="shared" ca="1" si="146"/>
        <v>2</v>
      </c>
      <c r="G361" t="str" cm="1">
        <f t="array" ref="G361:G364">IF($G$5:$G$8={"A";"B";"C";"D"},{"D";"C";"B";"A"},{"A";"B";"C";"D"})</f>
        <v>D</v>
      </c>
      <c r="H361" t="str" cm="1">
        <f t="array" ref="H361:H364">IF($H$5:$H$8={"A";"B";"C";"D"},{"D";"C";"B";"A"},{"A";"B";"C";"D"})</f>
        <v>D</v>
      </c>
      <c r="I361" t="str">
        <f ca="1">IF($A361="","",IF(COUNTA($K$2:$P$2)=6,"WK "&amp;_xlfn.ISOWEEKNUM($K$2)))</f>
        <v>WK 18</v>
      </c>
      <c r="J361" t="str">
        <f ca="1">IF($A361="","",IF(COUNTA($Y$2:$AD$2)=6,"WK "&amp;_xlfn.ISOWEEKNUM($Y$2)))</f>
        <v>WK 20</v>
      </c>
      <c r="K361" s="20" t="str">
        <f t="shared" ca="1" si="169"/>
        <v>ON</v>
      </c>
      <c r="L361" s="20" t="str">
        <f t="shared" ca="1" si="169"/>
        <v>ON</v>
      </c>
      <c r="M361" s="1" t="str">
        <f t="shared" ca="1" si="148"/>
        <v>ON</v>
      </c>
      <c r="N361" s="1" t="str">
        <f t="shared" ca="1" si="149"/>
        <v>ON</v>
      </c>
      <c r="O361" s="1" t="str">
        <f t="shared" ca="1" si="150"/>
        <v>ON</v>
      </c>
      <c r="P361" s="1" t="str">
        <f t="shared" ca="1" si="151"/>
        <v>OFF</v>
      </c>
      <c r="Q361" s="1"/>
      <c r="R361" s="20" t="str">
        <f t="shared" ca="1" si="170"/>
        <v>ON</v>
      </c>
      <c r="S361" s="20" t="str">
        <f t="shared" ca="1" si="170"/>
        <v>ON</v>
      </c>
      <c r="T361" s="1" t="str">
        <f t="shared" ca="1" si="153"/>
        <v>ON</v>
      </c>
      <c r="U361" s="1" t="str">
        <f t="shared" ca="1" si="154"/>
        <v>ON</v>
      </c>
      <c r="V361" s="1" t="str">
        <f t="shared" ca="1" si="155"/>
        <v>ON</v>
      </c>
      <c r="W361" s="1" t="str">
        <f t="shared" ca="1" si="156"/>
        <v>ON</v>
      </c>
      <c r="X361" s="1"/>
      <c r="Y361" s="20" t="str">
        <f t="shared" ca="1" si="171"/>
        <v>ON</v>
      </c>
      <c r="Z361" s="20" t="str">
        <f t="shared" ca="1" si="171"/>
        <v>ON</v>
      </c>
      <c r="AA361" s="1" t="str">
        <f t="shared" ca="1" si="158"/>
        <v>ON</v>
      </c>
      <c r="AB361" s="1" t="str">
        <f t="shared" ca="1" si="159"/>
        <v>ON</v>
      </c>
      <c r="AC361" s="1" t="str">
        <f t="shared" ca="1" si="160"/>
        <v>ON</v>
      </c>
      <c r="AD361" s="1" t="str">
        <f t="shared" ca="1" si="161"/>
        <v>OFF</v>
      </c>
      <c r="AE361" s="1"/>
      <c r="AF361" s="20" t="str">
        <f t="shared" ca="1" si="172"/>
        <v>ON</v>
      </c>
      <c r="AG361" s="20" t="str">
        <f t="shared" ca="1" si="172"/>
        <v>ON</v>
      </c>
      <c r="AH361" s="1" t="str">
        <f t="shared" ca="1" si="163"/>
        <v>ON</v>
      </c>
      <c r="AI361" s="1" t="str">
        <f t="shared" ca="1" si="164"/>
        <v>ON</v>
      </c>
      <c r="AJ361" s="1" t="str">
        <f t="shared" ca="1" si="165"/>
        <v>ON</v>
      </c>
      <c r="AK361" s="1" t="str">
        <f t="shared" ca="1" si="166"/>
        <v>ON</v>
      </c>
      <c r="AL361" s="1"/>
      <c r="AM361" s="20" t="str">
        <f t="shared" si="173"/>
        <v>ON</v>
      </c>
      <c r="AN361" s="20" t="str">
        <f t="shared" si="173"/>
        <v>ON</v>
      </c>
      <c r="AO361" s="20" t="str">
        <f t="shared" si="168"/>
        <v>ON</v>
      </c>
    </row>
    <row r="362" spans="1:41">
      <c r="A362" t="str">
        <f t="shared" ca="1" si="142"/>
        <v>Oyo</v>
      </c>
      <c r="B362" t="str">
        <f t="shared" ca="1" si="143"/>
        <v>B</v>
      </c>
      <c r="C362" t="str">
        <f t="shared" ca="1" si="144"/>
        <v>D1</v>
      </c>
      <c r="D362" t="s">
        <v>5</v>
      </c>
      <c r="E362">
        <f t="shared" ca="1" si="145"/>
        <v>25</v>
      </c>
      <c r="F362">
        <f t="shared" ca="1" si="146"/>
        <v>2</v>
      </c>
      <c r="G362" t="str">
        <v>C</v>
      </c>
      <c r="H362" t="str">
        <v>C</v>
      </c>
      <c r="I362" t="str">
        <f ca="1">IF($A362="","",IF(COUNTA($R$2:$W$2)=6,"WK "&amp;_xlfn.ISOWEEKNUM($R$2)))</f>
        <v>WK 19</v>
      </c>
      <c r="J362" t="str">
        <f ca="1">IF($A362="","",IF(COUNTA($AF$2:$AK$2)=6,"WK "&amp;_xlfn.ISOWEEKNUM($AF$2)))</f>
        <v>WK 21</v>
      </c>
      <c r="K362" s="20" t="str">
        <f t="shared" ca="1" si="169"/>
        <v>ON</v>
      </c>
      <c r="L362" s="20" t="str">
        <f t="shared" ca="1" si="169"/>
        <v>ON</v>
      </c>
      <c r="M362" s="1" t="str">
        <f t="shared" ca="1" si="148"/>
        <v>ON</v>
      </c>
      <c r="N362" s="1" t="str">
        <f t="shared" ca="1" si="149"/>
        <v>ON</v>
      </c>
      <c r="O362" s="1" t="str">
        <f t="shared" ca="1" si="150"/>
        <v>ON</v>
      </c>
      <c r="P362" s="1" t="str">
        <f t="shared" ca="1" si="151"/>
        <v>ON</v>
      </c>
      <c r="Q362" s="1"/>
      <c r="R362" s="20" t="str">
        <f t="shared" ca="1" si="170"/>
        <v>ON</v>
      </c>
      <c r="S362" s="20" t="str">
        <f t="shared" ca="1" si="170"/>
        <v>ON</v>
      </c>
      <c r="T362" s="1" t="str">
        <f t="shared" ca="1" si="153"/>
        <v>ON</v>
      </c>
      <c r="U362" s="1" t="str">
        <f t="shared" ca="1" si="154"/>
        <v>ON</v>
      </c>
      <c r="V362" s="1" t="str">
        <f t="shared" ca="1" si="155"/>
        <v>OFF</v>
      </c>
      <c r="W362" s="1" t="str">
        <f t="shared" ca="1" si="156"/>
        <v>ON</v>
      </c>
      <c r="X362" s="1"/>
      <c r="Y362" s="20" t="str">
        <f t="shared" ca="1" si="171"/>
        <v>ON</v>
      </c>
      <c r="Z362" s="20" t="str">
        <f t="shared" ca="1" si="171"/>
        <v>ON</v>
      </c>
      <c r="AA362" s="1" t="str">
        <f t="shared" ca="1" si="158"/>
        <v>ON</v>
      </c>
      <c r="AB362" s="1" t="str">
        <f t="shared" ca="1" si="159"/>
        <v>ON</v>
      </c>
      <c r="AC362" s="1" t="str">
        <f t="shared" ca="1" si="160"/>
        <v>ON</v>
      </c>
      <c r="AD362" s="1" t="str">
        <f t="shared" ca="1" si="161"/>
        <v>ON</v>
      </c>
      <c r="AE362" s="1"/>
      <c r="AF362" s="20" t="str">
        <f t="shared" ca="1" si="172"/>
        <v>ON</v>
      </c>
      <c r="AG362" s="20" t="str">
        <f t="shared" ca="1" si="172"/>
        <v>ON</v>
      </c>
      <c r="AH362" s="1" t="str">
        <f t="shared" ca="1" si="163"/>
        <v>ON</v>
      </c>
      <c r="AI362" s="1" t="str">
        <f t="shared" ca="1" si="164"/>
        <v>ON</v>
      </c>
      <c r="AJ362" s="1" t="str">
        <f t="shared" ca="1" si="165"/>
        <v>OFF</v>
      </c>
      <c r="AK362" s="1" t="str">
        <f t="shared" ca="1" si="166"/>
        <v>ON</v>
      </c>
      <c r="AL362" s="1"/>
      <c r="AM362" s="20" t="str">
        <f t="shared" si="173"/>
        <v>ON</v>
      </c>
      <c r="AN362" s="20" t="str">
        <f t="shared" si="173"/>
        <v>ON</v>
      </c>
      <c r="AO362" s="20" t="str">
        <f t="shared" si="168"/>
        <v>ON</v>
      </c>
    </row>
    <row r="363" spans="1:41">
      <c r="A363" t="str">
        <f t="shared" ca="1" si="142"/>
        <v>Ondo</v>
      </c>
      <c r="B363" t="str">
        <f t="shared" ca="1" si="143"/>
        <v>C</v>
      </c>
      <c r="C363" t="str">
        <f t="shared" ca="1" si="144"/>
        <v>D1</v>
      </c>
      <c r="D363" t="s">
        <v>5</v>
      </c>
      <c r="E363">
        <f t="shared" ca="1" si="145"/>
        <v>25</v>
      </c>
      <c r="F363">
        <f t="shared" ca="1" si="146"/>
        <v>2</v>
      </c>
      <c r="G363" t="str">
        <v>B</v>
      </c>
      <c r="H363" t="str">
        <v>B</v>
      </c>
      <c r="I363" t="str">
        <f ca="1">IF($A363="","",IF(COUNTA($K$2:$P$2)=6,"WK "&amp;_xlfn.ISOWEEKNUM($K$2)))</f>
        <v>WK 18</v>
      </c>
      <c r="J363" t="str">
        <f ca="1">IF($A363="","",IF(COUNTA($Y$2:$AD$2)=6,"WK "&amp;_xlfn.ISOWEEKNUM($Y$2)))</f>
        <v>WK 20</v>
      </c>
      <c r="K363" s="20" t="str">
        <f t="shared" ca="1" si="169"/>
        <v>ON</v>
      </c>
      <c r="L363" s="20" t="str">
        <f t="shared" ca="1" si="169"/>
        <v>ON</v>
      </c>
      <c r="M363" s="1" t="str">
        <f t="shared" ca="1" si="148"/>
        <v>ON</v>
      </c>
      <c r="N363" s="1" t="str">
        <f t="shared" ca="1" si="149"/>
        <v>OFF</v>
      </c>
      <c r="O363" s="1" t="str">
        <f t="shared" ca="1" si="150"/>
        <v>ON</v>
      </c>
      <c r="P363" s="1" t="str">
        <f t="shared" ca="1" si="151"/>
        <v>ON</v>
      </c>
      <c r="Q363" s="1"/>
      <c r="R363" s="20" t="str">
        <f t="shared" ca="1" si="170"/>
        <v>ON</v>
      </c>
      <c r="S363" s="20" t="str">
        <f t="shared" ca="1" si="170"/>
        <v>ON</v>
      </c>
      <c r="T363" s="1" t="str">
        <f t="shared" ca="1" si="153"/>
        <v>ON</v>
      </c>
      <c r="U363" s="1" t="str">
        <f t="shared" ca="1" si="154"/>
        <v>ON</v>
      </c>
      <c r="V363" s="1" t="str">
        <f t="shared" ca="1" si="155"/>
        <v>ON</v>
      </c>
      <c r="W363" s="1" t="str">
        <f t="shared" ca="1" si="156"/>
        <v>ON</v>
      </c>
      <c r="X363" s="1"/>
      <c r="Y363" s="20" t="str">
        <f t="shared" ca="1" si="171"/>
        <v>ON</v>
      </c>
      <c r="Z363" s="20" t="str">
        <f t="shared" ca="1" si="171"/>
        <v>ON</v>
      </c>
      <c r="AA363" s="1" t="str">
        <f t="shared" ca="1" si="158"/>
        <v>ON</v>
      </c>
      <c r="AB363" s="1" t="str">
        <f t="shared" ca="1" si="159"/>
        <v>OFF</v>
      </c>
      <c r="AC363" s="1" t="str">
        <f t="shared" ca="1" si="160"/>
        <v>ON</v>
      </c>
      <c r="AD363" s="1" t="str">
        <f t="shared" ca="1" si="161"/>
        <v>ON</v>
      </c>
      <c r="AE363" s="1"/>
      <c r="AF363" s="20" t="str">
        <f t="shared" ca="1" si="172"/>
        <v>ON</v>
      </c>
      <c r="AG363" s="20" t="str">
        <f t="shared" ca="1" si="172"/>
        <v>ON</v>
      </c>
      <c r="AH363" s="1" t="str">
        <f t="shared" ca="1" si="163"/>
        <v>ON</v>
      </c>
      <c r="AI363" s="1" t="str">
        <f t="shared" ca="1" si="164"/>
        <v>ON</v>
      </c>
      <c r="AJ363" s="1" t="str">
        <f t="shared" ca="1" si="165"/>
        <v>ON</v>
      </c>
      <c r="AK363" s="1" t="str">
        <f t="shared" ca="1" si="166"/>
        <v>ON</v>
      </c>
      <c r="AL363" s="1"/>
      <c r="AM363" s="20" t="str">
        <f t="shared" si="173"/>
        <v>ON</v>
      </c>
      <c r="AN363" s="20" t="str">
        <f t="shared" si="173"/>
        <v>ON</v>
      </c>
      <c r="AO363" s="20" t="str">
        <f t="shared" si="168"/>
        <v>ON</v>
      </c>
    </row>
    <row r="364" spans="1:41">
      <c r="A364" t="str">
        <f t="shared" ca="1" si="142"/>
        <v>Ekiti</v>
      </c>
      <c r="B364" t="str">
        <f t="shared" ca="1" si="143"/>
        <v>C</v>
      </c>
      <c r="C364" t="str">
        <f t="shared" ca="1" si="144"/>
        <v>C1</v>
      </c>
      <c r="D364" t="s">
        <v>8</v>
      </c>
      <c r="E364">
        <f t="shared" ca="1" si="145"/>
        <v>25</v>
      </c>
      <c r="F364">
        <f t="shared" ca="1" si="146"/>
        <v>2</v>
      </c>
      <c r="G364" t="str">
        <v>A</v>
      </c>
      <c r="H364" t="str">
        <v>A</v>
      </c>
      <c r="I364" t="str">
        <f ca="1">IF($A364="","",IF(COUNTA($R$2:$W$2)=6,"WK "&amp;_xlfn.ISOWEEKNUM($R$2)))</f>
        <v>WK 19</v>
      </c>
      <c r="J364" t="str">
        <f ca="1">IF($A364="","",IF(COUNTA($AF$2:$AK$2)=6,"WK "&amp;_xlfn.ISOWEEKNUM($AF$2)))</f>
        <v>WK 21</v>
      </c>
      <c r="K364" s="20" t="str">
        <f t="shared" ca="1" si="169"/>
        <v>ON</v>
      </c>
      <c r="L364" s="20" t="str">
        <f t="shared" ca="1" si="169"/>
        <v>ON</v>
      </c>
      <c r="M364" s="1" t="str">
        <f t="shared" ca="1" si="148"/>
        <v>ON</v>
      </c>
      <c r="N364" s="1" t="str">
        <f t="shared" ca="1" si="149"/>
        <v>ON</v>
      </c>
      <c r="O364" s="1" t="str">
        <f t="shared" ca="1" si="150"/>
        <v>ON</v>
      </c>
      <c r="P364" s="1" t="str">
        <f t="shared" ca="1" si="151"/>
        <v>ON</v>
      </c>
      <c r="Q364" s="1"/>
      <c r="R364" s="20" t="str">
        <f t="shared" ca="1" si="170"/>
        <v>ON</v>
      </c>
      <c r="S364" s="20" t="str">
        <f t="shared" ca="1" si="170"/>
        <v>ON</v>
      </c>
      <c r="T364" s="1" t="str">
        <f t="shared" ca="1" si="153"/>
        <v>OFF</v>
      </c>
      <c r="U364" s="1" t="str">
        <f t="shared" ca="1" si="154"/>
        <v>ON</v>
      </c>
      <c r="V364" s="1" t="str">
        <f t="shared" ca="1" si="155"/>
        <v>ON</v>
      </c>
      <c r="W364" s="1" t="str">
        <f t="shared" ca="1" si="156"/>
        <v>ON</v>
      </c>
      <c r="X364" s="1"/>
      <c r="Y364" s="20" t="str">
        <f t="shared" ca="1" si="171"/>
        <v>ON</v>
      </c>
      <c r="Z364" s="20" t="str">
        <f t="shared" ca="1" si="171"/>
        <v>ON</v>
      </c>
      <c r="AA364" s="1" t="str">
        <f t="shared" ca="1" si="158"/>
        <v>ON</v>
      </c>
      <c r="AB364" s="1" t="str">
        <f t="shared" ca="1" si="159"/>
        <v>ON</v>
      </c>
      <c r="AC364" s="1" t="str">
        <f t="shared" ca="1" si="160"/>
        <v>ON</v>
      </c>
      <c r="AD364" s="1" t="str">
        <f t="shared" ca="1" si="161"/>
        <v>ON</v>
      </c>
      <c r="AE364" s="1"/>
      <c r="AF364" s="20" t="str">
        <f t="shared" ca="1" si="172"/>
        <v>ON</v>
      </c>
      <c r="AG364" s="20" t="str">
        <f t="shared" ca="1" si="172"/>
        <v>ON</v>
      </c>
      <c r="AH364" s="1" t="str">
        <f t="shared" ca="1" si="163"/>
        <v>OFF</v>
      </c>
      <c r="AI364" s="1" t="str">
        <f t="shared" ca="1" si="164"/>
        <v>ON</v>
      </c>
      <c r="AJ364" s="1" t="str">
        <f t="shared" ca="1" si="165"/>
        <v>ON</v>
      </c>
      <c r="AK364" s="1" t="str">
        <f t="shared" ca="1" si="166"/>
        <v>ON</v>
      </c>
      <c r="AL364" s="1"/>
      <c r="AM364" s="20" t="str">
        <f t="shared" si="173"/>
        <v>ON</v>
      </c>
      <c r="AN364" s="20" t="str">
        <f t="shared" si="173"/>
        <v>ON</v>
      </c>
      <c r="AO364" s="20" t="str">
        <f t="shared" si="168"/>
        <v>ON</v>
      </c>
    </row>
    <row r="365" spans="1:41">
      <c r="A365" t="str">
        <f t="shared" ca="1" si="142"/>
        <v>Ekiti</v>
      </c>
      <c r="B365" t="str">
        <f t="shared" ca="1" si="143"/>
        <v>E</v>
      </c>
      <c r="C365" t="str">
        <f t="shared" ca="1" si="144"/>
        <v>B1</v>
      </c>
      <c r="D365" t="s">
        <v>7</v>
      </c>
      <c r="E365">
        <f t="shared" ca="1" si="145"/>
        <v>25</v>
      </c>
      <c r="F365">
        <f t="shared" ca="1" si="146"/>
        <v>2</v>
      </c>
      <c r="G365" t="str" cm="1">
        <f t="array" ref="G365:G368">Groups!$B$2:$B$5</f>
        <v>A</v>
      </c>
      <c r="H365" t="str" cm="1">
        <f t="array" ref="H365:H368">Groups!$B$2:$B$5</f>
        <v>A</v>
      </c>
      <c r="I365" t="str">
        <f ca="1">IF($A365="","",IF(COUNTA($K$2:$P$2)=6,"WK "&amp;_xlfn.ISOWEEKNUM($K$2)))</f>
        <v>WK 18</v>
      </c>
      <c r="J365" t="str">
        <f ca="1">IF($A365="","",IF(COUNTA($Y$2:$AD$2)=6,"WK "&amp;_xlfn.ISOWEEKNUM($Y$2)))</f>
        <v>WK 20</v>
      </c>
      <c r="K365" s="20" t="str">
        <f t="shared" ca="1" si="169"/>
        <v>ON</v>
      </c>
      <c r="L365" s="20" t="str">
        <f t="shared" ca="1" si="169"/>
        <v>ON</v>
      </c>
      <c r="M365" s="1" t="str">
        <f t="shared" ca="1" si="148"/>
        <v>OFF</v>
      </c>
      <c r="N365" s="1" t="str">
        <f t="shared" ca="1" si="149"/>
        <v>ON</v>
      </c>
      <c r="O365" s="1" t="str">
        <f t="shared" ca="1" si="150"/>
        <v>ON</v>
      </c>
      <c r="P365" s="1" t="str">
        <f t="shared" ca="1" si="151"/>
        <v>ON</v>
      </c>
      <c r="Q365" s="1"/>
      <c r="R365" s="20" t="str">
        <f t="shared" ca="1" si="170"/>
        <v>ON</v>
      </c>
      <c r="S365" s="20" t="str">
        <f t="shared" ca="1" si="170"/>
        <v>ON</v>
      </c>
      <c r="T365" s="1" t="str">
        <f t="shared" ca="1" si="153"/>
        <v>ON</v>
      </c>
      <c r="U365" s="1" t="str">
        <f t="shared" ca="1" si="154"/>
        <v>ON</v>
      </c>
      <c r="V365" s="1" t="str">
        <f t="shared" ca="1" si="155"/>
        <v>ON</v>
      </c>
      <c r="W365" s="1" t="str">
        <f t="shared" ca="1" si="156"/>
        <v>ON</v>
      </c>
      <c r="X365" s="1"/>
      <c r="Y365" s="20" t="str">
        <f t="shared" ca="1" si="171"/>
        <v>ON</v>
      </c>
      <c r="Z365" s="20" t="str">
        <f t="shared" ca="1" si="171"/>
        <v>ON</v>
      </c>
      <c r="AA365" s="1" t="str">
        <f t="shared" ca="1" si="158"/>
        <v>OFF</v>
      </c>
      <c r="AB365" s="1" t="str">
        <f t="shared" ca="1" si="159"/>
        <v>ON</v>
      </c>
      <c r="AC365" s="1" t="str">
        <f t="shared" ca="1" si="160"/>
        <v>ON</v>
      </c>
      <c r="AD365" s="1" t="str">
        <f t="shared" ca="1" si="161"/>
        <v>ON</v>
      </c>
      <c r="AE365" s="1"/>
      <c r="AF365" s="20" t="str">
        <f t="shared" ca="1" si="172"/>
        <v>ON</v>
      </c>
      <c r="AG365" s="20" t="str">
        <f t="shared" ca="1" si="172"/>
        <v>ON</v>
      </c>
      <c r="AH365" s="1" t="str">
        <f t="shared" ca="1" si="163"/>
        <v>ON</v>
      </c>
      <c r="AI365" s="1" t="str">
        <f t="shared" ca="1" si="164"/>
        <v>ON</v>
      </c>
      <c r="AJ365" s="1" t="str">
        <f t="shared" ca="1" si="165"/>
        <v>ON</v>
      </c>
      <c r="AK365" s="1" t="str">
        <f t="shared" ca="1" si="166"/>
        <v>ON</v>
      </c>
      <c r="AL365" s="1"/>
      <c r="AM365" s="20" t="str">
        <f t="shared" si="173"/>
        <v>ON</v>
      </c>
      <c r="AN365" s="20" t="str">
        <f t="shared" si="173"/>
        <v>ON</v>
      </c>
      <c r="AO365" s="20" t="str">
        <f t="shared" si="168"/>
        <v>ON</v>
      </c>
    </row>
    <row r="366" spans="1:41">
      <c r="A366" t="str">
        <f t="shared" ca="1" si="142"/>
        <v>Ekiti</v>
      </c>
      <c r="B366" t="str">
        <f t="shared" ca="1" si="143"/>
        <v>E</v>
      </c>
      <c r="C366" t="str">
        <f t="shared" ca="1" si="144"/>
        <v>C1</v>
      </c>
      <c r="D366" t="s">
        <v>4</v>
      </c>
      <c r="E366">
        <f t="shared" ca="1" si="145"/>
        <v>25</v>
      </c>
      <c r="F366">
        <f t="shared" ca="1" si="146"/>
        <v>2</v>
      </c>
      <c r="G366" t="str">
        <v>B</v>
      </c>
      <c r="H366" t="str">
        <v>B</v>
      </c>
      <c r="I366" t="str">
        <f ca="1">IF($A366="","",IF(COUNTA($R$2:$W$2)=6,"WK "&amp;_xlfn.ISOWEEKNUM($R$2)))</f>
        <v>WK 19</v>
      </c>
      <c r="J366" t="str">
        <f ca="1">IF($A366="","",IF(COUNTA($AF$2:$AK$2)=6,"WK "&amp;_xlfn.ISOWEEKNUM($AF$2)))</f>
        <v>WK 21</v>
      </c>
      <c r="K366" s="20" t="str">
        <f t="shared" ca="1" si="169"/>
        <v>ON</v>
      </c>
      <c r="L366" s="20" t="str">
        <f t="shared" ca="1" si="169"/>
        <v>ON</v>
      </c>
      <c r="M366" s="1" t="str">
        <f t="shared" ca="1" si="148"/>
        <v>ON</v>
      </c>
      <c r="N366" s="1" t="str">
        <f t="shared" ca="1" si="149"/>
        <v>ON</v>
      </c>
      <c r="O366" s="1" t="str">
        <f t="shared" ca="1" si="150"/>
        <v>ON</v>
      </c>
      <c r="P366" s="1" t="str">
        <f t="shared" ca="1" si="151"/>
        <v>ON</v>
      </c>
      <c r="Q366" s="1"/>
      <c r="R366" s="20" t="str">
        <f t="shared" ca="1" si="170"/>
        <v>ON</v>
      </c>
      <c r="S366" s="20" t="str">
        <f t="shared" ca="1" si="170"/>
        <v>ON</v>
      </c>
      <c r="T366" s="1" t="str">
        <f t="shared" ca="1" si="153"/>
        <v>ON</v>
      </c>
      <c r="U366" s="1" t="str">
        <f t="shared" ca="1" si="154"/>
        <v>OFF</v>
      </c>
      <c r="V366" s="1" t="str">
        <f t="shared" ca="1" si="155"/>
        <v>ON</v>
      </c>
      <c r="W366" s="1" t="str">
        <f t="shared" ca="1" si="156"/>
        <v>ON</v>
      </c>
      <c r="X366" s="1"/>
      <c r="Y366" s="20" t="str">
        <f t="shared" ca="1" si="171"/>
        <v>ON</v>
      </c>
      <c r="Z366" s="20" t="str">
        <f t="shared" ca="1" si="171"/>
        <v>ON</v>
      </c>
      <c r="AA366" s="1" t="str">
        <f t="shared" ca="1" si="158"/>
        <v>ON</v>
      </c>
      <c r="AB366" s="1" t="str">
        <f t="shared" ca="1" si="159"/>
        <v>ON</v>
      </c>
      <c r="AC366" s="1" t="str">
        <f t="shared" ca="1" si="160"/>
        <v>ON</v>
      </c>
      <c r="AD366" s="1" t="str">
        <f t="shared" ca="1" si="161"/>
        <v>ON</v>
      </c>
      <c r="AE366" s="1"/>
      <c r="AF366" s="20" t="str">
        <f t="shared" ca="1" si="172"/>
        <v>ON</v>
      </c>
      <c r="AG366" s="20" t="str">
        <f t="shared" ca="1" si="172"/>
        <v>ON</v>
      </c>
      <c r="AH366" s="1" t="str">
        <f t="shared" ca="1" si="163"/>
        <v>ON</v>
      </c>
      <c r="AI366" s="1" t="str">
        <f t="shared" ca="1" si="164"/>
        <v>OFF</v>
      </c>
      <c r="AJ366" s="1" t="str">
        <f t="shared" ca="1" si="165"/>
        <v>ON</v>
      </c>
      <c r="AK366" s="1" t="str">
        <f t="shared" ca="1" si="166"/>
        <v>ON</v>
      </c>
      <c r="AL366" s="1"/>
      <c r="AM366" s="20" t="str">
        <f t="shared" si="173"/>
        <v>ON</v>
      </c>
      <c r="AN366" s="20" t="str">
        <f t="shared" si="173"/>
        <v>ON</v>
      </c>
      <c r="AO366" s="20" t="str">
        <f t="shared" si="168"/>
        <v>ON</v>
      </c>
    </row>
    <row r="367" spans="1:41">
      <c r="A367" t="str">
        <f t="shared" ca="1" si="142"/>
        <v>Oyo</v>
      </c>
      <c r="B367" t="str">
        <f t="shared" ca="1" si="143"/>
        <v>E</v>
      </c>
      <c r="C367" t="str">
        <f t="shared" ca="1" si="144"/>
        <v>D1</v>
      </c>
      <c r="D367" t="s">
        <v>4</v>
      </c>
      <c r="E367">
        <f t="shared" ca="1" si="145"/>
        <v>25</v>
      </c>
      <c r="F367">
        <f t="shared" ca="1" si="146"/>
        <v>2</v>
      </c>
      <c r="G367" t="str">
        <v>C</v>
      </c>
      <c r="H367" t="str">
        <v>C</v>
      </c>
      <c r="I367" t="str">
        <f ca="1">IF($A367="","",IF(COUNTA($K$2:$P$2)=6,"WK "&amp;_xlfn.ISOWEEKNUM($K$2)))</f>
        <v>WK 18</v>
      </c>
      <c r="J367" t="str">
        <f ca="1">IF($A367="","",IF(COUNTA($Y$2:$AD$2)=6,"WK "&amp;_xlfn.ISOWEEKNUM($Y$2)))</f>
        <v>WK 20</v>
      </c>
      <c r="K367" s="20" t="str">
        <f t="shared" ca="1" si="169"/>
        <v>ON</v>
      </c>
      <c r="L367" s="20" t="str">
        <f t="shared" ca="1" si="169"/>
        <v>ON</v>
      </c>
      <c r="M367" s="1" t="str">
        <f t="shared" ca="1" si="148"/>
        <v>ON</v>
      </c>
      <c r="N367" s="1" t="str">
        <f t="shared" ca="1" si="149"/>
        <v>ON</v>
      </c>
      <c r="O367" s="1" t="str">
        <f t="shared" ca="1" si="150"/>
        <v>OFF</v>
      </c>
      <c r="P367" s="1" t="str">
        <f t="shared" ca="1" si="151"/>
        <v>ON</v>
      </c>
      <c r="Q367" s="1"/>
      <c r="R367" s="20" t="str">
        <f t="shared" ca="1" si="170"/>
        <v>ON</v>
      </c>
      <c r="S367" s="20" t="str">
        <f t="shared" ca="1" si="170"/>
        <v>ON</v>
      </c>
      <c r="T367" s="1" t="str">
        <f t="shared" ca="1" si="153"/>
        <v>ON</v>
      </c>
      <c r="U367" s="1" t="str">
        <f t="shared" ca="1" si="154"/>
        <v>ON</v>
      </c>
      <c r="V367" s="1" t="str">
        <f t="shared" ca="1" si="155"/>
        <v>ON</v>
      </c>
      <c r="W367" s="1" t="str">
        <f t="shared" ca="1" si="156"/>
        <v>ON</v>
      </c>
      <c r="X367" s="1"/>
      <c r="Y367" s="20" t="str">
        <f t="shared" ca="1" si="171"/>
        <v>ON</v>
      </c>
      <c r="Z367" s="20" t="str">
        <f t="shared" ca="1" si="171"/>
        <v>ON</v>
      </c>
      <c r="AA367" s="1" t="str">
        <f t="shared" ca="1" si="158"/>
        <v>ON</v>
      </c>
      <c r="AB367" s="1" t="str">
        <f t="shared" ca="1" si="159"/>
        <v>ON</v>
      </c>
      <c r="AC367" s="1" t="str">
        <f t="shared" ca="1" si="160"/>
        <v>OFF</v>
      </c>
      <c r="AD367" s="1" t="str">
        <f t="shared" ca="1" si="161"/>
        <v>ON</v>
      </c>
      <c r="AE367" s="1"/>
      <c r="AF367" s="20" t="str">
        <f t="shared" ca="1" si="172"/>
        <v>ON</v>
      </c>
      <c r="AG367" s="20" t="str">
        <f t="shared" ca="1" si="172"/>
        <v>ON</v>
      </c>
      <c r="AH367" s="1" t="str">
        <f t="shared" ca="1" si="163"/>
        <v>ON</v>
      </c>
      <c r="AI367" s="1" t="str">
        <f t="shared" ca="1" si="164"/>
        <v>ON</v>
      </c>
      <c r="AJ367" s="1" t="str">
        <f t="shared" ca="1" si="165"/>
        <v>ON</v>
      </c>
      <c r="AK367" s="1" t="str">
        <f t="shared" ca="1" si="166"/>
        <v>ON</v>
      </c>
      <c r="AL367" s="1"/>
      <c r="AM367" s="20" t="str">
        <f t="shared" si="173"/>
        <v>ON</v>
      </c>
      <c r="AN367" s="20" t="str">
        <f t="shared" si="173"/>
        <v>ON</v>
      </c>
      <c r="AO367" s="20" t="str">
        <f t="shared" si="168"/>
        <v>ON</v>
      </c>
    </row>
    <row r="368" spans="1:41">
      <c r="A368" t="str">
        <f t="shared" ca="1" si="142"/>
        <v>Oyo</v>
      </c>
      <c r="B368" t="str">
        <f t="shared" ca="1" si="143"/>
        <v>B</v>
      </c>
      <c r="C368" t="str">
        <f t="shared" ca="1" si="144"/>
        <v>A1</v>
      </c>
      <c r="D368" t="s">
        <v>9</v>
      </c>
      <c r="E368">
        <f t="shared" ca="1" si="145"/>
        <v>25</v>
      </c>
      <c r="F368">
        <f t="shared" ca="1" si="146"/>
        <v>2</v>
      </c>
      <c r="G368" t="str">
        <v>D</v>
      </c>
      <c r="H368" t="str">
        <v>D</v>
      </c>
      <c r="I368" t="str">
        <f ca="1">IF($A368="","",IF(COUNTA($R$2:$W$2)=6,"WK "&amp;_xlfn.ISOWEEKNUM($R$2)))</f>
        <v>WK 19</v>
      </c>
      <c r="J368" t="str">
        <f ca="1">IF($A368="","",IF(COUNTA($AF$2:$AK$2)=6,"WK "&amp;_xlfn.ISOWEEKNUM($AF$2)))</f>
        <v>WK 21</v>
      </c>
      <c r="K368" s="20" t="str">
        <f t="shared" ca="1" si="169"/>
        <v>ON</v>
      </c>
      <c r="L368" s="20" t="str">
        <f t="shared" ca="1" si="169"/>
        <v>ON</v>
      </c>
      <c r="M368" s="1" t="str">
        <f t="shared" ca="1" si="148"/>
        <v>ON</v>
      </c>
      <c r="N368" s="1" t="str">
        <f t="shared" ca="1" si="149"/>
        <v>ON</v>
      </c>
      <c r="O368" s="1" t="str">
        <f t="shared" ca="1" si="150"/>
        <v>ON</v>
      </c>
      <c r="P368" s="1" t="str">
        <f t="shared" ca="1" si="151"/>
        <v>ON</v>
      </c>
      <c r="Q368" s="1"/>
      <c r="R368" s="20" t="str">
        <f t="shared" ca="1" si="170"/>
        <v>ON</v>
      </c>
      <c r="S368" s="20" t="str">
        <f t="shared" ca="1" si="170"/>
        <v>ON</v>
      </c>
      <c r="T368" s="1" t="str">
        <f t="shared" ca="1" si="153"/>
        <v>ON</v>
      </c>
      <c r="U368" s="1" t="str">
        <f t="shared" ca="1" si="154"/>
        <v>ON</v>
      </c>
      <c r="V368" s="1" t="str">
        <f t="shared" ca="1" si="155"/>
        <v>ON</v>
      </c>
      <c r="W368" s="1" t="str">
        <f t="shared" ca="1" si="156"/>
        <v>OFF</v>
      </c>
      <c r="X368" s="1"/>
      <c r="Y368" s="20" t="str">
        <f t="shared" ca="1" si="171"/>
        <v>ON</v>
      </c>
      <c r="Z368" s="20" t="str">
        <f t="shared" ca="1" si="171"/>
        <v>ON</v>
      </c>
      <c r="AA368" s="1" t="str">
        <f t="shared" ca="1" si="158"/>
        <v>ON</v>
      </c>
      <c r="AB368" s="1" t="str">
        <f t="shared" ca="1" si="159"/>
        <v>ON</v>
      </c>
      <c r="AC368" s="1" t="str">
        <f t="shared" ca="1" si="160"/>
        <v>ON</v>
      </c>
      <c r="AD368" s="1" t="str">
        <f t="shared" ca="1" si="161"/>
        <v>ON</v>
      </c>
      <c r="AE368" s="1"/>
      <c r="AF368" s="20" t="str">
        <f t="shared" ca="1" si="172"/>
        <v>ON</v>
      </c>
      <c r="AG368" s="20" t="str">
        <f t="shared" ca="1" si="172"/>
        <v>ON</v>
      </c>
      <c r="AH368" s="1" t="str">
        <f t="shared" ca="1" si="163"/>
        <v>ON</v>
      </c>
      <c r="AI368" s="1" t="str">
        <f t="shared" ca="1" si="164"/>
        <v>ON</v>
      </c>
      <c r="AJ368" s="1" t="str">
        <f t="shared" ca="1" si="165"/>
        <v>ON</v>
      </c>
      <c r="AK368" s="1" t="str">
        <f t="shared" ca="1" si="166"/>
        <v>OFF</v>
      </c>
      <c r="AL368" s="1"/>
      <c r="AM368" s="20" t="str">
        <f t="shared" si="173"/>
        <v>ON</v>
      </c>
      <c r="AN368" s="20" t="str">
        <f t="shared" si="173"/>
        <v>ON</v>
      </c>
      <c r="AO368" s="20" t="str">
        <f t="shared" si="168"/>
        <v>ON</v>
      </c>
    </row>
    <row r="369" spans="1:41">
      <c r="A369" t="str">
        <f t="shared" ca="1" si="142"/>
        <v>Oyo</v>
      </c>
      <c r="B369" t="str">
        <f t="shared" ca="1" si="143"/>
        <v>A</v>
      </c>
      <c r="C369" t="str">
        <f t="shared" ca="1" si="144"/>
        <v>C1</v>
      </c>
      <c r="D369" t="s">
        <v>5</v>
      </c>
      <c r="E369">
        <f t="shared" ca="1" si="145"/>
        <v>25</v>
      </c>
      <c r="F369">
        <f t="shared" ca="1" si="146"/>
        <v>2</v>
      </c>
      <c r="G369" t="str" cm="1">
        <f t="array" ref="G369:G372">IF($G$5:$G$8={"A";"B";"C";"D"},{"D";"C";"B";"A"},{"A";"B";"C";"D"})</f>
        <v>D</v>
      </c>
      <c r="H369" t="str" cm="1">
        <f t="array" ref="H369:H372">IF($H$5:$H$8={"A";"B";"C";"D"},{"D";"C";"B";"A"},{"A";"B";"C";"D"})</f>
        <v>D</v>
      </c>
      <c r="I369" t="str">
        <f ca="1">IF($A369="","",IF(COUNTA($K$2:$P$2)=6,"WK "&amp;_xlfn.ISOWEEKNUM($K$2)))</f>
        <v>WK 18</v>
      </c>
      <c r="J369" t="str">
        <f ca="1">IF($A369="","",IF(COUNTA($Y$2:$AD$2)=6,"WK "&amp;_xlfn.ISOWEEKNUM($Y$2)))</f>
        <v>WK 20</v>
      </c>
      <c r="K369" s="20" t="str">
        <f t="shared" ca="1" si="169"/>
        <v>ON</v>
      </c>
      <c r="L369" s="20" t="str">
        <f t="shared" ca="1" si="169"/>
        <v>ON</v>
      </c>
      <c r="M369" s="1" t="str">
        <f t="shared" ca="1" si="148"/>
        <v>ON</v>
      </c>
      <c r="N369" s="1" t="str">
        <f t="shared" ca="1" si="149"/>
        <v>ON</v>
      </c>
      <c r="O369" s="1" t="str">
        <f t="shared" ca="1" si="150"/>
        <v>ON</v>
      </c>
      <c r="P369" s="1" t="str">
        <f t="shared" ca="1" si="151"/>
        <v>OFF</v>
      </c>
      <c r="Q369" s="1"/>
      <c r="R369" s="20" t="str">
        <f t="shared" ca="1" si="170"/>
        <v>ON</v>
      </c>
      <c r="S369" s="20" t="str">
        <f t="shared" ca="1" si="170"/>
        <v>ON</v>
      </c>
      <c r="T369" s="1" t="str">
        <f t="shared" ca="1" si="153"/>
        <v>ON</v>
      </c>
      <c r="U369" s="1" t="str">
        <f t="shared" ca="1" si="154"/>
        <v>ON</v>
      </c>
      <c r="V369" s="1" t="str">
        <f t="shared" ca="1" si="155"/>
        <v>ON</v>
      </c>
      <c r="W369" s="1" t="str">
        <f t="shared" ca="1" si="156"/>
        <v>ON</v>
      </c>
      <c r="X369" s="1"/>
      <c r="Y369" s="20" t="str">
        <f t="shared" ca="1" si="171"/>
        <v>ON</v>
      </c>
      <c r="Z369" s="20" t="str">
        <f t="shared" ca="1" si="171"/>
        <v>ON</v>
      </c>
      <c r="AA369" s="1" t="str">
        <f t="shared" ca="1" si="158"/>
        <v>ON</v>
      </c>
      <c r="AB369" s="1" t="str">
        <f t="shared" ca="1" si="159"/>
        <v>ON</v>
      </c>
      <c r="AC369" s="1" t="str">
        <f t="shared" ca="1" si="160"/>
        <v>ON</v>
      </c>
      <c r="AD369" s="1" t="str">
        <f t="shared" ca="1" si="161"/>
        <v>OFF</v>
      </c>
      <c r="AE369" s="1"/>
      <c r="AF369" s="20" t="str">
        <f t="shared" ca="1" si="172"/>
        <v>ON</v>
      </c>
      <c r="AG369" s="20" t="str">
        <f t="shared" ca="1" si="172"/>
        <v>ON</v>
      </c>
      <c r="AH369" s="1" t="str">
        <f t="shared" ca="1" si="163"/>
        <v>ON</v>
      </c>
      <c r="AI369" s="1" t="str">
        <f t="shared" ca="1" si="164"/>
        <v>ON</v>
      </c>
      <c r="AJ369" s="1" t="str">
        <f t="shared" ca="1" si="165"/>
        <v>ON</v>
      </c>
      <c r="AK369" s="1" t="str">
        <f t="shared" ca="1" si="166"/>
        <v>ON</v>
      </c>
      <c r="AL369" s="1"/>
      <c r="AM369" s="20" t="str">
        <f t="shared" si="173"/>
        <v>ON</v>
      </c>
      <c r="AN369" s="20" t="str">
        <f t="shared" si="173"/>
        <v>ON</v>
      </c>
      <c r="AO369" s="20" t="str">
        <f t="shared" si="168"/>
        <v>ON</v>
      </c>
    </row>
    <row r="370" spans="1:41">
      <c r="A370" t="str">
        <f t="shared" ca="1" si="142"/>
        <v>Lagos</v>
      </c>
      <c r="B370" t="str">
        <f t="shared" ca="1" si="143"/>
        <v>E</v>
      </c>
      <c r="C370" t="str">
        <f t="shared" ca="1" si="144"/>
        <v>C1</v>
      </c>
      <c r="D370" t="s">
        <v>5</v>
      </c>
      <c r="E370">
        <f t="shared" ca="1" si="145"/>
        <v>25</v>
      </c>
      <c r="F370">
        <f t="shared" ca="1" si="146"/>
        <v>2</v>
      </c>
      <c r="G370" t="str">
        <v>C</v>
      </c>
      <c r="H370" t="str">
        <v>C</v>
      </c>
      <c r="I370" t="str">
        <f ca="1">IF($A370="","",IF(COUNTA($R$2:$W$2)=6,"WK "&amp;_xlfn.ISOWEEKNUM($R$2)))</f>
        <v>WK 19</v>
      </c>
      <c r="J370" t="str">
        <f ca="1">IF($A370="","",IF(COUNTA($AF$2:$AK$2)=6,"WK "&amp;_xlfn.ISOWEEKNUM($AF$2)))</f>
        <v>WK 21</v>
      </c>
      <c r="K370" s="20" t="str">
        <f t="shared" ca="1" si="169"/>
        <v>ON</v>
      </c>
      <c r="L370" s="20" t="str">
        <f t="shared" ca="1" si="169"/>
        <v>ON</v>
      </c>
      <c r="M370" s="1" t="str">
        <f t="shared" ca="1" si="148"/>
        <v>ON</v>
      </c>
      <c r="N370" s="1" t="str">
        <f t="shared" ca="1" si="149"/>
        <v>ON</v>
      </c>
      <c r="O370" s="1" t="str">
        <f t="shared" ca="1" si="150"/>
        <v>ON</v>
      </c>
      <c r="P370" s="1" t="str">
        <f t="shared" ca="1" si="151"/>
        <v>ON</v>
      </c>
      <c r="Q370" s="1"/>
      <c r="R370" s="20" t="str">
        <f t="shared" ca="1" si="170"/>
        <v>ON</v>
      </c>
      <c r="S370" s="20" t="str">
        <f t="shared" ca="1" si="170"/>
        <v>ON</v>
      </c>
      <c r="T370" s="1" t="str">
        <f t="shared" ca="1" si="153"/>
        <v>ON</v>
      </c>
      <c r="U370" s="1" t="str">
        <f t="shared" ca="1" si="154"/>
        <v>ON</v>
      </c>
      <c r="V370" s="1" t="str">
        <f t="shared" ca="1" si="155"/>
        <v>OFF</v>
      </c>
      <c r="W370" s="1" t="str">
        <f t="shared" ca="1" si="156"/>
        <v>ON</v>
      </c>
      <c r="X370" s="1"/>
      <c r="Y370" s="20" t="str">
        <f t="shared" ca="1" si="171"/>
        <v>ON</v>
      </c>
      <c r="Z370" s="20" t="str">
        <f t="shared" ca="1" si="171"/>
        <v>ON</v>
      </c>
      <c r="AA370" s="1" t="str">
        <f t="shared" ca="1" si="158"/>
        <v>ON</v>
      </c>
      <c r="AB370" s="1" t="str">
        <f t="shared" ca="1" si="159"/>
        <v>ON</v>
      </c>
      <c r="AC370" s="1" t="str">
        <f t="shared" ca="1" si="160"/>
        <v>ON</v>
      </c>
      <c r="AD370" s="1" t="str">
        <f t="shared" ca="1" si="161"/>
        <v>ON</v>
      </c>
      <c r="AE370" s="1"/>
      <c r="AF370" s="20" t="str">
        <f t="shared" ca="1" si="172"/>
        <v>ON</v>
      </c>
      <c r="AG370" s="20" t="str">
        <f t="shared" ca="1" si="172"/>
        <v>ON</v>
      </c>
      <c r="AH370" s="1" t="str">
        <f t="shared" ca="1" si="163"/>
        <v>ON</v>
      </c>
      <c r="AI370" s="1" t="str">
        <f t="shared" ca="1" si="164"/>
        <v>ON</v>
      </c>
      <c r="AJ370" s="1" t="str">
        <f t="shared" ca="1" si="165"/>
        <v>OFF</v>
      </c>
      <c r="AK370" s="1" t="str">
        <f t="shared" ca="1" si="166"/>
        <v>ON</v>
      </c>
      <c r="AL370" s="1"/>
      <c r="AM370" s="20" t="str">
        <f t="shared" si="173"/>
        <v>ON</v>
      </c>
      <c r="AN370" s="20" t="str">
        <f t="shared" si="173"/>
        <v>ON</v>
      </c>
      <c r="AO370" s="20" t="str">
        <f t="shared" si="168"/>
        <v>ON</v>
      </c>
    </row>
    <row r="371" spans="1:41">
      <c r="A371" t="str">
        <f t="shared" ca="1" si="142"/>
        <v>Oyo</v>
      </c>
      <c r="B371" t="str">
        <f t="shared" ca="1" si="143"/>
        <v>C</v>
      </c>
      <c r="C371" t="str">
        <f t="shared" ca="1" si="144"/>
        <v>B1</v>
      </c>
      <c r="D371" t="s">
        <v>5</v>
      </c>
      <c r="E371">
        <f t="shared" ca="1" si="145"/>
        <v>25</v>
      </c>
      <c r="F371">
        <f t="shared" ca="1" si="146"/>
        <v>2</v>
      </c>
      <c r="G371" t="str">
        <v>B</v>
      </c>
      <c r="H371" t="str">
        <v>B</v>
      </c>
      <c r="I371" t="str">
        <f ca="1">IF($A371="","",IF(COUNTA($K$2:$P$2)=6,"WK "&amp;_xlfn.ISOWEEKNUM($K$2)))</f>
        <v>WK 18</v>
      </c>
      <c r="J371" t="str">
        <f ca="1">IF($A371="","",IF(COUNTA($Y$2:$AD$2)=6,"WK "&amp;_xlfn.ISOWEEKNUM($Y$2)))</f>
        <v>WK 20</v>
      </c>
      <c r="K371" s="20" t="str">
        <f t="shared" ca="1" si="169"/>
        <v>ON</v>
      </c>
      <c r="L371" s="20" t="str">
        <f t="shared" ca="1" si="169"/>
        <v>ON</v>
      </c>
      <c r="M371" s="1" t="str">
        <f t="shared" ca="1" si="148"/>
        <v>ON</v>
      </c>
      <c r="N371" s="1" t="str">
        <f t="shared" ca="1" si="149"/>
        <v>OFF</v>
      </c>
      <c r="O371" s="1" t="str">
        <f t="shared" ca="1" si="150"/>
        <v>ON</v>
      </c>
      <c r="P371" s="1" t="str">
        <f t="shared" ca="1" si="151"/>
        <v>ON</v>
      </c>
      <c r="Q371" s="1"/>
      <c r="R371" s="20" t="str">
        <f t="shared" ca="1" si="170"/>
        <v>ON</v>
      </c>
      <c r="S371" s="20" t="str">
        <f t="shared" ca="1" si="170"/>
        <v>ON</v>
      </c>
      <c r="T371" s="1" t="str">
        <f t="shared" ca="1" si="153"/>
        <v>ON</v>
      </c>
      <c r="U371" s="1" t="str">
        <f t="shared" ca="1" si="154"/>
        <v>ON</v>
      </c>
      <c r="V371" s="1" t="str">
        <f t="shared" ca="1" si="155"/>
        <v>ON</v>
      </c>
      <c r="W371" s="1" t="str">
        <f t="shared" ca="1" si="156"/>
        <v>ON</v>
      </c>
      <c r="X371" s="1"/>
      <c r="Y371" s="20" t="str">
        <f t="shared" ca="1" si="171"/>
        <v>ON</v>
      </c>
      <c r="Z371" s="20" t="str">
        <f t="shared" ca="1" si="171"/>
        <v>ON</v>
      </c>
      <c r="AA371" s="1" t="str">
        <f t="shared" ca="1" si="158"/>
        <v>ON</v>
      </c>
      <c r="AB371" s="1" t="str">
        <f t="shared" ca="1" si="159"/>
        <v>OFF</v>
      </c>
      <c r="AC371" s="1" t="str">
        <f t="shared" ca="1" si="160"/>
        <v>ON</v>
      </c>
      <c r="AD371" s="1" t="str">
        <f t="shared" ca="1" si="161"/>
        <v>ON</v>
      </c>
      <c r="AE371" s="1"/>
      <c r="AF371" s="20" t="str">
        <f t="shared" ca="1" si="172"/>
        <v>ON</v>
      </c>
      <c r="AG371" s="20" t="str">
        <f t="shared" ca="1" si="172"/>
        <v>ON</v>
      </c>
      <c r="AH371" s="1" t="str">
        <f t="shared" ca="1" si="163"/>
        <v>ON</v>
      </c>
      <c r="AI371" s="1" t="str">
        <f t="shared" ca="1" si="164"/>
        <v>ON</v>
      </c>
      <c r="AJ371" s="1" t="str">
        <f t="shared" ca="1" si="165"/>
        <v>ON</v>
      </c>
      <c r="AK371" s="1" t="str">
        <f t="shared" ca="1" si="166"/>
        <v>ON</v>
      </c>
      <c r="AL371" s="1"/>
      <c r="AM371" s="20" t="str">
        <f t="shared" si="173"/>
        <v>ON</v>
      </c>
      <c r="AN371" s="20" t="str">
        <f t="shared" si="173"/>
        <v>ON</v>
      </c>
      <c r="AO371" s="20" t="str">
        <f t="shared" si="168"/>
        <v>ON</v>
      </c>
    </row>
    <row r="372" spans="1:41">
      <c r="A372" t="str">
        <f t="shared" ca="1" si="142"/>
        <v>Ondo</v>
      </c>
      <c r="B372" t="str">
        <f t="shared" ca="1" si="143"/>
        <v>E</v>
      </c>
      <c r="C372" t="str">
        <f t="shared" ca="1" si="144"/>
        <v>C1</v>
      </c>
      <c r="D372" t="s">
        <v>5</v>
      </c>
      <c r="E372">
        <f t="shared" ca="1" si="145"/>
        <v>25</v>
      </c>
      <c r="F372">
        <f t="shared" ca="1" si="146"/>
        <v>2</v>
      </c>
      <c r="G372" t="str">
        <v>A</v>
      </c>
      <c r="H372" t="str">
        <v>A</v>
      </c>
      <c r="I372" t="str">
        <f ca="1">IF($A372="","",IF(COUNTA($R$2:$W$2)=6,"WK "&amp;_xlfn.ISOWEEKNUM($R$2)))</f>
        <v>WK 19</v>
      </c>
      <c r="J372" t="str">
        <f ca="1">IF($A372="","",IF(COUNTA($AF$2:$AK$2)=6,"WK "&amp;_xlfn.ISOWEEKNUM($AF$2)))</f>
        <v>WK 21</v>
      </c>
      <c r="K372" s="20" t="str">
        <f t="shared" ca="1" si="169"/>
        <v>ON</v>
      </c>
      <c r="L372" s="20" t="str">
        <f t="shared" ca="1" si="169"/>
        <v>ON</v>
      </c>
      <c r="M372" s="1" t="str">
        <f t="shared" ca="1" si="148"/>
        <v>ON</v>
      </c>
      <c r="N372" s="1" t="str">
        <f t="shared" ca="1" si="149"/>
        <v>ON</v>
      </c>
      <c r="O372" s="1" t="str">
        <f t="shared" ca="1" si="150"/>
        <v>ON</v>
      </c>
      <c r="P372" s="1" t="str">
        <f t="shared" ca="1" si="151"/>
        <v>ON</v>
      </c>
      <c r="Q372" s="1"/>
      <c r="R372" s="20" t="str">
        <f t="shared" ca="1" si="170"/>
        <v>ON</v>
      </c>
      <c r="S372" s="20" t="str">
        <f t="shared" ca="1" si="170"/>
        <v>ON</v>
      </c>
      <c r="T372" s="1" t="str">
        <f t="shared" ca="1" si="153"/>
        <v>OFF</v>
      </c>
      <c r="U372" s="1" t="str">
        <f t="shared" ca="1" si="154"/>
        <v>ON</v>
      </c>
      <c r="V372" s="1" t="str">
        <f t="shared" ca="1" si="155"/>
        <v>ON</v>
      </c>
      <c r="W372" s="1" t="str">
        <f t="shared" ca="1" si="156"/>
        <v>ON</v>
      </c>
      <c r="X372" s="1"/>
      <c r="Y372" s="20" t="str">
        <f t="shared" ca="1" si="171"/>
        <v>ON</v>
      </c>
      <c r="Z372" s="20" t="str">
        <f t="shared" ca="1" si="171"/>
        <v>ON</v>
      </c>
      <c r="AA372" s="1" t="str">
        <f t="shared" ca="1" si="158"/>
        <v>ON</v>
      </c>
      <c r="AB372" s="1" t="str">
        <f t="shared" ca="1" si="159"/>
        <v>ON</v>
      </c>
      <c r="AC372" s="1" t="str">
        <f t="shared" ca="1" si="160"/>
        <v>ON</v>
      </c>
      <c r="AD372" s="1" t="str">
        <f t="shared" ca="1" si="161"/>
        <v>ON</v>
      </c>
      <c r="AE372" s="1"/>
      <c r="AF372" s="20" t="str">
        <f t="shared" ca="1" si="172"/>
        <v>ON</v>
      </c>
      <c r="AG372" s="20" t="str">
        <f t="shared" ca="1" si="172"/>
        <v>ON</v>
      </c>
      <c r="AH372" s="1" t="str">
        <f t="shared" ca="1" si="163"/>
        <v>OFF</v>
      </c>
      <c r="AI372" s="1" t="str">
        <f t="shared" ca="1" si="164"/>
        <v>ON</v>
      </c>
      <c r="AJ372" s="1" t="str">
        <f t="shared" ca="1" si="165"/>
        <v>ON</v>
      </c>
      <c r="AK372" s="1" t="str">
        <f t="shared" ca="1" si="166"/>
        <v>ON</v>
      </c>
      <c r="AL372" s="1"/>
      <c r="AM372" s="20" t="str">
        <f t="shared" si="173"/>
        <v>ON</v>
      </c>
      <c r="AN372" s="20" t="str">
        <f t="shared" si="173"/>
        <v>ON</v>
      </c>
      <c r="AO372" s="20" t="str">
        <f t="shared" si="168"/>
        <v>ON</v>
      </c>
    </row>
    <row r="373" spans="1:41">
      <c r="A373" t="str">
        <f t="shared" ca="1" si="142"/>
        <v>Oyo</v>
      </c>
      <c r="B373" t="str">
        <f t="shared" ca="1" si="143"/>
        <v>E</v>
      </c>
      <c r="C373" t="str">
        <f t="shared" ca="1" si="144"/>
        <v>B1</v>
      </c>
      <c r="D373" t="s">
        <v>5</v>
      </c>
      <c r="E373">
        <f t="shared" ca="1" si="145"/>
        <v>25</v>
      </c>
      <c r="F373">
        <f t="shared" ca="1" si="146"/>
        <v>2</v>
      </c>
      <c r="G373" t="str" cm="1">
        <f t="array" ref="G373:G376">Groups!$B$2:$B$5</f>
        <v>A</v>
      </c>
      <c r="H373" t="str" cm="1">
        <f t="array" ref="H373:H376">Groups!$B$2:$B$5</f>
        <v>A</v>
      </c>
      <c r="I373" t="str">
        <f ca="1">IF($A373="","",IF(COUNTA($K$2:$P$2)=6,"WK "&amp;_xlfn.ISOWEEKNUM($K$2)))</f>
        <v>WK 18</v>
      </c>
      <c r="J373" t="str">
        <f ca="1">IF($A373="","",IF(COUNTA($Y$2:$AD$2)=6,"WK "&amp;_xlfn.ISOWEEKNUM($Y$2)))</f>
        <v>WK 20</v>
      </c>
      <c r="K373" s="20" t="str">
        <f t="shared" ca="1" si="169"/>
        <v>ON</v>
      </c>
      <c r="L373" s="20" t="str">
        <f t="shared" ca="1" si="169"/>
        <v>ON</v>
      </c>
      <c r="M373" s="1" t="str">
        <f t="shared" ca="1" si="148"/>
        <v>OFF</v>
      </c>
      <c r="N373" s="1" t="str">
        <f t="shared" ca="1" si="149"/>
        <v>ON</v>
      </c>
      <c r="O373" s="1" t="str">
        <f t="shared" ca="1" si="150"/>
        <v>ON</v>
      </c>
      <c r="P373" s="1" t="str">
        <f t="shared" ca="1" si="151"/>
        <v>ON</v>
      </c>
      <c r="Q373" s="1"/>
      <c r="R373" s="20" t="str">
        <f t="shared" ca="1" si="170"/>
        <v>ON</v>
      </c>
      <c r="S373" s="20" t="str">
        <f t="shared" ca="1" si="170"/>
        <v>ON</v>
      </c>
      <c r="T373" s="1" t="str">
        <f t="shared" ca="1" si="153"/>
        <v>ON</v>
      </c>
      <c r="U373" s="1" t="str">
        <f t="shared" ca="1" si="154"/>
        <v>ON</v>
      </c>
      <c r="V373" s="1" t="str">
        <f t="shared" ca="1" si="155"/>
        <v>ON</v>
      </c>
      <c r="W373" s="1" t="str">
        <f t="shared" ca="1" si="156"/>
        <v>ON</v>
      </c>
      <c r="X373" s="1"/>
      <c r="Y373" s="20" t="str">
        <f t="shared" ca="1" si="171"/>
        <v>ON</v>
      </c>
      <c r="Z373" s="20" t="str">
        <f t="shared" ca="1" si="171"/>
        <v>ON</v>
      </c>
      <c r="AA373" s="1" t="str">
        <f t="shared" ca="1" si="158"/>
        <v>OFF</v>
      </c>
      <c r="AB373" s="1" t="str">
        <f t="shared" ca="1" si="159"/>
        <v>ON</v>
      </c>
      <c r="AC373" s="1" t="str">
        <f t="shared" ca="1" si="160"/>
        <v>ON</v>
      </c>
      <c r="AD373" s="1" t="str">
        <f t="shared" ca="1" si="161"/>
        <v>ON</v>
      </c>
      <c r="AE373" s="1"/>
      <c r="AF373" s="20" t="str">
        <f t="shared" ca="1" si="172"/>
        <v>ON</v>
      </c>
      <c r="AG373" s="20" t="str">
        <f t="shared" ca="1" si="172"/>
        <v>ON</v>
      </c>
      <c r="AH373" s="1" t="str">
        <f t="shared" ca="1" si="163"/>
        <v>ON</v>
      </c>
      <c r="AI373" s="1" t="str">
        <f t="shared" ca="1" si="164"/>
        <v>ON</v>
      </c>
      <c r="AJ373" s="1" t="str">
        <f t="shared" ca="1" si="165"/>
        <v>ON</v>
      </c>
      <c r="AK373" s="1" t="str">
        <f t="shared" ca="1" si="166"/>
        <v>ON</v>
      </c>
      <c r="AL373" s="1"/>
      <c r="AM373" s="20" t="str">
        <f t="shared" si="173"/>
        <v>ON</v>
      </c>
      <c r="AN373" s="20" t="str">
        <f t="shared" si="173"/>
        <v>ON</v>
      </c>
      <c r="AO373" s="20" t="str">
        <f t="shared" si="168"/>
        <v>ON</v>
      </c>
    </row>
    <row r="374" spans="1:41">
      <c r="A374" t="str">
        <f t="shared" ca="1" si="142"/>
        <v>Ondo</v>
      </c>
      <c r="B374" t="str">
        <f t="shared" ca="1" si="143"/>
        <v>A</v>
      </c>
      <c r="C374" t="str">
        <f t="shared" ca="1" si="144"/>
        <v>D1</v>
      </c>
      <c r="D374" t="s">
        <v>8</v>
      </c>
      <c r="E374">
        <f t="shared" ca="1" si="145"/>
        <v>25</v>
      </c>
      <c r="F374">
        <f t="shared" ca="1" si="146"/>
        <v>2</v>
      </c>
      <c r="G374" t="str">
        <v>B</v>
      </c>
      <c r="H374" t="str">
        <v>B</v>
      </c>
      <c r="I374" t="str">
        <f ca="1">IF($A374="","",IF(COUNTA($R$2:$W$2)=6,"WK "&amp;_xlfn.ISOWEEKNUM($R$2)))</f>
        <v>WK 19</v>
      </c>
      <c r="J374" t="str">
        <f ca="1">IF($A374="","",IF(COUNTA($AF$2:$AK$2)=6,"WK "&amp;_xlfn.ISOWEEKNUM($AF$2)))</f>
        <v>WK 21</v>
      </c>
      <c r="K374" s="20" t="str">
        <f t="shared" ca="1" si="169"/>
        <v>ON</v>
      </c>
      <c r="L374" s="20" t="str">
        <f t="shared" ca="1" si="169"/>
        <v>ON</v>
      </c>
      <c r="M374" s="1" t="str">
        <f t="shared" ca="1" si="148"/>
        <v>ON</v>
      </c>
      <c r="N374" s="1" t="str">
        <f t="shared" ca="1" si="149"/>
        <v>ON</v>
      </c>
      <c r="O374" s="1" t="str">
        <f t="shared" ca="1" si="150"/>
        <v>ON</v>
      </c>
      <c r="P374" s="1" t="str">
        <f t="shared" ca="1" si="151"/>
        <v>ON</v>
      </c>
      <c r="Q374" s="1"/>
      <c r="R374" s="20" t="str">
        <f t="shared" ca="1" si="170"/>
        <v>ON</v>
      </c>
      <c r="S374" s="20" t="str">
        <f t="shared" ca="1" si="170"/>
        <v>ON</v>
      </c>
      <c r="T374" s="1" t="str">
        <f t="shared" ca="1" si="153"/>
        <v>ON</v>
      </c>
      <c r="U374" s="1" t="str">
        <f t="shared" ca="1" si="154"/>
        <v>OFF</v>
      </c>
      <c r="V374" s="1" t="str">
        <f t="shared" ca="1" si="155"/>
        <v>ON</v>
      </c>
      <c r="W374" s="1" t="str">
        <f t="shared" ca="1" si="156"/>
        <v>ON</v>
      </c>
      <c r="X374" s="1"/>
      <c r="Y374" s="20" t="str">
        <f t="shared" ca="1" si="171"/>
        <v>ON</v>
      </c>
      <c r="Z374" s="20" t="str">
        <f t="shared" ca="1" si="171"/>
        <v>ON</v>
      </c>
      <c r="AA374" s="1" t="str">
        <f t="shared" ca="1" si="158"/>
        <v>ON</v>
      </c>
      <c r="AB374" s="1" t="str">
        <f t="shared" ca="1" si="159"/>
        <v>ON</v>
      </c>
      <c r="AC374" s="1" t="str">
        <f t="shared" ca="1" si="160"/>
        <v>ON</v>
      </c>
      <c r="AD374" s="1" t="str">
        <f t="shared" ca="1" si="161"/>
        <v>ON</v>
      </c>
      <c r="AE374" s="1"/>
      <c r="AF374" s="20" t="str">
        <f t="shared" ca="1" si="172"/>
        <v>ON</v>
      </c>
      <c r="AG374" s="20" t="str">
        <f t="shared" ca="1" si="172"/>
        <v>ON</v>
      </c>
      <c r="AH374" s="1" t="str">
        <f t="shared" ca="1" si="163"/>
        <v>ON</v>
      </c>
      <c r="AI374" s="1" t="str">
        <f t="shared" ca="1" si="164"/>
        <v>OFF</v>
      </c>
      <c r="AJ374" s="1" t="str">
        <f t="shared" ca="1" si="165"/>
        <v>ON</v>
      </c>
      <c r="AK374" s="1" t="str">
        <f t="shared" ca="1" si="166"/>
        <v>ON</v>
      </c>
      <c r="AL374" s="1"/>
      <c r="AM374" s="20" t="str">
        <f t="shared" si="173"/>
        <v>ON</v>
      </c>
      <c r="AN374" s="20" t="str">
        <f t="shared" si="173"/>
        <v>ON</v>
      </c>
      <c r="AO374" s="20" t="str">
        <f t="shared" si="168"/>
        <v>ON</v>
      </c>
    </row>
    <row r="375" spans="1:41">
      <c r="A375" t="str">
        <f t="shared" ca="1" si="142"/>
        <v>Ekiti</v>
      </c>
      <c r="B375" t="str">
        <f t="shared" ca="1" si="143"/>
        <v>E</v>
      </c>
      <c r="C375" t="str">
        <f t="shared" ca="1" si="144"/>
        <v>E1</v>
      </c>
      <c r="D375" t="s">
        <v>8</v>
      </c>
      <c r="E375">
        <f t="shared" ca="1" si="145"/>
        <v>25</v>
      </c>
      <c r="F375">
        <f t="shared" ca="1" si="146"/>
        <v>2</v>
      </c>
      <c r="G375" t="str">
        <v>C</v>
      </c>
      <c r="H375" t="str">
        <v>C</v>
      </c>
      <c r="I375" t="str">
        <f ca="1">IF($A375="","",IF(COUNTA($K$2:$P$2)=6,"WK "&amp;_xlfn.ISOWEEKNUM($K$2)))</f>
        <v>WK 18</v>
      </c>
      <c r="J375" t="str">
        <f ca="1">IF($A375="","",IF(COUNTA($Y$2:$AD$2)=6,"WK "&amp;_xlfn.ISOWEEKNUM($Y$2)))</f>
        <v>WK 20</v>
      </c>
      <c r="K375" s="20" t="str">
        <f t="shared" ca="1" si="169"/>
        <v>ON</v>
      </c>
      <c r="L375" s="20" t="str">
        <f t="shared" ca="1" si="169"/>
        <v>ON</v>
      </c>
      <c r="M375" s="1" t="str">
        <f t="shared" ca="1" si="148"/>
        <v>ON</v>
      </c>
      <c r="N375" s="1" t="str">
        <f t="shared" ca="1" si="149"/>
        <v>ON</v>
      </c>
      <c r="O375" s="1" t="str">
        <f t="shared" ca="1" si="150"/>
        <v>OFF</v>
      </c>
      <c r="P375" s="1" t="str">
        <f t="shared" ca="1" si="151"/>
        <v>ON</v>
      </c>
      <c r="Q375" s="1"/>
      <c r="R375" s="20" t="str">
        <f t="shared" ca="1" si="170"/>
        <v>ON</v>
      </c>
      <c r="S375" s="20" t="str">
        <f t="shared" ca="1" si="170"/>
        <v>ON</v>
      </c>
      <c r="T375" s="1" t="str">
        <f t="shared" ca="1" si="153"/>
        <v>ON</v>
      </c>
      <c r="U375" s="1" t="str">
        <f t="shared" ca="1" si="154"/>
        <v>ON</v>
      </c>
      <c r="V375" s="1" t="str">
        <f t="shared" ca="1" si="155"/>
        <v>ON</v>
      </c>
      <c r="W375" s="1" t="str">
        <f t="shared" ca="1" si="156"/>
        <v>ON</v>
      </c>
      <c r="X375" s="1"/>
      <c r="Y375" s="20" t="str">
        <f t="shared" ca="1" si="171"/>
        <v>ON</v>
      </c>
      <c r="Z375" s="20" t="str">
        <f t="shared" ca="1" si="171"/>
        <v>ON</v>
      </c>
      <c r="AA375" s="1" t="str">
        <f t="shared" ca="1" si="158"/>
        <v>ON</v>
      </c>
      <c r="AB375" s="1" t="str">
        <f t="shared" ca="1" si="159"/>
        <v>ON</v>
      </c>
      <c r="AC375" s="1" t="str">
        <f t="shared" ca="1" si="160"/>
        <v>OFF</v>
      </c>
      <c r="AD375" s="1" t="str">
        <f t="shared" ca="1" si="161"/>
        <v>ON</v>
      </c>
      <c r="AE375" s="1"/>
      <c r="AF375" s="20" t="str">
        <f t="shared" ca="1" si="172"/>
        <v>ON</v>
      </c>
      <c r="AG375" s="20" t="str">
        <f t="shared" ca="1" si="172"/>
        <v>ON</v>
      </c>
      <c r="AH375" s="1" t="str">
        <f t="shared" ca="1" si="163"/>
        <v>ON</v>
      </c>
      <c r="AI375" s="1" t="str">
        <f t="shared" ca="1" si="164"/>
        <v>ON</v>
      </c>
      <c r="AJ375" s="1" t="str">
        <f t="shared" ca="1" si="165"/>
        <v>ON</v>
      </c>
      <c r="AK375" s="1" t="str">
        <f t="shared" ca="1" si="166"/>
        <v>ON</v>
      </c>
      <c r="AL375" s="1"/>
      <c r="AM375" s="20" t="str">
        <f t="shared" si="173"/>
        <v>ON</v>
      </c>
      <c r="AN375" s="20" t="str">
        <f t="shared" si="173"/>
        <v>ON</v>
      </c>
      <c r="AO375" s="20" t="str">
        <f t="shared" si="168"/>
        <v>ON</v>
      </c>
    </row>
    <row r="376" spans="1:41">
      <c r="A376" t="str">
        <f t="shared" ca="1" si="142"/>
        <v>Lagos</v>
      </c>
      <c r="B376" t="str">
        <f t="shared" ca="1" si="143"/>
        <v>E</v>
      </c>
      <c r="C376" t="str">
        <f t="shared" ca="1" si="144"/>
        <v>B1</v>
      </c>
      <c r="D376" t="s">
        <v>7</v>
      </c>
      <c r="E376">
        <f t="shared" ca="1" si="145"/>
        <v>25</v>
      </c>
      <c r="F376">
        <f t="shared" ca="1" si="146"/>
        <v>2</v>
      </c>
      <c r="G376" t="str">
        <v>D</v>
      </c>
      <c r="H376" t="str">
        <v>D</v>
      </c>
      <c r="I376" t="str">
        <f ca="1">IF($A376="","",IF(COUNTA($R$2:$W$2)=6,"WK "&amp;_xlfn.ISOWEEKNUM($R$2)))</f>
        <v>WK 19</v>
      </c>
      <c r="J376" t="str">
        <f ca="1">IF($A376="","",IF(COUNTA($AF$2:$AK$2)=6,"WK "&amp;_xlfn.ISOWEEKNUM($AF$2)))</f>
        <v>WK 21</v>
      </c>
      <c r="K376" s="20" t="str">
        <f t="shared" ca="1" si="169"/>
        <v>ON</v>
      </c>
      <c r="L376" s="20" t="str">
        <f t="shared" ca="1" si="169"/>
        <v>ON</v>
      </c>
      <c r="M376" s="1" t="str">
        <f t="shared" ca="1" si="148"/>
        <v>ON</v>
      </c>
      <c r="N376" s="1" t="str">
        <f t="shared" ca="1" si="149"/>
        <v>ON</v>
      </c>
      <c r="O376" s="1" t="str">
        <f t="shared" ca="1" si="150"/>
        <v>ON</v>
      </c>
      <c r="P376" s="1" t="str">
        <f t="shared" ca="1" si="151"/>
        <v>ON</v>
      </c>
      <c r="Q376" s="1"/>
      <c r="R376" s="20" t="str">
        <f t="shared" ca="1" si="170"/>
        <v>ON</v>
      </c>
      <c r="S376" s="20" t="str">
        <f t="shared" ca="1" si="170"/>
        <v>ON</v>
      </c>
      <c r="T376" s="1" t="str">
        <f t="shared" ca="1" si="153"/>
        <v>ON</v>
      </c>
      <c r="U376" s="1" t="str">
        <f t="shared" ca="1" si="154"/>
        <v>ON</v>
      </c>
      <c r="V376" s="1" t="str">
        <f t="shared" ca="1" si="155"/>
        <v>ON</v>
      </c>
      <c r="W376" s="1" t="str">
        <f t="shared" ca="1" si="156"/>
        <v>OFF</v>
      </c>
      <c r="X376" s="1"/>
      <c r="Y376" s="20" t="str">
        <f t="shared" ca="1" si="171"/>
        <v>ON</v>
      </c>
      <c r="Z376" s="20" t="str">
        <f t="shared" ca="1" si="171"/>
        <v>ON</v>
      </c>
      <c r="AA376" s="1" t="str">
        <f t="shared" ca="1" si="158"/>
        <v>ON</v>
      </c>
      <c r="AB376" s="1" t="str">
        <f t="shared" ca="1" si="159"/>
        <v>ON</v>
      </c>
      <c r="AC376" s="1" t="str">
        <f t="shared" ca="1" si="160"/>
        <v>ON</v>
      </c>
      <c r="AD376" s="1" t="str">
        <f t="shared" ca="1" si="161"/>
        <v>ON</v>
      </c>
      <c r="AE376" s="1"/>
      <c r="AF376" s="20" t="str">
        <f t="shared" ca="1" si="172"/>
        <v>ON</v>
      </c>
      <c r="AG376" s="20" t="str">
        <f t="shared" ca="1" si="172"/>
        <v>ON</v>
      </c>
      <c r="AH376" s="1" t="str">
        <f t="shared" ca="1" si="163"/>
        <v>ON</v>
      </c>
      <c r="AI376" s="1" t="str">
        <f t="shared" ca="1" si="164"/>
        <v>ON</v>
      </c>
      <c r="AJ376" s="1" t="str">
        <f t="shared" ca="1" si="165"/>
        <v>ON</v>
      </c>
      <c r="AK376" s="1" t="str">
        <f t="shared" ca="1" si="166"/>
        <v>OFF</v>
      </c>
      <c r="AL376" s="1"/>
      <c r="AM376" s="20" t="str">
        <f t="shared" si="173"/>
        <v>ON</v>
      </c>
      <c r="AN376" s="20" t="str">
        <f t="shared" si="173"/>
        <v>ON</v>
      </c>
      <c r="AO376" s="20" t="str">
        <f t="shared" si="168"/>
        <v>ON</v>
      </c>
    </row>
    <row r="377" spans="1:41">
      <c r="A377" t="str">
        <f t="shared" ca="1" si="142"/>
        <v>Lagos</v>
      </c>
      <c r="B377" t="str">
        <f t="shared" ca="1" si="143"/>
        <v>E</v>
      </c>
      <c r="C377" t="str">
        <f t="shared" ca="1" si="144"/>
        <v>E1</v>
      </c>
      <c r="D377" t="s">
        <v>7</v>
      </c>
      <c r="E377">
        <f t="shared" ca="1" si="145"/>
        <v>25</v>
      </c>
      <c r="F377">
        <f t="shared" ca="1" si="146"/>
        <v>2</v>
      </c>
      <c r="G377" t="str" cm="1">
        <f t="array" ref="G377:G380">IF($G$5:$G$8={"A";"B";"C";"D"},{"D";"C";"B";"A"},{"A";"B";"C";"D"})</f>
        <v>D</v>
      </c>
      <c r="H377" t="str" cm="1">
        <f t="array" ref="H377:H380">IF($H$5:$H$8={"A";"B";"C";"D"},{"D";"C";"B";"A"},{"A";"B";"C";"D"})</f>
        <v>D</v>
      </c>
      <c r="I377" t="str">
        <f ca="1">IF($A377="","",IF(COUNTA($K$2:$P$2)=6,"WK "&amp;_xlfn.ISOWEEKNUM($K$2)))</f>
        <v>WK 18</v>
      </c>
      <c r="J377" t="str">
        <f ca="1">IF($A377="","",IF(COUNTA($Y$2:$AD$2)=6,"WK "&amp;_xlfn.ISOWEEKNUM($Y$2)))</f>
        <v>WK 20</v>
      </c>
      <c r="K377" s="20" t="str">
        <f t="shared" ca="1" si="169"/>
        <v>ON</v>
      </c>
      <c r="L377" s="20" t="str">
        <f t="shared" ca="1" si="169"/>
        <v>ON</v>
      </c>
      <c r="M377" s="1" t="str">
        <f t="shared" ca="1" si="148"/>
        <v>ON</v>
      </c>
      <c r="N377" s="1" t="str">
        <f t="shared" ca="1" si="149"/>
        <v>ON</v>
      </c>
      <c r="O377" s="1" t="str">
        <f t="shared" ca="1" si="150"/>
        <v>ON</v>
      </c>
      <c r="P377" s="1" t="str">
        <f t="shared" ca="1" si="151"/>
        <v>OFF</v>
      </c>
      <c r="Q377" s="1"/>
      <c r="R377" s="20" t="str">
        <f t="shared" ca="1" si="170"/>
        <v>ON</v>
      </c>
      <c r="S377" s="20" t="str">
        <f t="shared" ca="1" si="170"/>
        <v>ON</v>
      </c>
      <c r="T377" s="1" t="str">
        <f t="shared" ca="1" si="153"/>
        <v>ON</v>
      </c>
      <c r="U377" s="1" t="str">
        <f t="shared" ca="1" si="154"/>
        <v>ON</v>
      </c>
      <c r="V377" s="1" t="str">
        <f t="shared" ca="1" si="155"/>
        <v>ON</v>
      </c>
      <c r="W377" s="1" t="str">
        <f t="shared" ca="1" si="156"/>
        <v>ON</v>
      </c>
      <c r="X377" s="1"/>
      <c r="Y377" s="20" t="str">
        <f t="shared" ca="1" si="171"/>
        <v>ON</v>
      </c>
      <c r="Z377" s="20" t="str">
        <f t="shared" ca="1" si="171"/>
        <v>ON</v>
      </c>
      <c r="AA377" s="1" t="str">
        <f t="shared" ca="1" si="158"/>
        <v>ON</v>
      </c>
      <c r="AB377" s="1" t="str">
        <f t="shared" ca="1" si="159"/>
        <v>ON</v>
      </c>
      <c r="AC377" s="1" t="str">
        <f t="shared" ca="1" si="160"/>
        <v>ON</v>
      </c>
      <c r="AD377" s="1" t="str">
        <f t="shared" ca="1" si="161"/>
        <v>OFF</v>
      </c>
      <c r="AE377" s="1"/>
      <c r="AF377" s="20" t="str">
        <f t="shared" ca="1" si="172"/>
        <v>ON</v>
      </c>
      <c r="AG377" s="20" t="str">
        <f t="shared" ca="1" si="172"/>
        <v>ON</v>
      </c>
      <c r="AH377" s="1" t="str">
        <f t="shared" ca="1" si="163"/>
        <v>ON</v>
      </c>
      <c r="AI377" s="1" t="str">
        <f t="shared" ca="1" si="164"/>
        <v>ON</v>
      </c>
      <c r="AJ377" s="1" t="str">
        <f t="shared" ca="1" si="165"/>
        <v>ON</v>
      </c>
      <c r="AK377" s="1" t="str">
        <f t="shared" ca="1" si="166"/>
        <v>ON</v>
      </c>
      <c r="AL377" s="1"/>
      <c r="AM377" s="20" t="str">
        <f t="shared" si="173"/>
        <v>ON</v>
      </c>
      <c r="AN377" s="20" t="str">
        <f t="shared" si="173"/>
        <v>ON</v>
      </c>
      <c r="AO377" s="20" t="str">
        <f t="shared" si="168"/>
        <v>ON</v>
      </c>
    </row>
    <row r="378" spans="1:41">
      <c r="A378" t="str">
        <f t="shared" ca="1" si="142"/>
        <v>Ogun</v>
      </c>
      <c r="B378" t="str">
        <f t="shared" ca="1" si="143"/>
        <v>C</v>
      </c>
      <c r="C378" t="str">
        <f t="shared" ca="1" si="144"/>
        <v>D1</v>
      </c>
      <c r="D378" t="s">
        <v>7</v>
      </c>
      <c r="E378">
        <f t="shared" ca="1" si="145"/>
        <v>25</v>
      </c>
      <c r="F378">
        <f t="shared" ca="1" si="146"/>
        <v>2</v>
      </c>
      <c r="G378" t="str">
        <v>C</v>
      </c>
      <c r="H378" t="str">
        <v>C</v>
      </c>
      <c r="I378" t="str">
        <f ca="1">IF($A378="","",IF(COUNTA($R$2:$W$2)=6,"WK "&amp;_xlfn.ISOWEEKNUM($R$2)))</f>
        <v>WK 19</v>
      </c>
      <c r="J378" t="str">
        <f ca="1">IF($A378="","",IF(COUNTA($AF$2:$AK$2)=6,"WK "&amp;_xlfn.ISOWEEKNUM($AF$2)))</f>
        <v>WK 21</v>
      </c>
      <c r="K378" s="20" t="str">
        <f t="shared" ca="1" si="169"/>
        <v>ON</v>
      </c>
      <c r="L378" s="20" t="str">
        <f t="shared" ca="1" si="169"/>
        <v>ON</v>
      </c>
      <c r="M378" s="1" t="str">
        <f t="shared" ca="1" si="148"/>
        <v>ON</v>
      </c>
      <c r="N378" s="1" t="str">
        <f t="shared" ca="1" si="149"/>
        <v>ON</v>
      </c>
      <c r="O378" s="1" t="str">
        <f t="shared" ca="1" si="150"/>
        <v>ON</v>
      </c>
      <c r="P378" s="1" t="str">
        <f t="shared" ca="1" si="151"/>
        <v>ON</v>
      </c>
      <c r="Q378" s="1"/>
      <c r="R378" s="20" t="str">
        <f t="shared" ca="1" si="170"/>
        <v>ON</v>
      </c>
      <c r="S378" s="20" t="str">
        <f t="shared" ca="1" si="170"/>
        <v>ON</v>
      </c>
      <c r="T378" s="1" t="str">
        <f t="shared" ca="1" si="153"/>
        <v>ON</v>
      </c>
      <c r="U378" s="1" t="str">
        <f t="shared" ca="1" si="154"/>
        <v>ON</v>
      </c>
      <c r="V378" s="1" t="str">
        <f t="shared" ca="1" si="155"/>
        <v>OFF</v>
      </c>
      <c r="W378" s="1" t="str">
        <f t="shared" ca="1" si="156"/>
        <v>ON</v>
      </c>
      <c r="X378" s="1"/>
      <c r="Y378" s="20" t="str">
        <f t="shared" ca="1" si="171"/>
        <v>ON</v>
      </c>
      <c r="Z378" s="20" t="str">
        <f t="shared" ca="1" si="171"/>
        <v>ON</v>
      </c>
      <c r="AA378" s="1" t="str">
        <f t="shared" ca="1" si="158"/>
        <v>ON</v>
      </c>
      <c r="AB378" s="1" t="str">
        <f t="shared" ca="1" si="159"/>
        <v>ON</v>
      </c>
      <c r="AC378" s="1" t="str">
        <f t="shared" ca="1" si="160"/>
        <v>ON</v>
      </c>
      <c r="AD378" s="1" t="str">
        <f t="shared" ca="1" si="161"/>
        <v>ON</v>
      </c>
      <c r="AE378" s="1"/>
      <c r="AF378" s="20" t="str">
        <f t="shared" ca="1" si="172"/>
        <v>ON</v>
      </c>
      <c r="AG378" s="20" t="str">
        <f t="shared" ca="1" si="172"/>
        <v>ON</v>
      </c>
      <c r="AH378" s="1" t="str">
        <f t="shared" ca="1" si="163"/>
        <v>ON</v>
      </c>
      <c r="AI378" s="1" t="str">
        <f t="shared" ca="1" si="164"/>
        <v>ON</v>
      </c>
      <c r="AJ378" s="1" t="str">
        <f t="shared" ca="1" si="165"/>
        <v>OFF</v>
      </c>
      <c r="AK378" s="1" t="str">
        <f t="shared" ca="1" si="166"/>
        <v>ON</v>
      </c>
      <c r="AL378" s="1"/>
      <c r="AM378" s="20" t="str">
        <f t="shared" si="173"/>
        <v>ON</v>
      </c>
      <c r="AN378" s="20" t="str">
        <f t="shared" si="173"/>
        <v>ON</v>
      </c>
      <c r="AO378" s="20" t="str">
        <f t="shared" si="168"/>
        <v>ON</v>
      </c>
    </row>
    <row r="379" spans="1:41">
      <c r="A379" t="str">
        <f t="shared" ca="1" si="142"/>
        <v>Ogun</v>
      </c>
      <c r="B379" t="str">
        <f t="shared" ca="1" si="143"/>
        <v>B</v>
      </c>
      <c r="C379" t="str">
        <f t="shared" ca="1" si="144"/>
        <v>C1</v>
      </c>
      <c r="D379" t="s">
        <v>7</v>
      </c>
      <c r="E379">
        <f t="shared" ca="1" si="145"/>
        <v>25</v>
      </c>
      <c r="F379">
        <f t="shared" ca="1" si="146"/>
        <v>2</v>
      </c>
      <c r="G379" t="str">
        <v>B</v>
      </c>
      <c r="H379" t="str">
        <v>B</v>
      </c>
      <c r="I379" t="str">
        <f ca="1">IF($A379="","",IF(COUNTA($K$2:$P$2)=6,"WK "&amp;_xlfn.ISOWEEKNUM($K$2)))</f>
        <v>WK 18</v>
      </c>
      <c r="J379" t="str">
        <f ca="1">IF($A379="","",IF(COUNTA($Y$2:$AD$2)=6,"WK "&amp;_xlfn.ISOWEEKNUM($Y$2)))</f>
        <v>WK 20</v>
      </c>
      <c r="K379" s="20" t="str">
        <f t="shared" ca="1" si="169"/>
        <v>ON</v>
      </c>
      <c r="L379" s="20" t="str">
        <f t="shared" ca="1" si="169"/>
        <v>ON</v>
      </c>
      <c r="M379" s="1" t="str">
        <f t="shared" ca="1" si="148"/>
        <v>ON</v>
      </c>
      <c r="N379" s="1" t="str">
        <f t="shared" ca="1" si="149"/>
        <v>OFF</v>
      </c>
      <c r="O379" s="1" t="str">
        <f t="shared" ca="1" si="150"/>
        <v>ON</v>
      </c>
      <c r="P379" s="1" t="str">
        <f t="shared" ca="1" si="151"/>
        <v>ON</v>
      </c>
      <c r="Q379" s="1"/>
      <c r="R379" s="20" t="str">
        <f t="shared" ca="1" si="170"/>
        <v>ON</v>
      </c>
      <c r="S379" s="20" t="str">
        <f t="shared" ca="1" si="170"/>
        <v>ON</v>
      </c>
      <c r="T379" s="1" t="str">
        <f t="shared" ca="1" si="153"/>
        <v>ON</v>
      </c>
      <c r="U379" s="1" t="str">
        <f t="shared" ca="1" si="154"/>
        <v>ON</v>
      </c>
      <c r="V379" s="1" t="str">
        <f t="shared" ca="1" si="155"/>
        <v>ON</v>
      </c>
      <c r="W379" s="1" t="str">
        <f t="shared" ca="1" si="156"/>
        <v>ON</v>
      </c>
      <c r="X379" s="1"/>
      <c r="Y379" s="20" t="str">
        <f t="shared" ca="1" si="171"/>
        <v>ON</v>
      </c>
      <c r="Z379" s="20" t="str">
        <f t="shared" ca="1" si="171"/>
        <v>ON</v>
      </c>
      <c r="AA379" s="1" t="str">
        <f t="shared" ca="1" si="158"/>
        <v>ON</v>
      </c>
      <c r="AB379" s="1" t="str">
        <f t="shared" ca="1" si="159"/>
        <v>OFF</v>
      </c>
      <c r="AC379" s="1" t="str">
        <f t="shared" ca="1" si="160"/>
        <v>ON</v>
      </c>
      <c r="AD379" s="1" t="str">
        <f t="shared" ca="1" si="161"/>
        <v>ON</v>
      </c>
      <c r="AE379" s="1"/>
      <c r="AF379" s="20" t="str">
        <f t="shared" ca="1" si="172"/>
        <v>ON</v>
      </c>
      <c r="AG379" s="20" t="str">
        <f t="shared" ca="1" si="172"/>
        <v>ON</v>
      </c>
      <c r="AH379" s="1" t="str">
        <f t="shared" ca="1" si="163"/>
        <v>ON</v>
      </c>
      <c r="AI379" s="1" t="str">
        <f t="shared" ca="1" si="164"/>
        <v>ON</v>
      </c>
      <c r="AJ379" s="1" t="str">
        <f t="shared" ca="1" si="165"/>
        <v>ON</v>
      </c>
      <c r="AK379" s="1" t="str">
        <f t="shared" ca="1" si="166"/>
        <v>ON</v>
      </c>
      <c r="AL379" s="1"/>
      <c r="AM379" s="20" t="str">
        <f t="shared" si="173"/>
        <v>ON</v>
      </c>
      <c r="AN379" s="20" t="str">
        <f t="shared" si="173"/>
        <v>ON</v>
      </c>
      <c r="AO379" s="20" t="str">
        <f t="shared" si="168"/>
        <v>ON</v>
      </c>
    </row>
    <row r="380" spans="1:41">
      <c r="A380" t="str">
        <f t="shared" ca="1" si="142"/>
        <v>Lagos</v>
      </c>
      <c r="B380" t="str">
        <f t="shared" ca="1" si="143"/>
        <v>C</v>
      </c>
      <c r="C380" t="str">
        <f t="shared" ca="1" si="144"/>
        <v>C1</v>
      </c>
      <c r="D380" t="s">
        <v>9</v>
      </c>
      <c r="E380">
        <f t="shared" ca="1" si="145"/>
        <v>25</v>
      </c>
      <c r="F380">
        <f t="shared" ca="1" si="146"/>
        <v>2</v>
      </c>
      <c r="G380" t="str">
        <v>A</v>
      </c>
      <c r="H380" t="str">
        <v>A</v>
      </c>
      <c r="I380" t="str">
        <f ca="1">IF($A380="","",IF(COUNTA($R$2:$W$2)=6,"WK "&amp;_xlfn.ISOWEEKNUM($R$2)))</f>
        <v>WK 19</v>
      </c>
      <c r="J380" t="str">
        <f ca="1">IF($A380="","",IF(COUNTA($AF$2:$AK$2)=6,"WK "&amp;_xlfn.ISOWEEKNUM($AF$2)))</f>
        <v>WK 21</v>
      </c>
      <c r="K380" s="20" t="str">
        <f t="shared" ca="1" si="169"/>
        <v>ON</v>
      </c>
      <c r="L380" s="20" t="str">
        <f t="shared" ca="1" si="169"/>
        <v>ON</v>
      </c>
      <c r="M380" s="1" t="str">
        <f t="shared" ca="1" si="148"/>
        <v>ON</v>
      </c>
      <c r="N380" s="1" t="str">
        <f t="shared" ca="1" si="149"/>
        <v>ON</v>
      </c>
      <c r="O380" s="1" t="str">
        <f t="shared" ca="1" si="150"/>
        <v>ON</v>
      </c>
      <c r="P380" s="1" t="str">
        <f t="shared" ca="1" si="151"/>
        <v>ON</v>
      </c>
      <c r="Q380" s="1"/>
      <c r="R380" s="20" t="str">
        <f t="shared" ca="1" si="170"/>
        <v>ON</v>
      </c>
      <c r="S380" s="20" t="str">
        <f t="shared" ca="1" si="170"/>
        <v>ON</v>
      </c>
      <c r="T380" s="1" t="str">
        <f t="shared" ca="1" si="153"/>
        <v>OFF</v>
      </c>
      <c r="U380" s="1" t="str">
        <f t="shared" ca="1" si="154"/>
        <v>ON</v>
      </c>
      <c r="V380" s="1" t="str">
        <f t="shared" ca="1" si="155"/>
        <v>ON</v>
      </c>
      <c r="W380" s="1" t="str">
        <f t="shared" ca="1" si="156"/>
        <v>ON</v>
      </c>
      <c r="X380" s="1"/>
      <c r="Y380" s="20" t="str">
        <f t="shared" ca="1" si="171"/>
        <v>ON</v>
      </c>
      <c r="Z380" s="20" t="str">
        <f t="shared" ca="1" si="171"/>
        <v>ON</v>
      </c>
      <c r="AA380" s="1" t="str">
        <f t="shared" ca="1" si="158"/>
        <v>ON</v>
      </c>
      <c r="AB380" s="1" t="str">
        <f t="shared" ca="1" si="159"/>
        <v>ON</v>
      </c>
      <c r="AC380" s="1" t="str">
        <f t="shared" ca="1" si="160"/>
        <v>ON</v>
      </c>
      <c r="AD380" s="1" t="str">
        <f t="shared" ca="1" si="161"/>
        <v>ON</v>
      </c>
      <c r="AE380" s="1"/>
      <c r="AF380" s="20" t="str">
        <f t="shared" ca="1" si="172"/>
        <v>ON</v>
      </c>
      <c r="AG380" s="20" t="str">
        <f t="shared" ca="1" si="172"/>
        <v>ON</v>
      </c>
      <c r="AH380" s="1" t="str">
        <f t="shared" ca="1" si="163"/>
        <v>OFF</v>
      </c>
      <c r="AI380" s="1" t="str">
        <f t="shared" ca="1" si="164"/>
        <v>ON</v>
      </c>
      <c r="AJ380" s="1" t="str">
        <f t="shared" ca="1" si="165"/>
        <v>ON</v>
      </c>
      <c r="AK380" s="1" t="str">
        <f t="shared" ca="1" si="166"/>
        <v>ON</v>
      </c>
      <c r="AL380" s="1"/>
      <c r="AM380" s="20" t="str">
        <f t="shared" si="173"/>
        <v>ON</v>
      </c>
      <c r="AN380" s="20" t="str">
        <f t="shared" si="173"/>
        <v>ON</v>
      </c>
      <c r="AO380" s="20" t="str">
        <f t="shared" si="168"/>
        <v>ON</v>
      </c>
    </row>
    <row r="381" spans="1:41">
      <c r="A381" t="str">
        <f t="shared" ca="1" si="142"/>
        <v>Ekiti</v>
      </c>
      <c r="B381" t="str">
        <f t="shared" ca="1" si="143"/>
        <v>D</v>
      </c>
      <c r="C381" t="str">
        <f t="shared" ca="1" si="144"/>
        <v>D1</v>
      </c>
      <c r="D381" t="s">
        <v>5</v>
      </c>
      <c r="E381">
        <f t="shared" ca="1" si="145"/>
        <v>25</v>
      </c>
      <c r="F381">
        <f t="shared" ca="1" si="146"/>
        <v>2</v>
      </c>
      <c r="G381" t="str" cm="1">
        <f t="array" ref="G381:G384">Groups!$B$2:$B$5</f>
        <v>A</v>
      </c>
      <c r="H381" t="str" cm="1">
        <f t="array" ref="H381:H384">Groups!$B$2:$B$5</f>
        <v>A</v>
      </c>
      <c r="I381" t="str">
        <f ca="1">IF($A381="","",IF(COUNTA($K$2:$P$2)=6,"WK "&amp;_xlfn.ISOWEEKNUM($K$2)))</f>
        <v>WK 18</v>
      </c>
      <c r="J381" t="str">
        <f ca="1">IF($A381="","",IF(COUNTA($Y$2:$AD$2)=6,"WK "&amp;_xlfn.ISOWEEKNUM($Y$2)))</f>
        <v>WK 20</v>
      </c>
      <c r="K381" s="20" t="str">
        <f t="shared" ca="1" si="169"/>
        <v>ON</v>
      </c>
      <c r="L381" s="20" t="str">
        <f t="shared" ca="1" si="169"/>
        <v>ON</v>
      </c>
      <c r="M381" s="1" t="str">
        <f t="shared" ca="1" si="148"/>
        <v>OFF</v>
      </c>
      <c r="N381" s="1" t="str">
        <f t="shared" ca="1" si="149"/>
        <v>ON</v>
      </c>
      <c r="O381" s="1" t="str">
        <f t="shared" ca="1" si="150"/>
        <v>ON</v>
      </c>
      <c r="P381" s="1" t="str">
        <f t="shared" ca="1" si="151"/>
        <v>ON</v>
      </c>
      <c r="Q381" s="1"/>
      <c r="R381" s="20" t="str">
        <f t="shared" ca="1" si="170"/>
        <v>ON</v>
      </c>
      <c r="S381" s="20" t="str">
        <f t="shared" ca="1" si="170"/>
        <v>ON</v>
      </c>
      <c r="T381" s="1" t="str">
        <f t="shared" ca="1" si="153"/>
        <v>ON</v>
      </c>
      <c r="U381" s="1" t="str">
        <f t="shared" ca="1" si="154"/>
        <v>ON</v>
      </c>
      <c r="V381" s="1" t="str">
        <f t="shared" ca="1" si="155"/>
        <v>ON</v>
      </c>
      <c r="W381" s="1" t="str">
        <f t="shared" ca="1" si="156"/>
        <v>ON</v>
      </c>
      <c r="X381" s="1"/>
      <c r="Y381" s="20" t="str">
        <f t="shared" ca="1" si="171"/>
        <v>ON</v>
      </c>
      <c r="Z381" s="20" t="str">
        <f t="shared" ca="1" si="171"/>
        <v>ON</v>
      </c>
      <c r="AA381" s="1" t="str">
        <f t="shared" ca="1" si="158"/>
        <v>OFF</v>
      </c>
      <c r="AB381" s="1" t="str">
        <f t="shared" ca="1" si="159"/>
        <v>ON</v>
      </c>
      <c r="AC381" s="1" t="str">
        <f t="shared" ca="1" si="160"/>
        <v>ON</v>
      </c>
      <c r="AD381" s="1" t="str">
        <f t="shared" ca="1" si="161"/>
        <v>ON</v>
      </c>
      <c r="AE381" s="1"/>
      <c r="AF381" s="20" t="str">
        <f t="shared" ca="1" si="172"/>
        <v>ON</v>
      </c>
      <c r="AG381" s="20" t="str">
        <f t="shared" ca="1" si="172"/>
        <v>ON</v>
      </c>
      <c r="AH381" s="1" t="str">
        <f t="shared" ca="1" si="163"/>
        <v>ON</v>
      </c>
      <c r="AI381" s="1" t="str">
        <f t="shared" ca="1" si="164"/>
        <v>ON</v>
      </c>
      <c r="AJ381" s="1" t="str">
        <f t="shared" ca="1" si="165"/>
        <v>ON</v>
      </c>
      <c r="AK381" s="1" t="str">
        <f t="shared" ca="1" si="166"/>
        <v>ON</v>
      </c>
      <c r="AL381" s="1"/>
      <c r="AM381" s="20" t="str">
        <f t="shared" si="173"/>
        <v>ON</v>
      </c>
      <c r="AN381" s="20" t="str">
        <f t="shared" si="173"/>
        <v>ON</v>
      </c>
      <c r="AO381" s="20" t="str">
        <f t="shared" si="168"/>
        <v>ON</v>
      </c>
    </row>
    <row r="382" spans="1:41">
      <c r="A382" t="str">
        <f t="shared" ca="1" si="142"/>
        <v>Ekiti</v>
      </c>
      <c r="B382" t="str">
        <f t="shared" ca="1" si="143"/>
        <v>A</v>
      </c>
      <c r="C382" t="str">
        <f t="shared" ca="1" si="144"/>
        <v>A1</v>
      </c>
      <c r="D382" t="s">
        <v>5</v>
      </c>
      <c r="E382">
        <f t="shared" ca="1" si="145"/>
        <v>25</v>
      </c>
      <c r="F382">
        <f t="shared" ca="1" si="146"/>
        <v>2</v>
      </c>
      <c r="G382" t="str">
        <v>B</v>
      </c>
      <c r="H382" t="str">
        <v>B</v>
      </c>
      <c r="I382" t="str">
        <f ca="1">IF($A382="","",IF(COUNTA($R$2:$W$2)=6,"WK "&amp;_xlfn.ISOWEEKNUM($R$2)))</f>
        <v>WK 19</v>
      </c>
      <c r="J382" t="str">
        <f ca="1">IF($A382="","",IF(COUNTA($AF$2:$AK$2)=6,"WK "&amp;_xlfn.ISOWEEKNUM($AF$2)))</f>
        <v>WK 21</v>
      </c>
      <c r="K382" s="20" t="str">
        <f t="shared" ca="1" si="169"/>
        <v>ON</v>
      </c>
      <c r="L382" s="20" t="str">
        <f t="shared" ca="1" si="169"/>
        <v>ON</v>
      </c>
      <c r="M382" s="1" t="str">
        <f t="shared" ca="1" si="148"/>
        <v>ON</v>
      </c>
      <c r="N382" s="1" t="str">
        <f t="shared" ca="1" si="149"/>
        <v>ON</v>
      </c>
      <c r="O382" s="1" t="str">
        <f t="shared" ca="1" si="150"/>
        <v>ON</v>
      </c>
      <c r="P382" s="1" t="str">
        <f t="shared" ca="1" si="151"/>
        <v>ON</v>
      </c>
      <c r="Q382" s="1"/>
      <c r="R382" s="20" t="str">
        <f t="shared" ca="1" si="170"/>
        <v>ON</v>
      </c>
      <c r="S382" s="20" t="str">
        <f t="shared" ca="1" si="170"/>
        <v>ON</v>
      </c>
      <c r="T382" s="1" t="str">
        <f t="shared" ca="1" si="153"/>
        <v>ON</v>
      </c>
      <c r="U382" s="1" t="str">
        <f t="shared" ca="1" si="154"/>
        <v>OFF</v>
      </c>
      <c r="V382" s="1" t="str">
        <f t="shared" ca="1" si="155"/>
        <v>ON</v>
      </c>
      <c r="W382" s="1" t="str">
        <f t="shared" ca="1" si="156"/>
        <v>ON</v>
      </c>
      <c r="X382" s="1"/>
      <c r="Y382" s="20" t="str">
        <f t="shared" ca="1" si="171"/>
        <v>ON</v>
      </c>
      <c r="Z382" s="20" t="str">
        <f t="shared" ca="1" si="171"/>
        <v>ON</v>
      </c>
      <c r="AA382" s="1" t="str">
        <f t="shared" ca="1" si="158"/>
        <v>ON</v>
      </c>
      <c r="AB382" s="1" t="str">
        <f t="shared" ca="1" si="159"/>
        <v>ON</v>
      </c>
      <c r="AC382" s="1" t="str">
        <f t="shared" ca="1" si="160"/>
        <v>ON</v>
      </c>
      <c r="AD382" s="1" t="str">
        <f t="shared" ca="1" si="161"/>
        <v>ON</v>
      </c>
      <c r="AE382" s="1"/>
      <c r="AF382" s="20" t="str">
        <f t="shared" ca="1" si="172"/>
        <v>ON</v>
      </c>
      <c r="AG382" s="20" t="str">
        <f t="shared" ca="1" si="172"/>
        <v>ON</v>
      </c>
      <c r="AH382" s="1" t="str">
        <f t="shared" ca="1" si="163"/>
        <v>ON</v>
      </c>
      <c r="AI382" s="1" t="str">
        <f t="shared" ca="1" si="164"/>
        <v>OFF</v>
      </c>
      <c r="AJ382" s="1" t="str">
        <f t="shared" ca="1" si="165"/>
        <v>ON</v>
      </c>
      <c r="AK382" s="1" t="str">
        <f t="shared" ca="1" si="166"/>
        <v>ON</v>
      </c>
      <c r="AL382" s="1"/>
      <c r="AM382" s="20" t="str">
        <f t="shared" si="173"/>
        <v>ON</v>
      </c>
      <c r="AN382" s="20" t="str">
        <f t="shared" si="173"/>
        <v>ON</v>
      </c>
      <c r="AO382" s="20" t="str">
        <f t="shared" si="168"/>
        <v>ON</v>
      </c>
    </row>
    <row r="383" spans="1:41">
      <c r="A383" t="str">
        <f t="shared" ca="1" si="142"/>
        <v>Ondo</v>
      </c>
      <c r="B383" t="str">
        <f t="shared" ca="1" si="143"/>
        <v>E</v>
      </c>
      <c r="C383" t="str">
        <f t="shared" ca="1" si="144"/>
        <v>E1</v>
      </c>
      <c r="D383" t="s">
        <v>5</v>
      </c>
      <c r="E383">
        <f t="shared" ca="1" si="145"/>
        <v>25</v>
      </c>
      <c r="F383">
        <f t="shared" ca="1" si="146"/>
        <v>2</v>
      </c>
      <c r="G383" t="str">
        <v>C</v>
      </c>
      <c r="H383" t="str">
        <v>C</v>
      </c>
      <c r="I383" t="str">
        <f ca="1">IF($A383="","",IF(COUNTA($K$2:$P$2)=6,"WK "&amp;_xlfn.ISOWEEKNUM($K$2)))</f>
        <v>WK 18</v>
      </c>
      <c r="J383" t="str">
        <f ca="1">IF($A383="","",IF(COUNTA($Y$2:$AD$2)=6,"WK "&amp;_xlfn.ISOWEEKNUM($Y$2)))</f>
        <v>WK 20</v>
      </c>
      <c r="K383" s="20" t="str">
        <f t="shared" ca="1" si="169"/>
        <v>ON</v>
      </c>
      <c r="L383" s="20" t="str">
        <f t="shared" ca="1" si="169"/>
        <v>ON</v>
      </c>
      <c r="M383" s="1" t="str">
        <f t="shared" ca="1" si="148"/>
        <v>ON</v>
      </c>
      <c r="N383" s="1" t="str">
        <f t="shared" ca="1" si="149"/>
        <v>ON</v>
      </c>
      <c r="O383" s="1" t="str">
        <f t="shared" ca="1" si="150"/>
        <v>OFF</v>
      </c>
      <c r="P383" s="1" t="str">
        <f t="shared" ca="1" si="151"/>
        <v>ON</v>
      </c>
      <c r="Q383" s="1"/>
      <c r="R383" s="20" t="str">
        <f t="shared" ca="1" si="170"/>
        <v>ON</v>
      </c>
      <c r="S383" s="20" t="str">
        <f t="shared" ca="1" si="170"/>
        <v>ON</v>
      </c>
      <c r="T383" s="1" t="str">
        <f t="shared" ca="1" si="153"/>
        <v>ON</v>
      </c>
      <c r="U383" s="1" t="str">
        <f t="shared" ca="1" si="154"/>
        <v>ON</v>
      </c>
      <c r="V383" s="1" t="str">
        <f t="shared" ca="1" si="155"/>
        <v>ON</v>
      </c>
      <c r="W383" s="1" t="str">
        <f t="shared" ca="1" si="156"/>
        <v>ON</v>
      </c>
      <c r="X383" s="1"/>
      <c r="Y383" s="20" t="str">
        <f t="shared" ca="1" si="171"/>
        <v>ON</v>
      </c>
      <c r="Z383" s="20" t="str">
        <f t="shared" ca="1" si="171"/>
        <v>ON</v>
      </c>
      <c r="AA383" s="1" t="str">
        <f t="shared" ca="1" si="158"/>
        <v>ON</v>
      </c>
      <c r="AB383" s="1" t="str">
        <f t="shared" ca="1" si="159"/>
        <v>ON</v>
      </c>
      <c r="AC383" s="1" t="str">
        <f t="shared" ca="1" si="160"/>
        <v>OFF</v>
      </c>
      <c r="AD383" s="1" t="str">
        <f t="shared" ca="1" si="161"/>
        <v>ON</v>
      </c>
      <c r="AE383" s="1"/>
      <c r="AF383" s="20" t="str">
        <f t="shared" ca="1" si="172"/>
        <v>ON</v>
      </c>
      <c r="AG383" s="20" t="str">
        <f t="shared" ca="1" si="172"/>
        <v>ON</v>
      </c>
      <c r="AH383" s="1" t="str">
        <f t="shared" ca="1" si="163"/>
        <v>ON</v>
      </c>
      <c r="AI383" s="1" t="str">
        <f t="shared" ca="1" si="164"/>
        <v>ON</v>
      </c>
      <c r="AJ383" s="1" t="str">
        <f t="shared" ca="1" si="165"/>
        <v>ON</v>
      </c>
      <c r="AK383" s="1" t="str">
        <f t="shared" ca="1" si="166"/>
        <v>ON</v>
      </c>
      <c r="AL383" s="1"/>
      <c r="AM383" s="20" t="str">
        <f t="shared" si="173"/>
        <v>ON</v>
      </c>
      <c r="AN383" s="20" t="str">
        <f t="shared" si="173"/>
        <v>ON</v>
      </c>
      <c r="AO383" s="20" t="str">
        <f t="shared" si="168"/>
        <v>ON</v>
      </c>
    </row>
    <row r="384" spans="1:41">
      <c r="A384" t="str">
        <f t="shared" ca="1" si="142"/>
        <v>Ondo</v>
      </c>
      <c r="B384" t="str">
        <f t="shared" ca="1" si="143"/>
        <v>C</v>
      </c>
      <c r="C384" t="str">
        <f t="shared" ca="1" si="144"/>
        <v>C1</v>
      </c>
      <c r="D384" t="s">
        <v>4</v>
      </c>
      <c r="E384">
        <f t="shared" ca="1" si="145"/>
        <v>25</v>
      </c>
      <c r="F384">
        <f t="shared" ca="1" si="146"/>
        <v>2</v>
      </c>
      <c r="G384" t="str">
        <v>D</v>
      </c>
      <c r="H384" t="str">
        <v>D</v>
      </c>
      <c r="I384" t="str">
        <f ca="1">IF($A384="","",IF(COUNTA($R$2:$W$2)=6,"WK "&amp;_xlfn.ISOWEEKNUM($R$2)))</f>
        <v>WK 19</v>
      </c>
      <c r="J384" t="str">
        <f ca="1">IF($A384="","",IF(COUNTA($AF$2:$AK$2)=6,"WK "&amp;_xlfn.ISOWEEKNUM($AF$2)))</f>
        <v>WK 21</v>
      </c>
      <c r="K384" s="20" t="str">
        <f t="shared" ca="1" si="169"/>
        <v>ON</v>
      </c>
      <c r="L384" s="20" t="str">
        <f t="shared" ca="1" si="169"/>
        <v>ON</v>
      </c>
      <c r="M384" s="1" t="str">
        <f t="shared" ca="1" si="148"/>
        <v>ON</v>
      </c>
      <c r="N384" s="1" t="str">
        <f t="shared" ca="1" si="149"/>
        <v>ON</v>
      </c>
      <c r="O384" s="1" t="str">
        <f t="shared" ca="1" si="150"/>
        <v>ON</v>
      </c>
      <c r="P384" s="1" t="str">
        <f t="shared" ca="1" si="151"/>
        <v>ON</v>
      </c>
      <c r="Q384" s="1"/>
      <c r="R384" s="20" t="str">
        <f t="shared" ca="1" si="170"/>
        <v>ON</v>
      </c>
      <c r="S384" s="20" t="str">
        <f t="shared" ca="1" si="170"/>
        <v>ON</v>
      </c>
      <c r="T384" s="1" t="str">
        <f t="shared" ca="1" si="153"/>
        <v>ON</v>
      </c>
      <c r="U384" s="1" t="str">
        <f t="shared" ca="1" si="154"/>
        <v>ON</v>
      </c>
      <c r="V384" s="1" t="str">
        <f t="shared" ca="1" si="155"/>
        <v>ON</v>
      </c>
      <c r="W384" s="1" t="str">
        <f t="shared" ca="1" si="156"/>
        <v>OFF</v>
      </c>
      <c r="X384" s="1"/>
      <c r="Y384" s="20" t="str">
        <f t="shared" ca="1" si="171"/>
        <v>ON</v>
      </c>
      <c r="Z384" s="20" t="str">
        <f t="shared" ca="1" si="171"/>
        <v>ON</v>
      </c>
      <c r="AA384" s="1" t="str">
        <f t="shared" ca="1" si="158"/>
        <v>ON</v>
      </c>
      <c r="AB384" s="1" t="str">
        <f t="shared" ca="1" si="159"/>
        <v>ON</v>
      </c>
      <c r="AC384" s="1" t="str">
        <f t="shared" ca="1" si="160"/>
        <v>ON</v>
      </c>
      <c r="AD384" s="1" t="str">
        <f t="shared" ca="1" si="161"/>
        <v>ON</v>
      </c>
      <c r="AE384" s="1"/>
      <c r="AF384" s="20" t="str">
        <f t="shared" ca="1" si="172"/>
        <v>ON</v>
      </c>
      <c r="AG384" s="20" t="str">
        <f t="shared" ca="1" si="172"/>
        <v>ON</v>
      </c>
      <c r="AH384" s="1" t="str">
        <f t="shared" ca="1" si="163"/>
        <v>ON</v>
      </c>
      <c r="AI384" s="1" t="str">
        <f t="shared" ca="1" si="164"/>
        <v>ON</v>
      </c>
      <c r="AJ384" s="1" t="str">
        <f t="shared" ca="1" si="165"/>
        <v>ON</v>
      </c>
      <c r="AK384" s="1" t="str">
        <f t="shared" ca="1" si="166"/>
        <v>OFF</v>
      </c>
      <c r="AL384" s="1"/>
      <c r="AM384" s="20" t="str">
        <f t="shared" si="173"/>
        <v>ON</v>
      </c>
      <c r="AN384" s="20" t="str">
        <f t="shared" si="173"/>
        <v>ON</v>
      </c>
      <c r="AO384" s="20" t="str">
        <f t="shared" si="168"/>
        <v>ON</v>
      </c>
    </row>
    <row r="385" spans="1:41">
      <c r="A385" t="str">
        <f t="shared" ca="1" si="142"/>
        <v>Lagos</v>
      </c>
      <c r="B385" t="str">
        <f t="shared" ca="1" si="143"/>
        <v>C</v>
      </c>
      <c r="C385" t="str">
        <f t="shared" ca="1" si="144"/>
        <v>B1</v>
      </c>
      <c r="D385" t="s">
        <v>4</v>
      </c>
      <c r="E385">
        <f t="shared" ca="1" si="145"/>
        <v>25</v>
      </c>
      <c r="F385">
        <f t="shared" ca="1" si="146"/>
        <v>2</v>
      </c>
      <c r="G385" t="str" cm="1">
        <f t="array" ref="G385:G388">IF($G$5:$G$8={"A";"B";"C";"D"},{"D";"C";"B";"A"},{"A";"B";"C";"D"})</f>
        <v>D</v>
      </c>
      <c r="H385" t="str" cm="1">
        <f t="array" ref="H385:H388">IF($H$5:$H$8={"A";"B";"C";"D"},{"D";"C";"B";"A"},{"A";"B";"C";"D"})</f>
        <v>D</v>
      </c>
      <c r="I385" t="str">
        <f ca="1">IF($A385="","",IF(COUNTA($K$2:$P$2)=6,"WK "&amp;_xlfn.ISOWEEKNUM($K$2)))</f>
        <v>WK 18</v>
      </c>
      <c r="J385" t="str">
        <f ca="1">IF($A385="","",IF(COUNTA($Y$2:$AD$2)=6,"WK "&amp;_xlfn.ISOWEEKNUM($Y$2)))</f>
        <v>WK 20</v>
      </c>
      <c r="K385" s="20" t="str">
        <f t="shared" ca="1" si="169"/>
        <v>ON</v>
      </c>
      <c r="L385" s="20" t="str">
        <f t="shared" ca="1" si="169"/>
        <v>ON</v>
      </c>
      <c r="M385" s="1" t="str">
        <f t="shared" ca="1" si="148"/>
        <v>ON</v>
      </c>
      <c r="N385" s="1" t="str">
        <f t="shared" ca="1" si="149"/>
        <v>ON</v>
      </c>
      <c r="O385" s="1" t="str">
        <f t="shared" ca="1" si="150"/>
        <v>ON</v>
      </c>
      <c r="P385" s="1" t="str">
        <f t="shared" ca="1" si="151"/>
        <v>OFF</v>
      </c>
      <c r="Q385" s="1"/>
      <c r="R385" s="20" t="str">
        <f t="shared" ca="1" si="170"/>
        <v>ON</v>
      </c>
      <c r="S385" s="20" t="str">
        <f t="shared" ca="1" si="170"/>
        <v>ON</v>
      </c>
      <c r="T385" s="1" t="str">
        <f t="shared" ca="1" si="153"/>
        <v>ON</v>
      </c>
      <c r="U385" s="1" t="str">
        <f t="shared" ca="1" si="154"/>
        <v>ON</v>
      </c>
      <c r="V385" s="1" t="str">
        <f t="shared" ca="1" si="155"/>
        <v>ON</v>
      </c>
      <c r="W385" s="1" t="str">
        <f t="shared" ca="1" si="156"/>
        <v>ON</v>
      </c>
      <c r="X385" s="1"/>
      <c r="Y385" s="20" t="str">
        <f t="shared" ca="1" si="171"/>
        <v>ON</v>
      </c>
      <c r="Z385" s="20" t="str">
        <f t="shared" ca="1" si="171"/>
        <v>ON</v>
      </c>
      <c r="AA385" s="1" t="str">
        <f t="shared" ca="1" si="158"/>
        <v>ON</v>
      </c>
      <c r="AB385" s="1" t="str">
        <f t="shared" ca="1" si="159"/>
        <v>ON</v>
      </c>
      <c r="AC385" s="1" t="str">
        <f t="shared" ca="1" si="160"/>
        <v>ON</v>
      </c>
      <c r="AD385" s="1" t="str">
        <f t="shared" ca="1" si="161"/>
        <v>OFF</v>
      </c>
      <c r="AE385" s="1"/>
      <c r="AF385" s="20" t="str">
        <f t="shared" ca="1" si="172"/>
        <v>ON</v>
      </c>
      <c r="AG385" s="20" t="str">
        <f t="shared" ca="1" si="172"/>
        <v>ON</v>
      </c>
      <c r="AH385" s="1" t="str">
        <f t="shared" ca="1" si="163"/>
        <v>ON</v>
      </c>
      <c r="AI385" s="1" t="str">
        <f t="shared" ca="1" si="164"/>
        <v>ON</v>
      </c>
      <c r="AJ385" s="1" t="str">
        <f t="shared" ca="1" si="165"/>
        <v>ON</v>
      </c>
      <c r="AK385" s="1" t="str">
        <f t="shared" ca="1" si="166"/>
        <v>ON</v>
      </c>
      <c r="AL385" s="1"/>
      <c r="AM385" s="20" t="str">
        <f t="shared" si="173"/>
        <v>ON</v>
      </c>
      <c r="AN385" s="20" t="str">
        <f t="shared" si="173"/>
        <v>ON</v>
      </c>
      <c r="AO385" s="20" t="str">
        <f t="shared" si="168"/>
        <v>ON</v>
      </c>
    </row>
    <row r="386" spans="1:41">
      <c r="A386" t="str">
        <f t="shared" ca="1" si="142"/>
        <v>Lagos</v>
      </c>
      <c r="B386" t="str">
        <f t="shared" ca="1" si="143"/>
        <v>C</v>
      </c>
      <c r="C386" t="str">
        <f t="shared" ca="1" si="144"/>
        <v>B1</v>
      </c>
      <c r="D386" t="s">
        <v>4</v>
      </c>
      <c r="E386">
        <f t="shared" ca="1" si="145"/>
        <v>25</v>
      </c>
      <c r="F386">
        <f t="shared" ca="1" si="146"/>
        <v>2</v>
      </c>
      <c r="G386" t="str">
        <v>C</v>
      </c>
      <c r="H386" t="str">
        <v>C</v>
      </c>
      <c r="I386" t="str">
        <f ca="1">IF($A386="","",IF(COUNTA($R$2:$W$2)=6,"WK "&amp;_xlfn.ISOWEEKNUM($R$2)))</f>
        <v>WK 19</v>
      </c>
      <c r="J386" t="str">
        <f ca="1">IF($A386="","",IF(COUNTA($AF$2:$AK$2)=6,"WK "&amp;_xlfn.ISOWEEKNUM($AF$2)))</f>
        <v>WK 21</v>
      </c>
      <c r="K386" s="20" t="str">
        <f t="shared" ca="1" si="169"/>
        <v>ON</v>
      </c>
      <c r="L386" s="20" t="str">
        <f t="shared" ca="1" si="169"/>
        <v>ON</v>
      </c>
      <c r="M386" s="1" t="str">
        <f t="shared" ca="1" si="148"/>
        <v>ON</v>
      </c>
      <c r="N386" s="1" t="str">
        <f t="shared" ca="1" si="149"/>
        <v>ON</v>
      </c>
      <c r="O386" s="1" t="str">
        <f t="shared" ca="1" si="150"/>
        <v>ON</v>
      </c>
      <c r="P386" s="1" t="str">
        <f t="shared" ca="1" si="151"/>
        <v>ON</v>
      </c>
      <c r="Q386" s="1"/>
      <c r="R386" s="20" t="str">
        <f t="shared" ca="1" si="170"/>
        <v>ON</v>
      </c>
      <c r="S386" s="20" t="str">
        <f t="shared" ca="1" si="170"/>
        <v>ON</v>
      </c>
      <c r="T386" s="1" t="str">
        <f t="shared" ca="1" si="153"/>
        <v>ON</v>
      </c>
      <c r="U386" s="1" t="str">
        <f t="shared" ca="1" si="154"/>
        <v>ON</v>
      </c>
      <c r="V386" s="1" t="str">
        <f t="shared" ca="1" si="155"/>
        <v>OFF</v>
      </c>
      <c r="W386" s="1" t="str">
        <f t="shared" ca="1" si="156"/>
        <v>ON</v>
      </c>
      <c r="X386" s="1"/>
      <c r="Y386" s="20" t="str">
        <f t="shared" ca="1" si="171"/>
        <v>ON</v>
      </c>
      <c r="Z386" s="20" t="str">
        <f t="shared" ca="1" si="171"/>
        <v>ON</v>
      </c>
      <c r="AA386" s="1" t="str">
        <f t="shared" ca="1" si="158"/>
        <v>ON</v>
      </c>
      <c r="AB386" s="1" t="str">
        <f t="shared" ca="1" si="159"/>
        <v>ON</v>
      </c>
      <c r="AC386" s="1" t="str">
        <f t="shared" ca="1" si="160"/>
        <v>ON</v>
      </c>
      <c r="AD386" s="1" t="str">
        <f t="shared" ca="1" si="161"/>
        <v>ON</v>
      </c>
      <c r="AE386" s="1"/>
      <c r="AF386" s="20" t="str">
        <f t="shared" ca="1" si="172"/>
        <v>ON</v>
      </c>
      <c r="AG386" s="20" t="str">
        <f t="shared" ca="1" si="172"/>
        <v>ON</v>
      </c>
      <c r="AH386" s="1" t="str">
        <f t="shared" ca="1" si="163"/>
        <v>ON</v>
      </c>
      <c r="AI386" s="1" t="str">
        <f t="shared" ca="1" si="164"/>
        <v>ON</v>
      </c>
      <c r="AJ386" s="1" t="str">
        <f t="shared" ca="1" si="165"/>
        <v>OFF</v>
      </c>
      <c r="AK386" s="1" t="str">
        <f t="shared" ca="1" si="166"/>
        <v>ON</v>
      </c>
      <c r="AL386" s="1"/>
      <c r="AM386" s="20" t="str">
        <f t="shared" si="173"/>
        <v>ON</v>
      </c>
      <c r="AN386" s="20" t="str">
        <f t="shared" si="173"/>
        <v>ON</v>
      </c>
      <c r="AO386" s="20" t="str">
        <f t="shared" si="168"/>
        <v>ON</v>
      </c>
    </row>
    <row r="387" spans="1:41">
      <c r="A387" t="str">
        <f t="shared" ca="1" si="142"/>
        <v>Ogun</v>
      </c>
      <c r="B387" t="str">
        <f t="shared" ca="1" si="143"/>
        <v>B</v>
      </c>
      <c r="C387" t="str">
        <f t="shared" ca="1" si="144"/>
        <v>C1</v>
      </c>
      <c r="D387" t="s">
        <v>5</v>
      </c>
      <c r="E387">
        <f t="shared" ca="1" si="145"/>
        <v>25</v>
      </c>
      <c r="F387">
        <f t="shared" ca="1" si="146"/>
        <v>2</v>
      </c>
      <c r="G387" t="str">
        <v>B</v>
      </c>
      <c r="H387" t="str">
        <v>B</v>
      </c>
      <c r="I387" t="str">
        <f ca="1">IF($A387="","",IF(COUNTA($K$2:$P$2)=6,"WK "&amp;_xlfn.ISOWEEKNUM($K$2)))</f>
        <v>WK 18</v>
      </c>
      <c r="J387" t="str">
        <f ca="1">IF($A387="","",IF(COUNTA($Y$2:$AD$2)=6,"WK "&amp;_xlfn.ISOWEEKNUM($Y$2)))</f>
        <v>WK 20</v>
      </c>
      <c r="K387" s="20" t="str">
        <f t="shared" ca="1" si="169"/>
        <v>ON</v>
      </c>
      <c r="L387" s="20" t="str">
        <f t="shared" ca="1" si="169"/>
        <v>ON</v>
      </c>
      <c r="M387" s="1" t="str">
        <f t="shared" ca="1" si="148"/>
        <v>ON</v>
      </c>
      <c r="N387" s="1" t="str">
        <f t="shared" ca="1" si="149"/>
        <v>OFF</v>
      </c>
      <c r="O387" s="1" t="str">
        <f t="shared" ca="1" si="150"/>
        <v>ON</v>
      </c>
      <c r="P387" s="1" t="str">
        <f t="shared" ca="1" si="151"/>
        <v>ON</v>
      </c>
      <c r="Q387" s="1"/>
      <c r="R387" s="20" t="str">
        <f t="shared" ca="1" si="170"/>
        <v>ON</v>
      </c>
      <c r="S387" s="20" t="str">
        <f t="shared" ca="1" si="170"/>
        <v>ON</v>
      </c>
      <c r="T387" s="1" t="str">
        <f t="shared" ca="1" si="153"/>
        <v>ON</v>
      </c>
      <c r="U387" s="1" t="str">
        <f t="shared" ca="1" si="154"/>
        <v>ON</v>
      </c>
      <c r="V387" s="1" t="str">
        <f t="shared" ca="1" si="155"/>
        <v>ON</v>
      </c>
      <c r="W387" s="1" t="str">
        <f t="shared" ca="1" si="156"/>
        <v>ON</v>
      </c>
      <c r="X387" s="1"/>
      <c r="Y387" s="20" t="str">
        <f t="shared" ca="1" si="171"/>
        <v>ON</v>
      </c>
      <c r="Z387" s="20" t="str">
        <f t="shared" ca="1" si="171"/>
        <v>ON</v>
      </c>
      <c r="AA387" s="1" t="str">
        <f t="shared" ca="1" si="158"/>
        <v>ON</v>
      </c>
      <c r="AB387" s="1" t="str">
        <f t="shared" ca="1" si="159"/>
        <v>OFF</v>
      </c>
      <c r="AC387" s="1" t="str">
        <f t="shared" ca="1" si="160"/>
        <v>ON</v>
      </c>
      <c r="AD387" s="1" t="str">
        <f t="shared" ca="1" si="161"/>
        <v>ON</v>
      </c>
      <c r="AE387" s="1"/>
      <c r="AF387" s="20" t="str">
        <f t="shared" ca="1" si="172"/>
        <v>ON</v>
      </c>
      <c r="AG387" s="20" t="str">
        <f t="shared" ca="1" si="172"/>
        <v>ON</v>
      </c>
      <c r="AH387" s="1" t="str">
        <f t="shared" ca="1" si="163"/>
        <v>ON</v>
      </c>
      <c r="AI387" s="1" t="str">
        <f t="shared" ca="1" si="164"/>
        <v>ON</v>
      </c>
      <c r="AJ387" s="1" t="str">
        <f t="shared" ca="1" si="165"/>
        <v>ON</v>
      </c>
      <c r="AK387" s="1" t="str">
        <f t="shared" ca="1" si="166"/>
        <v>ON</v>
      </c>
      <c r="AL387" s="1"/>
      <c r="AM387" s="20" t="str">
        <f t="shared" si="173"/>
        <v>ON</v>
      </c>
      <c r="AN387" s="20" t="str">
        <f t="shared" si="173"/>
        <v>ON</v>
      </c>
      <c r="AO387" s="20" t="str">
        <f t="shared" si="168"/>
        <v>ON</v>
      </c>
    </row>
    <row r="388" spans="1:41">
      <c r="A388" t="str">
        <f t="shared" ca="1" si="142"/>
        <v>Lagos</v>
      </c>
      <c r="B388" t="str">
        <f t="shared" ca="1" si="143"/>
        <v>B</v>
      </c>
      <c r="C388" t="str">
        <f t="shared" ca="1" si="144"/>
        <v>D1</v>
      </c>
      <c r="D388" t="s">
        <v>5</v>
      </c>
      <c r="E388">
        <f t="shared" ca="1" si="145"/>
        <v>25</v>
      </c>
      <c r="F388">
        <f t="shared" ca="1" si="146"/>
        <v>2</v>
      </c>
      <c r="G388" t="str">
        <v>A</v>
      </c>
      <c r="H388" t="str">
        <v>A</v>
      </c>
      <c r="I388" t="str">
        <f ca="1">IF($A388="","",IF(COUNTA($R$2:$W$2)=6,"WK "&amp;_xlfn.ISOWEEKNUM($R$2)))</f>
        <v>WK 19</v>
      </c>
      <c r="J388" t="str">
        <f ca="1">IF($A388="","",IF(COUNTA($AF$2:$AK$2)=6,"WK "&amp;_xlfn.ISOWEEKNUM($AF$2)))</f>
        <v>WK 21</v>
      </c>
      <c r="K388" s="20" t="str">
        <f t="shared" ca="1" si="169"/>
        <v>ON</v>
      </c>
      <c r="L388" s="20" t="str">
        <f t="shared" ca="1" si="169"/>
        <v>ON</v>
      </c>
      <c r="M388" s="1" t="str">
        <f t="shared" ca="1" si="148"/>
        <v>ON</v>
      </c>
      <c r="N388" s="1" t="str">
        <f t="shared" ca="1" si="149"/>
        <v>ON</v>
      </c>
      <c r="O388" s="1" t="str">
        <f t="shared" ca="1" si="150"/>
        <v>ON</v>
      </c>
      <c r="P388" s="1" t="str">
        <f t="shared" ca="1" si="151"/>
        <v>ON</v>
      </c>
      <c r="Q388" s="1"/>
      <c r="R388" s="20" t="str">
        <f t="shared" ca="1" si="170"/>
        <v>ON</v>
      </c>
      <c r="S388" s="20" t="str">
        <f t="shared" ca="1" si="170"/>
        <v>ON</v>
      </c>
      <c r="T388" s="1" t="str">
        <f t="shared" ca="1" si="153"/>
        <v>OFF</v>
      </c>
      <c r="U388" s="1" t="str">
        <f t="shared" ca="1" si="154"/>
        <v>ON</v>
      </c>
      <c r="V388" s="1" t="str">
        <f t="shared" ca="1" si="155"/>
        <v>ON</v>
      </c>
      <c r="W388" s="1" t="str">
        <f t="shared" ca="1" si="156"/>
        <v>ON</v>
      </c>
      <c r="X388" s="1"/>
      <c r="Y388" s="20" t="str">
        <f t="shared" ca="1" si="171"/>
        <v>ON</v>
      </c>
      <c r="Z388" s="20" t="str">
        <f t="shared" ca="1" si="171"/>
        <v>ON</v>
      </c>
      <c r="AA388" s="1" t="str">
        <f t="shared" ca="1" si="158"/>
        <v>ON</v>
      </c>
      <c r="AB388" s="1" t="str">
        <f t="shared" ca="1" si="159"/>
        <v>ON</v>
      </c>
      <c r="AC388" s="1" t="str">
        <f t="shared" ca="1" si="160"/>
        <v>ON</v>
      </c>
      <c r="AD388" s="1" t="str">
        <f t="shared" ca="1" si="161"/>
        <v>ON</v>
      </c>
      <c r="AE388" s="1"/>
      <c r="AF388" s="20" t="str">
        <f t="shared" ca="1" si="172"/>
        <v>ON</v>
      </c>
      <c r="AG388" s="20" t="str">
        <f t="shared" ca="1" si="172"/>
        <v>ON</v>
      </c>
      <c r="AH388" s="1" t="str">
        <f t="shared" ca="1" si="163"/>
        <v>OFF</v>
      </c>
      <c r="AI388" s="1" t="str">
        <f t="shared" ca="1" si="164"/>
        <v>ON</v>
      </c>
      <c r="AJ388" s="1" t="str">
        <f t="shared" ca="1" si="165"/>
        <v>ON</v>
      </c>
      <c r="AK388" s="1" t="str">
        <f t="shared" ca="1" si="166"/>
        <v>ON</v>
      </c>
      <c r="AL388" s="1"/>
      <c r="AM388" s="20" t="str">
        <f t="shared" si="173"/>
        <v>ON</v>
      </c>
      <c r="AN388" s="20" t="str">
        <f t="shared" si="173"/>
        <v>ON</v>
      </c>
      <c r="AO388" s="20" t="str">
        <f t="shared" si="168"/>
        <v>ON</v>
      </c>
    </row>
    <row r="389" spans="1:41">
      <c r="A389" t="str">
        <f t="shared" ca="1" si="142"/>
        <v>Ondo</v>
      </c>
      <c r="B389" t="str">
        <f t="shared" ca="1" si="143"/>
        <v>C</v>
      </c>
      <c r="C389" t="str">
        <f t="shared" ca="1" si="144"/>
        <v>E1</v>
      </c>
      <c r="D389" t="s">
        <v>5</v>
      </c>
      <c r="E389">
        <f t="shared" ca="1" si="145"/>
        <v>25</v>
      </c>
      <c r="F389">
        <f t="shared" ca="1" si="146"/>
        <v>2</v>
      </c>
      <c r="G389" t="str" cm="1">
        <f t="array" ref="G389:G392">Groups!$B$2:$B$5</f>
        <v>A</v>
      </c>
      <c r="H389" t="str" cm="1">
        <f t="array" ref="H389:H392">Groups!$B$2:$B$5</f>
        <v>A</v>
      </c>
      <c r="I389" t="str">
        <f ca="1">IF($A389="","",IF(COUNTA($K$2:$P$2)=6,"WK "&amp;_xlfn.ISOWEEKNUM($K$2)))</f>
        <v>WK 18</v>
      </c>
      <c r="J389" t="str">
        <f ca="1">IF($A389="","",IF(COUNTA($Y$2:$AD$2)=6,"WK "&amp;_xlfn.ISOWEEKNUM($Y$2)))</f>
        <v>WK 20</v>
      </c>
      <c r="K389" s="20" t="str">
        <f t="shared" ca="1" si="169"/>
        <v>ON</v>
      </c>
      <c r="L389" s="20" t="str">
        <f t="shared" ca="1" si="169"/>
        <v>ON</v>
      </c>
      <c r="M389" s="1" t="str">
        <f t="shared" ca="1" si="148"/>
        <v>OFF</v>
      </c>
      <c r="N389" s="1" t="str">
        <f t="shared" ca="1" si="149"/>
        <v>ON</v>
      </c>
      <c r="O389" s="1" t="str">
        <f t="shared" ca="1" si="150"/>
        <v>ON</v>
      </c>
      <c r="P389" s="1" t="str">
        <f t="shared" ca="1" si="151"/>
        <v>ON</v>
      </c>
      <c r="Q389" s="1"/>
      <c r="R389" s="20" t="str">
        <f t="shared" ca="1" si="170"/>
        <v>ON</v>
      </c>
      <c r="S389" s="20" t="str">
        <f t="shared" ca="1" si="170"/>
        <v>ON</v>
      </c>
      <c r="T389" s="1" t="str">
        <f t="shared" ca="1" si="153"/>
        <v>ON</v>
      </c>
      <c r="U389" s="1" t="str">
        <f t="shared" ca="1" si="154"/>
        <v>ON</v>
      </c>
      <c r="V389" s="1" t="str">
        <f t="shared" ca="1" si="155"/>
        <v>ON</v>
      </c>
      <c r="W389" s="1" t="str">
        <f t="shared" ca="1" si="156"/>
        <v>ON</v>
      </c>
      <c r="X389" s="1"/>
      <c r="Y389" s="20" t="str">
        <f t="shared" ca="1" si="171"/>
        <v>ON</v>
      </c>
      <c r="Z389" s="20" t="str">
        <f t="shared" ca="1" si="171"/>
        <v>ON</v>
      </c>
      <c r="AA389" s="1" t="str">
        <f t="shared" ca="1" si="158"/>
        <v>OFF</v>
      </c>
      <c r="AB389" s="1" t="str">
        <f t="shared" ca="1" si="159"/>
        <v>ON</v>
      </c>
      <c r="AC389" s="1" t="str">
        <f t="shared" ca="1" si="160"/>
        <v>ON</v>
      </c>
      <c r="AD389" s="1" t="str">
        <f t="shared" ca="1" si="161"/>
        <v>ON</v>
      </c>
      <c r="AE389" s="1"/>
      <c r="AF389" s="20" t="str">
        <f t="shared" ca="1" si="172"/>
        <v>ON</v>
      </c>
      <c r="AG389" s="20" t="str">
        <f t="shared" ca="1" si="172"/>
        <v>ON</v>
      </c>
      <c r="AH389" s="1" t="str">
        <f t="shared" ca="1" si="163"/>
        <v>ON</v>
      </c>
      <c r="AI389" s="1" t="str">
        <f t="shared" ca="1" si="164"/>
        <v>ON</v>
      </c>
      <c r="AJ389" s="1" t="str">
        <f t="shared" ca="1" si="165"/>
        <v>ON</v>
      </c>
      <c r="AK389" s="1" t="str">
        <f t="shared" ca="1" si="166"/>
        <v>ON</v>
      </c>
      <c r="AL389" s="1"/>
      <c r="AM389" s="20" t="str">
        <f t="shared" si="173"/>
        <v>ON</v>
      </c>
      <c r="AN389" s="20" t="str">
        <f t="shared" si="173"/>
        <v>ON</v>
      </c>
      <c r="AO389" s="20" t="str">
        <f t="shared" si="168"/>
        <v>ON</v>
      </c>
    </row>
    <row r="390" spans="1:41">
      <c r="A390" t="str">
        <f t="shared" ref="A390:A450" ca="1" si="174">CHOOSE(RANDBETWEEN(1,5),"Lagos","Ogun","Ondo","Oyo","Ekiti")</f>
        <v>Ondo</v>
      </c>
      <c r="B390" t="str">
        <f t="shared" ref="B390:B450" ca="1" si="175">CHOOSE(RANDBETWEEN(1,5),"A","B","C","D","E")</f>
        <v>B</v>
      </c>
      <c r="C390" t="str">
        <f t="shared" ref="C390:C450" ca="1" si="176">CHOOSE(RANDBETWEEN(1,5),"A1","B1","C1","D1","E1")</f>
        <v>D1</v>
      </c>
      <c r="D390" s="5" t="s">
        <v>7</v>
      </c>
      <c r="E390">
        <f t="shared" ref="E390:E450" ca="1" si="177">COUNTIF(K390:AO390, "ON")</f>
        <v>25</v>
      </c>
      <c r="F390">
        <f t="shared" ref="F390:F450" ca="1" si="178">COUNTIF(K390:AO390, "OFF")</f>
        <v>2</v>
      </c>
      <c r="G390" t="str">
        <v>B</v>
      </c>
      <c r="H390" t="str">
        <v>B</v>
      </c>
      <c r="I390" t="str">
        <f ca="1">IF($A390="","",IF(COUNTA($R$2:$W$2)=6,"WK "&amp;_xlfn.ISOWEEKNUM($R$2)))</f>
        <v>WK 19</v>
      </c>
      <c r="J390" t="str">
        <f ca="1">IF($A390="","",IF(COUNTA($AF$2:$AK$2)=6,"WK "&amp;_xlfn.ISOWEEKNUM($AF$2)))</f>
        <v>WK 21</v>
      </c>
      <c r="K390" s="20" t="str">
        <f t="shared" ref="K390:L421" ca="1" si="179">IF($A390="","",IF(COUNTA($K$2:$AO$2)-4,IF(OR(K$4="Mon",K$4="Tue"),$E$1,$D$1)))</f>
        <v>ON</v>
      </c>
      <c r="L390" s="20" t="str">
        <f t="shared" ca="1" si="179"/>
        <v>ON</v>
      </c>
      <c r="M390" s="1" t="str">
        <f t="shared" ref="M390:M450" ca="1" si="180">IF($A390="","",IF(COUNTA($K$2:$AO$2)-4,IF(OR(M$4&lt;&gt;"Mon",M$4&lt;&gt;"Tue"),IF(AND($G390="A",$H390="A",$I390="WK "&amp;_xlfn.ISOWEEKNUM($K$2)),$D$1,$E$1))))</f>
        <v>ON</v>
      </c>
      <c r="N390" s="1" t="str">
        <f t="shared" ref="N390:N450" ca="1" si="181">IF($A390="","",IF(COUNTA($K$2:$AO$2)-4,IF(OR(N$4&lt;&gt;"Mon",N$4&lt;&gt;"Tue"),IF(AND($G390="B",$H390="B",$I390="WK "&amp;_xlfn.ISOWEEKNUM($K$2)),$D$1,$E$1))))</f>
        <v>ON</v>
      </c>
      <c r="O390" s="1" t="str">
        <f t="shared" ref="O390:O450" ca="1" si="182">IF($A390="","",IF(COUNTA($K$2:$AO$2)-4,IF(OR(O$4&lt;&gt;"Mon",O$4&lt;&gt;"Tue"),IF(AND($G390="C",$H390="C",$I390="WK "&amp;_xlfn.ISOWEEKNUM($K$2)),$D$1,$E$1))))</f>
        <v>ON</v>
      </c>
      <c r="P390" s="1" t="str">
        <f t="shared" ref="P390:P450" ca="1" si="183">IF($A390="","",IF(COUNTA($K$2:$AO$2)-4,IF(OR(P$4&lt;&gt;"Mon",P$4&lt;&gt;"Tue"),IF(AND($G390="D",$H390="D",$I390="WK "&amp;_xlfn.ISOWEEKNUM($K$2)),$D$1,$E$1))))</f>
        <v>ON</v>
      </c>
      <c r="Q390" s="1"/>
      <c r="R390" s="20" t="str">
        <f t="shared" ref="R390:S421" ca="1" si="184">IF($A390="","",IF(COUNTA($K$2:$AO$2)-4,IF(OR(R$4="Mon",R$4="Tue"),$E$1,$D$1)))</f>
        <v>ON</v>
      </c>
      <c r="S390" s="20" t="str">
        <f t="shared" ca="1" si="184"/>
        <v>ON</v>
      </c>
      <c r="T390" s="1" t="str">
        <f t="shared" ref="T390:T450" ca="1" si="185">IF($A390="","",IF(COUNTA($K$2:$AO$2)-4,IF(OR(T$4&lt;&gt;"Mon",T$4&lt;&gt;"Tue"),IF(AND($G390="A",$H390="A",$I390="WK "&amp;_xlfn.ISOWEEKNUM($R$2)),$D$1,$E$1))))</f>
        <v>ON</v>
      </c>
      <c r="U390" s="1" t="str">
        <f t="shared" ref="U390:U450" ca="1" si="186">IF($A390="","",IF(COUNTA($K$2:$AO$2)-4,IF(OR(U$4&lt;&gt;"Mon",U$4&lt;&gt;"Tue"),IF(AND($G390="B",$H390="B",$I390="WK "&amp;_xlfn.ISOWEEKNUM($R$2)),$D$1,$E$1))))</f>
        <v>OFF</v>
      </c>
      <c r="V390" s="1" t="str">
        <f t="shared" ref="V390:V450" ca="1" si="187">IF($A390="","",IF(COUNTA($K$2:$AO$2)-4,IF(OR(V$4&lt;&gt;"Mon",V$4&lt;&gt;"Tue"),IF(AND($G390="C",$H390="C",$I390="WK "&amp;_xlfn.ISOWEEKNUM($R$2)),$D$1,$E$1))))</f>
        <v>ON</v>
      </c>
      <c r="W390" s="1" t="str">
        <f t="shared" ref="W390:W450" ca="1" si="188">IF($A390="","",IF(COUNTA($K$2:$AO$2)-4,IF(OR(W$4&lt;&gt;"Mon",W$4&lt;&gt;"Tue"),IF(AND($G390="D",$H390="D",$I390="WK "&amp;_xlfn.ISOWEEKNUM($R$2)),$D$1,$E$1))))</f>
        <v>ON</v>
      </c>
      <c r="X390" s="1"/>
      <c r="Y390" s="20" t="str">
        <f t="shared" ref="Y390:Z421" ca="1" si="189">IF($A390="","",IF(COUNTA($K$2:$AO$2)-4,IF(OR(Y$4="Mon",Y$4="Tue"),$E$1,$D$1)))</f>
        <v>ON</v>
      </c>
      <c r="Z390" s="20" t="str">
        <f t="shared" ca="1" si="189"/>
        <v>ON</v>
      </c>
      <c r="AA390" s="1" t="str">
        <f t="shared" ref="AA390:AA450" ca="1" si="190">IF($A390="","",IF(COUNTA($K$2:$AO$2)-4,IF(OR(AA$4&lt;&gt;"Mon",AA$4&lt;&gt;"Tue"),IF(AND($G390="A",$H390="A",$J390="WK "&amp;_xlfn.ISOWEEKNUM($Y$2)),$D$1,$E$1))))</f>
        <v>ON</v>
      </c>
      <c r="AB390" s="1" t="str">
        <f t="shared" ref="AB390:AB450" ca="1" si="191">IF($A390="","",IF(COUNTA($K$2:$AO$2)-4,IF(OR(AB$4&lt;&gt;"Mon",AB$4&lt;&gt;"Tue"),IF(AND($G390="B",$H390="B",$J390="WK "&amp;_xlfn.ISOWEEKNUM($Y$2)),$D$1,$E$1))))</f>
        <v>ON</v>
      </c>
      <c r="AC390" s="1" t="str">
        <f t="shared" ref="AC390:AC450" ca="1" si="192">IF($A390="","",IF(COUNTA($K$2:$AO$2)-4,IF(OR(AC$4&lt;&gt;"Mon",AC$4&lt;&gt;"Tue"),IF(AND($G390="C",$H390="C",$J390="WK "&amp;_xlfn.ISOWEEKNUM($Y$2)),$D$1,$E$1))))</f>
        <v>ON</v>
      </c>
      <c r="AD390" s="1" t="str">
        <f t="shared" ref="AD390:AD450" ca="1" si="193">IF($A390="","",IF(COUNTA($K$2:$AO$2)-4,IF(OR(AD$4&lt;&gt;"Mon",AD$4&lt;&gt;"Tue"),IF(AND($G390="D",$H390="D",$J390="WK "&amp;_xlfn.ISOWEEKNUM($Y$2)),$D$1,$E$1))))</f>
        <v>ON</v>
      </c>
      <c r="AE390" s="1"/>
      <c r="AF390" s="20" t="str">
        <f t="shared" ref="AF390:AG421" ca="1" si="194">IF($A390="","",IF(COUNTA($K$2:$AO$2)-4,IF(OR(AF$4="Mon",AF$4="Tue"),$E$1,$D$1)))</f>
        <v>ON</v>
      </c>
      <c r="AG390" s="20" t="str">
        <f t="shared" ca="1" si="194"/>
        <v>ON</v>
      </c>
      <c r="AH390" s="1" t="str">
        <f t="shared" ref="AH390:AH450" ca="1" si="195">IF($A390="","",IF(COUNTA($K$2:$AO$2)-4,IF(OR(AH$4&lt;&gt;"Mon",AH$4&lt;&gt;"Tue"),IF(AND($G390="A",$H390="A",$J390="WK "&amp;_xlfn.ISOWEEKNUM($AF$2)),$D$1,$E$1))))</f>
        <v>ON</v>
      </c>
      <c r="AI390" s="1" t="str">
        <f t="shared" ref="AI390:AI450" ca="1" si="196">IF($A390="","",IF(COUNTA($K$2:$AO$2)-4,IF(OR(AI$4&lt;&gt;"Mon",AI$4&lt;&gt;"Tue"),IF(AND($G390="B",$H390="B",$J390="WK "&amp;_xlfn.ISOWEEKNUM($AF$2)),$D$1,$E$1))))</f>
        <v>OFF</v>
      </c>
      <c r="AJ390" s="1" t="str">
        <f t="shared" ref="AJ390:AJ450" ca="1" si="197">IF($A390="","",IF(COUNTA($K$2:$AO$2)-4,IF(OR(AJ$4&lt;&gt;"Mon",AJ$4&lt;&gt;"Tue"),IF(AND($G390="C",$H390="C",$J390="WK "&amp;_xlfn.ISOWEEKNUM($AF$2)),$D$1,$E$1))))</f>
        <v>ON</v>
      </c>
      <c r="AK390" s="1" t="str">
        <f t="shared" ref="AK390:AK450" ca="1" si="198">IF($A390="","",IF(COUNTA($K$2:$AO$2)-4,IF(OR(AK$4&lt;&gt;"Mon",AK$4&lt;&gt;"Tue"),IF(AND($G390="D",$H390="D",$J390="WK "&amp;_xlfn.ISOWEEKNUM($AF$2)),$D$1,$E$1))))</f>
        <v>ON</v>
      </c>
      <c r="AL390" s="1"/>
      <c r="AM390" s="20" t="str">
        <f t="shared" ref="AM390:AN421" si="199">IF(COUNTA($K$2:$AO$2)-4,IF(OR(AM$4="Mon",AM$4="Tue"),$E$1,$D$1))</f>
        <v>ON</v>
      </c>
      <c r="AN390" s="20" t="str">
        <f t="shared" si="199"/>
        <v>ON</v>
      </c>
      <c r="AO390" s="20" t="str">
        <f t="shared" ref="AO390:AO450" si="200">IF(COUNTA($K$2:$AO$2)-4,IF(OR(AO$4="Mon",AO$4="Tue",AO$4="Wed"),$E$1,$D$1))</f>
        <v>ON</v>
      </c>
    </row>
    <row r="391" spans="1:41">
      <c r="A391" t="str">
        <f t="shared" ca="1" si="174"/>
        <v>Ogun</v>
      </c>
      <c r="B391" t="str">
        <f t="shared" ca="1" si="175"/>
        <v>C</v>
      </c>
      <c r="C391" t="str">
        <f t="shared" ca="1" si="176"/>
        <v>A1</v>
      </c>
      <c r="D391" s="5" t="s">
        <v>7</v>
      </c>
      <c r="E391">
        <f t="shared" ca="1" si="177"/>
        <v>25</v>
      </c>
      <c r="F391">
        <f t="shared" ca="1" si="178"/>
        <v>2</v>
      </c>
      <c r="G391" t="str">
        <v>C</v>
      </c>
      <c r="H391" t="str">
        <v>C</v>
      </c>
      <c r="I391" t="str">
        <f ca="1">IF($A391="","",IF(COUNTA($K$2:$P$2)=6,"WK "&amp;_xlfn.ISOWEEKNUM($K$2)))</f>
        <v>WK 18</v>
      </c>
      <c r="J391" t="str">
        <f ca="1">IF($A391="","",IF(COUNTA($Y$2:$AD$2)=6,"WK "&amp;_xlfn.ISOWEEKNUM($Y$2)))</f>
        <v>WK 20</v>
      </c>
      <c r="K391" s="20" t="str">
        <f t="shared" ca="1" si="179"/>
        <v>ON</v>
      </c>
      <c r="L391" s="20" t="str">
        <f t="shared" ca="1" si="179"/>
        <v>ON</v>
      </c>
      <c r="M391" s="1" t="str">
        <f t="shared" ca="1" si="180"/>
        <v>ON</v>
      </c>
      <c r="N391" s="1" t="str">
        <f t="shared" ca="1" si="181"/>
        <v>ON</v>
      </c>
      <c r="O391" s="1" t="str">
        <f t="shared" ca="1" si="182"/>
        <v>OFF</v>
      </c>
      <c r="P391" s="1" t="str">
        <f t="shared" ca="1" si="183"/>
        <v>ON</v>
      </c>
      <c r="Q391" s="1"/>
      <c r="R391" s="20" t="str">
        <f t="shared" ca="1" si="184"/>
        <v>ON</v>
      </c>
      <c r="S391" s="20" t="str">
        <f t="shared" ca="1" si="184"/>
        <v>ON</v>
      </c>
      <c r="T391" s="1" t="str">
        <f t="shared" ca="1" si="185"/>
        <v>ON</v>
      </c>
      <c r="U391" s="1" t="str">
        <f t="shared" ca="1" si="186"/>
        <v>ON</v>
      </c>
      <c r="V391" s="1" t="str">
        <f t="shared" ca="1" si="187"/>
        <v>ON</v>
      </c>
      <c r="W391" s="1" t="str">
        <f t="shared" ca="1" si="188"/>
        <v>ON</v>
      </c>
      <c r="X391" s="1"/>
      <c r="Y391" s="20" t="str">
        <f t="shared" ca="1" si="189"/>
        <v>ON</v>
      </c>
      <c r="Z391" s="20" t="str">
        <f t="shared" ca="1" si="189"/>
        <v>ON</v>
      </c>
      <c r="AA391" s="1" t="str">
        <f t="shared" ca="1" si="190"/>
        <v>ON</v>
      </c>
      <c r="AB391" s="1" t="str">
        <f t="shared" ca="1" si="191"/>
        <v>ON</v>
      </c>
      <c r="AC391" s="1" t="str">
        <f t="shared" ca="1" si="192"/>
        <v>OFF</v>
      </c>
      <c r="AD391" s="1" t="str">
        <f t="shared" ca="1" si="193"/>
        <v>ON</v>
      </c>
      <c r="AE391" s="1"/>
      <c r="AF391" s="20" t="str">
        <f t="shared" ca="1" si="194"/>
        <v>ON</v>
      </c>
      <c r="AG391" s="20" t="str">
        <f t="shared" ca="1" si="194"/>
        <v>ON</v>
      </c>
      <c r="AH391" s="1" t="str">
        <f t="shared" ca="1" si="195"/>
        <v>ON</v>
      </c>
      <c r="AI391" s="1" t="str">
        <f t="shared" ca="1" si="196"/>
        <v>ON</v>
      </c>
      <c r="AJ391" s="1" t="str">
        <f t="shared" ca="1" si="197"/>
        <v>ON</v>
      </c>
      <c r="AK391" s="1" t="str">
        <f t="shared" ca="1" si="198"/>
        <v>ON</v>
      </c>
      <c r="AL391" s="1"/>
      <c r="AM391" s="20" t="str">
        <f t="shared" si="199"/>
        <v>ON</v>
      </c>
      <c r="AN391" s="20" t="str">
        <f t="shared" si="199"/>
        <v>ON</v>
      </c>
      <c r="AO391" s="20" t="str">
        <f t="shared" si="200"/>
        <v>ON</v>
      </c>
    </row>
    <row r="392" spans="1:41">
      <c r="A392" t="str">
        <f t="shared" ca="1" si="174"/>
        <v>Ekiti</v>
      </c>
      <c r="B392" t="str">
        <f t="shared" ca="1" si="175"/>
        <v>B</v>
      </c>
      <c r="C392" t="str">
        <f t="shared" ca="1" si="176"/>
        <v>E1</v>
      </c>
      <c r="D392" s="5" t="s">
        <v>7</v>
      </c>
      <c r="E392">
        <f t="shared" ca="1" si="177"/>
        <v>25</v>
      </c>
      <c r="F392">
        <f t="shared" ca="1" si="178"/>
        <v>2</v>
      </c>
      <c r="G392" t="str">
        <v>D</v>
      </c>
      <c r="H392" t="str">
        <v>D</v>
      </c>
      <c r="I392" t="str">
        <f ca="1">IF($A392="","",IF(COUNTA($R$2:$W$2)=6,"WK "&amp;_xlfn.ISOWEEKNUM($R$2)))</f>
        <v>WK 19</v>
      </c>
      <c r="J392" t="str">
        <f ca="1">IF($A392="","",IF(COUNTA($AF$2:$AK$2)=6,"WK "&amp;_xlfn.ISOWEEKNUM($AF$2)))</f>
        <v>WK 21</v>
      </c>
      <c r="K392" s="20" t="str">
        <f t="shared" ca="1" si="179"/>
        <v>ON</v>
      </c>
      <c r="L392" s="20" t="str">
        <f t="shared" ca="1" si="179"/>
        <v>ON</v>
      </c>
      <c r="M392" s="1" t="str">
        <f t="shared" ca="1" si="180"/>
        <v>ON</v>
      </c>
      <c r="N392" s="1" t="str">
        <f t="shared" ca="1" si="181"/>
        <v>ON</v>
      </c>
      <c r="O392" s="1" t="str">
        <f t="shared" ca="1" si="182"/>
        <v>ON</v>
      </c>
      <c r="P392" s="1" t="str">
        <f t="shared" ca="1" si="183"/>
        <v>ON</v>
      </c>
      <c r="Q392" s="1"/>
      <c r="R392" s="20" t="str">
        <f t="shared" ca="1" si="184"/>
        <v>ON</v>
      </c>
      <c r="S392" s="20" t="str">
        <f t="shared" ca="1" si="184"/>
        <v>ON</v>
      </c>
      <c r="T392" s="1" t="str">
        <f t="shared" ca="1" si="185"/>
        <v>ON</v>
      </c>
      <c r="U392" s="1" t="str">
        <f t="shared" ca="1" si="186"/>
        <v>ON</v>
      </c>
      <c r="V392" s="1" t="str">
        <f t="shared" ca="1" si="187"/>
        <v>ON</v>
      </c>
      <c r="W392" s="1" t="str">
        <f t="shared" ca="1" si="188"/>
        <v>OFF</v>
      </c>
      <c r="X392" s="1"/>
      <c r="Y392" s="20" t="str">
        <f t="shared" ca="1" si="189"/>
        <v>ON</v>
      </c>
      <c r="Z392" s="20" t="str">
        <f t="shared" ca="1" si="189"/>
        <v>ON</v>
      </c>
      <c r="AA392" s="1" t="str">
        <f t="shared" ca="1" si="190"/>
        <v>ON</v>
      </c>
      <c r="AB392" s="1" t="str">
        <f t="shared" ca="1" si="191"/>
        <v>ON</v>
      </c>
      <c r="AC392" s="1" t="str">
        <f t="shared" ca="1" si="192"/>
        <v>ON</v>
      </c>
      <c r="AD392" s="1" t="str">
        <f t="shared" ca="1" si="193"/>
        <v>ON</v>
      </c>
      <c r="AE392" s="1"/>
      <c r="AF392" s="20" t="str">
        <f t="shared" ca="1" si="194"/>
        <v>ON</v>
      </c>
      <c r="AG392" s="20" t="str">
        <f t="shared" ca="1" si="194"/>
        <v>ON</v>
      </c>
      <c r="AH392" s="1" t="str">
        <f t="shared" ca="1" si="195"/>
        <v>ON</v>
      </c>
      <c r="AI392" s="1" t="str">
        <f t="shared" ca="1" si="196"/>
        <v>ON</v>
      </c>
      <c r="AJ392" s="1" t="str">
        <f t="shared" ca="1" si="197"/>
        <v>ON</v>
      </c>
      <c r="AK392" s="1" t="str">
        <f t="shared" ca="1" si="198"/>
        <v>OFF</v>
      </c>
      <c r="AL392" s="1"/>
      <c r="AM392" s="20" t="str">
        <f t="shared" si="199"/>
        <v>ON</v>
      </c>
      <c r="AN392" s="20" t="str">
        <f t="shared" si="199"/>
        <v>ON</v>
      </c>
      <c r="AO392" s="20" t="str">
        <f t="shared" si="200"/>
        <v>ON</v>
      </c>
    </row>
    <row r="393" spans="1:41">
      <c r="A393" t="str">
        <f t="shared" ca="1" si="174"/>
        <v>Oyo</v>
      </c>
      <c r="B393" t="str">
        <f t="shared" ca="1" si="175"/>
        <v>D</v>
      </c>
      <c r="C393" t="str">
        <f t="shared" ca="1" si="176"/>
        <v>A1</v>
      </c>
      <c r="D393" s="5" t="s">
        <v>7</v>
      </c>
      <c r="E393">
        <f t="shared" ca="1" si="177"/>
        <v>25</v>
      </c>
      <c r="F393">
        <f t="shared" ca="1" si="178"/>
        <v>2</v>
      </c>
      <c r="G393" t="str" cm="1">
        <f t="array" ref="G393:G396">IF($G$5:$G$8={"A";"B";"C";"D"},{"D";"C";"B";"A"},{"A";"B";"C";"D"})</f>
        <v>D</v>
      </c>
      <c r="H393" t="str" cm="1">
        <f t="array" ref="H393:H396">IF($H$5:$H$8={"A";"B";"C";"D"},{"D";"C";"B";"A"},{"A";"B";"C";"D"})</f>
        <v>D</v>
      </c>
      <c r="I393" t="str">
        <f ca="1">IF($A393="","",IF(COUNTA($K$2:$P$2)=6,"WK "&amp;_xlfn.ISOWEEKNUM($K$2)))</f>
        <v>WK 18</v>
      </c>
      <c r="J393" t="str">
        <f ca="1">IF($A393="","",IF(COUNTA($Y$2:$AD$2)=6,"WK "&amp;_xlfn.ISOWEEKNUM($Y$2)))</f>
        <v>WK 20</v>
      </c>
      <c r="K393" s="20" t="str">
        <f t="shared" ca="1" si="179"/>
        <v>ON</v>
      </c>
      <c r="L393" s="20" t="str">
        <f t="shared" ca="1" si="179"/>
        <v>ON</v>
      </c>
      <c r="M393" s="1" t="str">
        <f t="shared" ca="1" si="180"/>
        <v>ON</v>
      </c>
      <c r="N393" s="1" t="str">
        <f t="shared" ca="1" si="181"/>
        <v>ON</v>
      </c>
      <c r="O393" s="1" t="str">
        <f t="shared" ca="1" si="182"/>
        <v>ON</v>
      </c>
      <c r="P393" s="1" t="str">
        <f t="shared" ca="1" si="183"/>
        <v>OFF</v>
      </c>
      <c r="Q393" s="1"/>
      <c r="R393" s="20" t="str">
        <f t="shared" ca="1" si="184"/>
        <v>ON</v>
      </c>
      <c r="S393" s="20" t="str">
        <f t="shared" ca="1" si="184"/>
        <v>ON</v>
      </c>
      <c r="T393" s="1" t="str">
        <f t="shared" ca="1" si="185"/>
        <v>ON</v>
      </c>
      <c r="U393" s="1" t="str">
        <f t="shared" ca="1" si="186"/>
        <v>ON</v>
      </c>
      <c r="V393" s="1" t="str">
        <f t="shared" ca="1" si="187"/>
        <v>ON</v>
      </c>
      <c r="W393" s="1" t="str">
        <f t="shared" ca="1" si="188"/>
        <v>ON</v>
      </c>
      <c r="X393" s="1"/>
      <c r="Y393" s="20" t="str">
        <f t="shared" ca="1" si="189"/>
        <v>ON</v>
      </c>
      <c r="Z393" s="20" t="str">
        <f t="shared" ca="1" si="189"/>
        <v>ON</v>
      </c>
      <c r="AA393" s="1" t="str">
        <f t="shared" ca="1" si="190"/>
        <v>ON</v>
      </c>
      <c r="AB393" s="1" t="str">
        <f t="shared" ca="1" si="191"/>
        <v>ON</v>
      </c>
      <c r="AC393" s="1" t="str">
        <f t="shared" ca="1" si="192"/>
        <v>ON</v>
      </c>
      <c r="AD393" s="1" t="str">
        <f t="shared" ca="1" si="193"/>
        <v>OFF</v>
      </c>
      <c r="AE393" s="1"/>
      <c r="AF393" s="20" t="str">
        <f t="shared" ca="1" si="194"/>
        <v>ON</v>
      </c>
      <c r="AG393" s="20" t="str">
        <f t="shared" ca="1" si="194"/>
        <v>ON</v>
      </c>
      <c r="AH393" s="1" t="str">
        <f t="shared" ca="1" si="195"/>
        <v>ON</v>
      </c>
      <c r="AI393" s="1" t="str">
        <f t="shared" ca="1" si="196"/>
        <v>ON</v>
      </c>
      <c r="AJ393" s="1" t="str">
        <f t="shared" ca="1" si="197"/>
        <v>ON</v>
      </c>
      <c r="AK393" s="1" t="str">
        <f t="shared" ca="1" si="198"/>
        <v>ON</v>
      </c>
      <c r="AL393" s="1"/>
      <c r="AM393" s="20" t="str">
        <f t="shared" si="199"/>
        <v>ON</v>
      </c>
      <c r="AN393" s="20" t="str">
        <f t="shared" si="199"/>
        <v>ON</v>
      </c>
      <c r="AO393" s="20" t="str">
        <f t="shared" si="200"/>
        <v>ON</v>
      </c>
    </row>
    <row r="394" spans="1:41">
      <c r="A394" t="str">
        <f t="shared" ca="1" si="174"/>
        <v>Ondo</v>
      </c>
      <c r="B394" t="str">
        <f t="shared" ca="1" si="175"/>
        <v>C</v>
      </c>
      <c r="C394" t="str">
        <f t="shared" ca="1" si="176"/>
        <v>E1</v>
      </c>
      <c r="D394" s="5" t="s">
        <v>7</v>
      </c>
      <c r="E394">
        <f t="shared" ca="1" si="177"/>
        <v>25</v>
      </c>
      <c r="F394">
        <f t="shared" ca="1" si="178"/>
        <v>2</v>
      </c>
      <c r="G394" t="str">
        <v>C</v>
      </c>
      <c r="H394" t="str">
        <v>C</v>
      </c>
      <c r="I394" t="str">
        <f ca="1">IF($A394="","",IF(COUNTA($R$2:$W$2)=6,"WK "&amp;_xlfn.ISOWEEKNUM($R$2)))</f>
        <v>WK 19</v>
      </c>
      <c r="J394" t="str">
        <f ca="1">IF($A394="","",IF(COUNTA($AF$2:$AK$2)=6,"WK "&amp;_xlfn.ISOWEEKNUM($AF$2)))</f>
        <v>WK 21</v>
      </c>
      <c r="K394" s="20" t="str">
        <f t="shared" ca="1" si="179"/>
        <v>ON</v>
      </c>
      <c r="L394" s="20" t="str">
        <f t="shared" ca="1" si="179"/>
        <v>ON</v>
      </c>
      <c r="M394" s="1" t="str">
        <f t="shared" ca="1" si="180"/>
        <v>ON</v>
      </c>
      <c r="N394" s="1" t="str">
        <f t="shared" ca="1" si="181"/>
        <v>ON</v>
      </c>
      <c r="O394" s="1" t="str">
        <f t="shared" ca="1" si="182"/>
        <v>ON</v>
      </c>
      <c r="P394" s="1" t="str">
        <f t="shared" ca="1" si="183"/>
        <v>ON</v>
      </c>
      <c r="Q394" s="1"/>
      <c r="R394" s="20" t="str">
        <f t="shared" ca="1" si="184"/>
        <v>ON</v>
      </c>
      <c r="S394" s="20" t="str">
        <f t="shared" ca="1" si="184"/>
        <v>ON</v>
      </c>
      <c r="T394" s="1" t="str">
        <f t="shared" ca="1" si="185"/>
        <v>ON</v>
      </c>
      <c r="U394" s="1" t="str">
        <f t="shared" ca="1" si="186"/>
        <v>ON</v>
      </c>
      <c r="V394" s="1" t="str">
        <f t="shared" ca="1" si="187"/>
        <v>OFF</v>
      </c>
      <c r="W394" s="1" t="str">
        <f t="shared" ca="1" si="188"/>
        <v>ON</v>
      </c>
      <c r="X394" s="1"/>
      <c r="Y394" s="20" t="str">
        <f t="shared" ca="1" si="189"/>
        <v>ON</v>
      </c>
      <c r="Z394" s="20" t="str">
        <f t="shared" ca="1" si="189"/>
        <v>ON</v>
      </c>
      <c r="AA394" s="1" t="str">
        <f t="shared" ca="1" si="190"/>
        <v>ON</v>
      </c>
      <c r="AB394" s="1" t="str">
        <f t="shared" ca="1" si="191"/>
        <v>ON</v>
      </c>
      <c r="AC394" s="1" t="str">
        <f t="shared" ca="1" si="192"/>
        <v>ON</v>
      </c>
      <c r="AD394" s="1" t="str">
        <f t="shared" ca="1" si="193"/>
        <v>ON</v>
      </c>
      <c r="AE394" s="1"/>
      <c r="AF394" s="20" t="str">
        <f t="shared" ca="1" si="194"/>
        <v>ON</v>
      </c>
      <c r="AG394" s="20" t="str">
        <f t="shared" ca="1" si="194"/>
        <v>ON</v>
      </c>
      <c r="AH394" s="1" t="str">
        <f t="shared" ca="1" si="195"/>
        <v>ON</v>
      </c>
      <c r="AI394" s="1" t="str">
        <f t="shared" ca="1" si="196"/>
        <v>ON</v>
      </c>
      <c r="AJ394" s="1" t="str">
        <f t="shared" ca="1" si="197"/>
        <v>OFF</v>
      </c>
      <c r="AK394" s="1" t="str">
        <f t="shared" ca="1" si="198"/>
        <v>ON</v>
      </c>
      <c r="AL394" s="1"/>
      <c r="AM394" s="20" t="str">
        <f t="shared" si="199"/>
        <v>ON</v>
      </c>
      <c r="AN394" s="20" t="str">
        <f t="shared" si="199"/>
        <v>ON</v>
      </c>
      <c r="AO394" s="20" t="str">
        <f t="shared" si="200"/>
        <v>ON</v>
      </c>
    </row>
    <row r="395" spans="1:41">
      <c r="A395" t="str">
        <f t="shared" ca="1" si="174"/>
        <v>Ondo</v>
      </c>
      <c r="B395" t="str">
        <f t="shared" ca="1" si="175"/>
        <v>D</v>
      </c>
      <c r="C395" t="str">
        <f t="shared" ca="1" si="176"/>
        <v>D1</v>
      </c>
      <c r="D395" s="5" t="s">
        <v>7</v>
      </c>
      <c r="E395">
        <f t="shared" ca="1" si="177"/>
        <v>25</v>
      </c>
      <c r="F395">
        <f t="shared" ca="1" si="178"/>
        <v>2</v>
      </c>
      <c r="G395" t="str">
        <v>B</v>
      </c>
      <c r="H395" t="str">
        <v>B</v>
      </c>
      <c r="I395" t="str">
        <f ca="1">IF($A395="","",IF(COUNTA($K$2:$P$2)=6,"WK "&amp;_xlfn.ISOWEEKNUM($K$2)))</f>
        <v>WK 18</v>
      </c>
      <c r="J395" t="str">
        <f ca="1">IF($A395="","",IF(COUNTA($Y$2:$AD$2)=6,"WK "&amp;_xlfn.ISOWEEKNUM($Y$2)))</f>
        <v>WK 20</v>
      </c>
      <c r="K395" s="20" t="str">
        <f t="shared" ca="1" si="179"/>
        <v>ON</v>
      </c>
      <c r="L395" s="20" t="str">
        <f t="shared" ca="1" si="179"/>
        <v>ON</v>
      </c>
      <c r="M395" s="1" t="str">
        <f t="shared" ca="1" si="180"/>
        <v>ON</v>
      </c>
      <c r="N395" s="1" t="str">
        <f t="shared" ca="1" si="181"/>
        <v>OFF</v>
      </c>
      <c r="O395" s="1" t="str">
        <f t="shared" ca="1" si="182"/>
        <v>ON</v>
      </c>
      <c r="P395" s="1" t="str">
        <f t="shared" ca="1" si="183"/>
        <v>ON</v>
      </c>
      <c r="Q395" s="1"/>
      <c r="R395" s="20" t="str">
        <f t="shared" ca="1" si="184"/>
        <v>ON</v>
      </c>
      <c r="S395" s="20" t="str">
        <f t="shared" ca="1" si="184"/>
        <v>ON</v>
      </c>
      <c r="T395" s="1" t="str">
        <f t="shared" ca="1" si="185"/>
        <v>ON</v>
      </c>
      <c r="U395" s="1" t="str">
        <f t="shared" ca="1" si="186"/>
        <v>ON</v>
      </c>
      <c r="V395" s="1" t="str">
        <f t="shared" ca="1" si="187"/>
        <v>ON</v>
      </c>
      <c r="W395" s="1" t="str">
        <f t="shared" ca="1" si="188"/>
        <v>ON</v>
      </c>
      <c r="X395" s="1"/>
      <c r="Y395" s="20" t="str">
        <f t="shared" ca="1" si="189"/>
        <v>ON</v>
      </c>
      <c r="Z395" s="20" t="str">
        <f t="shared" ca="1" si="189"/>
        <v>ON</v>
      </c>
      <c r="AA395" s="1" t="str">
        <f t="shared" ca="1" si="190"/>
        <v>ON</v>
      </c>
      <c r="AB395" s="1" t="str">
        <f t="shared" ca="1" si="191"/>
        <v>OFF</v>
      </c>
      <c r="AC395" s="1" t="str">
        <f t="shared" ca="1" si="192"/>
        <v>ON</v>
      </c>
      <c r="AD395" s="1" t="str">
        <f t="shared" ca="1" si="193"/>
        <v>ON</v>
      </c>
      <c r="AE395" s="1"/>
      <c r="AF395" s="20" t="str">
        <f t="shared" ca="1" si="194"/>
        <v>ON</v>
      </c>
      <c r="AG395" s="20" t="str">
        <f t="shared" ca="1" si="194"/>
        <v>ON</v>
      </c>
      <c r="AH395" s="1" t="str">
        <f t="shared" ca="1" si="195"/>
        <v>ON</v>
      </c>
      <c r="AI395" s="1" t="str">
        <f t="shared" ca="1" si="196"/>
        <v>ON</v>
      </c>
      <c r="AJ395" s="1" t="str">
        <f t="shared" ca="1" si="197"/>
        <v>ON</v>
      </c>
      <c r="AK395" s="1" t="str">
        <f t="shared" ca="1" si="198"/>
        <v>ON</v>
      </c>
      <c r="AL395" s="1"/>
      <c r="AM395" s="20" t="str">
        <f t="shared" si="199"/>
        <v>ON</v>
      </c>
      <c r="AN395" s="20" t="str">
        <f t="shared" si="199"/>
        <v>ON</v>
      </c>
      <c r="AO395" s="20" t="str">
        <f t="shared" si="200"/>
        <v>ON</v>
      </c>
    </row>
    <row r="396" spans="1:41">
      <c r="A396" t="str">
        <f t="shared" ca="1" si="174"/>
        <v>Ogun</v>
      </c>
      <c r="B396" t="str">
        <f t="shared" ca="1" si="175"/>
        <v>A</v>
      </c>
      <c r="C396" t="str">
        <f t="shared" ca="1" si="176"/>
        <v>A1</v>
      </c>
      <c r="D396" s="5" t="s">
        <v>7</v>
      </c>
      <c r="E396">
        <f t="shared" ca="1" si="177"/>
        <v>25</v>
      </c>
      <c r="F396">
        <f t="shared" ca="1" si="178"/>
        <v>2</v>
      </c>
      <c r="G396" t="str">
        <v>A</v>
      </c>
      <c r="H396" t="str">
        <v>A</v>
      </c>
      <c r="I396" t="str">
        <f ca="1">IF($A396="","",IF(COUNTA($R$2:$W$2)=6,"WK "&amp;_xlfn.ISOWEEKNUM($R$2)))</f>
        <v>WK 19</v>
      </c>
      <c r="J396" t="str">
        <f ca="1">IF($A396="","",IF(COUNTA($AF$2:$AK$2)=6,"WK "&amp;_xlfn.ISOWEEKNUM($AF$2)))</f>
        <v>WK 21</v>
      </c>
      <c r="K396" s="20" t="str">
        <f t="shared" ca="1" si="179"/>
        <v>ON</v>
      </c>
      <c r="L396" s="20" t="str">
        <f t="shared" ca="1" si="179"/>
        <v>ON</v>
      </c>
      <c r="M396" s="1" t="str">
        <f t="shared" ca="1" si="180"/>
        <v>ON</v>
      </c>
      <c r="N396" s="1" t="str">
        <f t="shared" ca="1" si="181"/>
        <v>ON</v>
      </c>
      <c r="O396" s="1" t="str">
        <f t="shared" ca="1" si="182"/>
        <v>ON</v>
      </c>
      <c r="P396" s="1" t="str">
        <f t="shared" ca="1" si="183"/>
        <v>ON</v>
      </c>
      <c r="Q396" s="1"/>
      <c r="R396" s="20" t="str">
        <f t="shared" ca="1" si="184"/>
        <v>ON</v>
      </c>
      <c r="S396" s="20" t="str">
        <f t="shared" ca="1" si="184"/>
        <v>ON</v>
      </c>
      <c r="T396" s="1" t="str">
        <f t="shared" ca="1" si="185"/>
        <v>OFF</v>
      </c>
      <c r="U396" s="1" t="str">
        <f t="shared" ca="1" si="186"/>
        <v>ON</v>
      </c>
      <c r="V396" s="1" t="str">
        <f t="shared" ca="1" si="187"/>
        <v>ON</v>
      </c>
      <c r="W396" s="1" t="str">
        <f t="shared" ca="1" si="188"/>
        <v>ON</v>
      </c>
      <c r="X396" s="1"/>
      <c r="Y396" s="20" t="str">
        <f t="shared" ca="1" si="189"/>
        <v>ON</v>
      </c>
      <c r="Z396" s="20" t="str">
        <f t="shared" ca="1" si="189"/>
        <v>ON</v>
      </c>
      <c r="AA396" s="1" t="str">
        <f t="shared" ca="1" si="190"/>
        <v>ON</v>
      </c>
      <c r="AB396" s="1" t="str">
        <f t="shared" ca="1" si="191"/>
        <v>ON</v>
      </c>
      <c r="AC396" s="1" t="str">
        <f t="shared" ca="1" si="192"/>
        <v>ON</v>
      </c>
      <c r="AD396" s="1" t="str">
        <f t="shared" ca="1" si="193"/>
        <v>ON</v>
      </c>
      <c r="AE396" s="1"/>
      <c r="AF396" s="20" t="str">
        <f t="shared" ca="1" si="194"/>
        <v>ON</v>
      </c>
      <c r="AG396" s="20" t="str">
        <f t="shared" ca="1" si="194"/>
        <v>ON</v>
      </c>
      <c r="AH396" s="1" t="str">
        <f t="shared" ca="1" si="195"/>
        <v>OFF</v>
      </c>
      <c r="AI396" s="1" t="str">
        <f t="shared" ca="1" si="196"/>
        <v>ON</v>
      </c>
      <c r="AJ396" s="1" t="str">
        <f t="shared" ca="1" si="197"/>
        <v>ON</v>
      </c>
      <c r="AK396" s="1" t="str">
        <f t="shared" ca="1" si="198"/>
        <v>ON</v>
      </c>
      <c r="AL396" s="1"/>
      <c r="AM396" s="20" t="str">
        <f t="shared" si="199"/>
        <v>ON</v>
      </c>
      <c r="AN396" s="20" t="str">
        <f t="shared" si="199"/>
        <v>ON</v>
      </c>
      <c r="AO396" s="20" t="str">
        <f t="shared" si="200"/>
        <v>ON</v>
      </c>
    </row>
    <row r="397" spans="1:41">
      <c r="A397" t="str">
        <f t="shared" ca="1" si="174"/>
        <v>Lagos</v>
      </c>
      <c r="B397" t="str">
        <f t="shared" ca="1" si="175"/>
        <v>A</v>
      </c>
      <c r="C397" t="str">
        <f t="shared" ca="1" si="176"/>
        <v>C1</v>
      </c>
      <c r="D397" s="5" t="s">
        <v>8</v>
      </c>
      <c r="E397">
        <f t="shared" ca="1" si="177"/>
        <v>25</v>
      </c>
      <c r="F397">
        <f t="shared" ca="1" si="178"/>
        <v>2</v>
      </c>
      <c r="G397" t="str" cm="1">
        <f t="array" ref="G397:G400">Groups!$B$2:$B$5</f>
        <v>A</v>
      </c>
      <c r="H397" t="str" cm="1">
        <f t="array" ref="H397:H400">Groups!$B$2:$B$5</f>
        <v>A</v>
      </c>
      <c r="I397" t="str">
        <f ca="1">IF($A397="","",IF(COUNTA($K$2:$P$2)=6,"WK "&amp;_xlfn.ISOWEEKNUM($K$2)))</f>
        <v>WK 18</v>
      </c>
      <c r="J397" t="str">
        <f ca="1">IF($A397="","",IF(COUNTA($Y$2:$AD$2)=6,"WK "&amp;_xlfn.ISOWEEKNUM($Y$2)))</f>
        <v>WK 20</v>
      </c>
      <c r="K397" s="20" t="str">
        <f t="shared" ca="1" si="179"/>
        <v>ON</v>
      </c>
      <c r="L397" s="20" t="str">
        <f t="shared" ca="1" si="179"/>
        <v>ON</v>
      </c>
      <c r="M397" s="1" t="str">
        <f t="shared" ca="1" si="180"/>
        <v>OFF</v>
      </c>
      <c r="N397" s="1" t="str">
        <f t="shared" ca="1" si="181"/>
        <v>ON</v>
      </c>
      <c r="O397" s="1" t="str">
        <f t="shared" ca="1" si="182"/>
        <v>ON</v>
      </c>
      <c r="P397" s="1" t="str">
        <f t="shared" ca="1" si="183"/>
        <v>ON</v>
      </c>
      <c r="Q397" s="1"/>
      <c r="R397" s="20" t="str">
        <f t="shared" ca="1" si="184"/>
        <v>ON</v>
      </c>
      <c r="S397" s="20" t="str">
        <f t="shared" ca="1" si="184"/>
        <v>ON</v>
      </c>
      <c r="T397" s="1" t="str">
        <f t="shared" ca="1" si="185"/>
        <v>ON</v>
      </c>
      <c r="U397" s="1" t="str">
        <f t="shared" ca="1" si="186"/>
        <v>ON</v>
      </c>
      <c r="V397" s="1" t="str">
        <f t="shared" ca="1" si="187"/>
        <v>ON</v>
      </c>
      <c r="W397" s="1" t="str">
        <f t="shared" ca="1" si="188"/>
        <v>ON</v>
      </c>
      <c r="X397" s="1"/>
      <c r="Y397" s="20" t="str">
        <f t="shared" ca="1" si="189"/>
        <v>ON</v>
      </c>
      <c r="Z397" s="20" t="str">
        <f t="shared" ca="1" si="189"/>
        <v>ON</v>
      </c>
      <c r="AA397" s="1" t="str">
        <f t="shared" ca="1" si="190"/>
        <v>OFF</v>
      </c>
      <c r="AB397" s="1" t="str">
        <f t="shared" ca="1" si="191"/>
        <v>ON</v>
      </c>
      <c r="AC397" s="1" t="str">
        <f t="shared" ca="1" si="192"/>
        <v>ON</v>
      </c>
      <c r="AD397" s="1" t="str">
        <f t="shared" ca="1" si="193"/>
        <v>ON</v>
      </c>
      <c r="AE397" s="1"/>
      <c r="AF397" s="20" t="str">
        <f t="shared" ca="1" si="194"/>
        <v>ON</v>
      </c>
      <c r="AG397" s="20" t="str">
        <f t="shared" ca="1" si="194"/>
        <v>ON</v>
      </c>
      <c r="AH397" s="1" t="str">
        <f t="shared" ca="1" si="195"/>
        <v>ON</v>
      </c>
      <c r="AI397" s="1" t="str">
        <f t="shared" ca="1" si="196"/>
        <v>ON</v>
      </c>
      <c r="AJ397" s="1" t="str">
        <f t="shared" ca="1" si="197"/>
        <v>ON</v>
      </c>
      <c r="AK397" s="1" t="str">
        <f t="shared" ca="1" si="198"/>
        <v>ON</v>
      </c>
      <c r="AL397" s="1"/>
      <c r="AM397" s="20" t="str">
        <f t="shared" si="199"/>
        <v>ON</v>
      </c>
      <c r="AN397" s="20" t="str">
        <f t="shared" si="199"/>
        <v>ON</v>
      </c>
      <c r="AO397" s="20" t="str">
        <f t="shared" si="200"/>
        <v>ON</v>
      </c>
    </row>
    <row r="398" spans="1:41">
      <c r="A398" t="str">
        <f t="shared" ca="1" si="174"/>
        <v>Oyo</v>
      </c>
      <c r="B398" t="str">
        <f t="shared" ca="1" si="175"/>
        <v>B</v>
      </c>
      <c r="C398" t="str">
        <f t="shared" ca="1" si="176"/>
        <v>C1</v>
      </c>
      <c r="D398" s="5" t="s">
        <v>8</v>
      </c>
      <c r="E398">
        <f t="shared" ca="1" si="177"/>
        <v>25</v>
      </c>
      <c r="F398">
        <f t="shared" ca="1" si="178"/>
        <v>2</v>
      </c>
      <c r="G398" t="str">
        <v>B</v>
      </c>
      <c r="H398" t="str">
        <v>B</v>
      </c>
      <c r="I398" t="str">
        <f ca="1">IF($A398="","",IF(COUNTA($R$2:$W$2)=6,"WK "&amp;_xlfn.ISOWEEKNUM($R$2)))</f>
        <v>WK 19</v>
      </c>
      <c r="J398" t="str">
        <f ca="1">IF($A398="","",IF(COUNTA($AF$2:$AK$2)=6,"WK "&amp;_xlfn.ISOWEEKNUM($AF$2)))</f>
        <v>WK 21</v>
      </c>
      <c r="K398" s="20" t="str">
        <f t="shared" ca="1" si="179"/>
        <v>ON</v>
      </c>
      <c r="L398" s="20" t="str">
        <f t="shared" ca="1" si="179"/>
        <v>ON</v>
      </c>
      <c r="M398" s="1" t="str">
        <f t="shared" ca="1" si="180"/>
        <v>ON</v>
      </c>
      <c r="N398" s="1" t="str">
        <f t="shared" ca="1" si="181"/>
        <v>ON</v>
      </c>
      <c r="O398" s="1" t="str">
        <f t="shared" ca="1" si="182"/>
        <v>ON</v>
      </c>
      <c r="P398" s="1" t="str">
        <f t="shared" ca="1" si="183"/>
        <v>ON</v>
      </c>
      <c r="Q398" s="1"/>
      <c r="R398" s="20" t="str">
        <f t="shared" ca="1" si="184"/>
        <v>ON</v>
      </c>
      <c r="S398" s="20" t="str">
        <f t="shared" ca="1" si="184"/>
        <v>ON</v>
      </c>
      <c r="T398" s="1" t="str">
        <f t="shared" ca="1" si="185"/>
        <v>ON</v>
      </c>
      <c r="U398" s="1" t="str">
        <f t="shared" ca="1" si="186"/>
        <v>OFF</v>
      </c>
      <c r="V398" s="1" t="str">
        <f t="shared" ca="1" si="187"/>
        <v>ON</v>
      </c>
      <c r="W398" s="1" t="str">
        <f t="shared" ca="1" si="188"/>
        <v>ON</v>
      </c>
      <c r="X398" s="1"/>
      <c r="Y398" s="20" t="str">
        <f t="shared" ca="1" si="189"/>
        <v>ON</v>
      </c>
      <c r="Z398" s="20" t="str">
        <f t="shared" ca="1" si="189"/>
        <v>ON</v>
      </c>
      <c r="AA398" s="1" t="str">
        <f t="shared" ca="1" si="190"/>
        <v>ON</v>
      </c>
      <c r="AB398" s="1" t="str">
        <f t="shared" ca="1" si="191"/>
        <v>ON</v>
      </c>
      <c r="AC398" s="1" t="str">
        <f t="shared" ca="1" si="192"/>
        <v>ON</v>
      </c>
      <c r="AD398" s="1" t="str">
        <f t="shared" ca="1" si="193"/>
        <v>ON</v>
      </c>
      <c r="AE398" s="1"/>
      <c r="AF398" s="20" t="str">
        <f t="shared" ca="1" si="194"/>
        <v>ON</v>
      </c>
      <c r="AG398" s="20" t="str">
        <f t="shared" ca="1" si="194"/>
        <v>ON</v>
      </c>
      <c r="AH398" s="1" t="str">
        <f t="shared" ca="1" si="195"/>
        <v>ON</v>
      </c>
      <c r="AI398" s="1" t="str">
        <f t="shared" ca="1" si="196"/>
        <v>OFF</v>
      </c>
      <c r="AJ398" s="1" t="str">
        <f t="shared" ca="1" si="197"/>
        <v>ON</v>
      </c>
      <c r="AK398" s="1" t="str">
        <f t="shared" ca="1" si="198"/>
        <v>ON</v>
      </c>
      <c r="AL398" s="1"/>
      <c r="AM398" s="20" t="str">
        <f t="shared" si="199"/>
        <v>ON</v>
      </c>
      <c r="AN398" s="20" t="str">
        <f t="shared" si="199"/>
        <v>ON</v>
      </c>
      <c r="AO398" s="20" t="str">
        <f t="shared" si="200"/>
        <v>ON</v>
      </c>
    </row>
    <row r="399" spans="1:41">
      <c r="A399" t="str">
        <f t="shared" ca="1" si="174"/>
        <v>Ondo</v>
      </c>
      <c r="B399" t="str">
        <f t="shared" ca="1" si="175"/>
        <v>E</v>
      </c>
      <c r="C399" t="str">
        <f t="shared" ca="1" si="176"/>
        <v>B1</v>
      </c>
      <c r="D399" s="5" t="s">
        <v>8</v>
      </c>
      <c r="E399">
        <f t="shared" ca="1" si="177"/>
        <v>25</v>
      </c>
      <c r="F399">
        <f t="shared" ca="1" si="178"/>
        <v>2</v>
      </c>
      <c r="G399" t="str">
        <v>C</v>
      </c>
      <c r="H399" t="str">
        <v>C</v>
      </c>
      <c r="I399" t="str">
        <f ca="1">IF($A399="","",IF(COUNTA($K$2:$P$2)=6,"WK "&amp;_xlfn.ISOWEEKNUM($K$2)))</f>
        <v>WK 18</v>
      </c>
      <c r="J399" t="str">
        <f ca="1">IF($A399="","",IF(COUNTA($Y$2:$AD$2)=6,"WK "&amp;_xlfn.ISOWEEKNUM($Y$2)))</f>
        <v>WK 20</v>
      </c>
      <c r="K399" s="20" t="str">
        <f t="shared" ca="1" si="179"/>
        <v>ON</v>
      </c>
      <c r="L399" s="20" t="str">
        <f t="shared" ca="1" si="179"/>
        <v>ON</v>
      </c>
      <c r="M399" s="1" t="str">
        <f t="shared" ca="1" si="180"/>
        <v>ON</v>
      </c>
      <c r="N399" s="1" t="str">
        <f t="shared" ca="1" si="181"/>
        <v>ON</v>
      </c>
      <c r="O399" s="1" t="str">
        <f t="shared" ca="1" si="182"/>
        <v>OFF</v>
      </c>
      <c r="P399" s="1" t="str">
        <f t="shared" ca="1" si="183"/>
        <v>ON</v>
      </c>
      <c r="Q399" s="1"/>
      <c r="R399" s="20" t="str">
        <f t="shared" ca="1" si="184"/>
        <v>ON</v>
      </c>
      <c r="S399" s="20" t="str">
        <f t="shared" ca="1" si="184"/>
        <v>ON</v>
      </c>
      <c r="T399" s="1" t="str">
        <f t="shared" ca="1" si="185"/>
        <v>ON</v>
      </c>
      <c r="U399" s="1" t="str">
        <f t="shared" ca="1" si="186"/>
        <v>ON</v>
      </c>
      <c r="V399" s="1" t="str">
        <f t="shared" ca="1" si="187"/>
        <v>ON</v>
      </c>
      <c r="W399" s="1" t="str">
        <f t="shared" ca="1" si="188"/>
        <v>ON</v>
      </c>
      <c r="X399" s="1"/>
      <c r="Y399" s="20" t="str">
        <f t="shared" ca="1" si="189"/>
        <v>ON</v>
      </c>
      <c r="Z399" s="20" t="str">
        <f t="shared" ca="1" si="189"/>
        <v>ON</v>
      </c>
      <c r="AA399" s="1" t="str">
        <f t="shared" ca="1" si="190"/>
        <v>ON</v>
      </c>
      <c r="AB399" s="1" t="str">
        <f t="shared" ca="1" si="191"/>
        <v>ON</v>
      </c>
      <c r="AC399" s="1" t="str">
        <f t="shared" ca="1" si="192"/>
        <v>OFF</v>
      </c>
      <c r="AD399" s="1" t="str">
        <f t="shared" ca="1" si="193"/>
        <v>ON</v>
      </c>
      <c r="AE399" s="1"/>
      <c r="AF399" s="20" t="str">
        <f t="shared" ca="1" si="194"/>
        <v>ON</v>
      </c>
      <c r="AG399" s="20" t="str">
        <f t="shared" ca="1" si="194"/>
        <v>ON</v>
      </c>
      <c r="AH399" s="1" t="str">
        <f t="shared" ca="1" si="195"/>
        <v>ON</v>
      </c>
      <c r="AI399" s="1" t="str">
        <f t="shared" ca="1" si="196"/>
        <v>ON</v>
      </c>
      <c r="AJ399" s="1" t="str">
        <f t="shared" ca="1" si="197"/>
        <v>ON</v>
      </c>
      <c r="AK399" s="1" t="str">
        <f t="shared" ca="1" si="198"/>
        <v>ON</v>
      </c>
      <c r="AL399" s="1"/>
      <c r="AM399" s="20" t="str">
        <f t="shared" si="199"/>
        <v>ON</v>
      </c>
      <c r="AN399" s="20" t="str">
        <f t="shared" si="199"/>
        <v>ON</v>
      </c>
      <c r="AO399" s="20" t="str">
        <f t="shared" si="200"/>
        <v>ON</v>
      </c>
    </row>
    <row r="400" spans="1:41">
      <c r="A400" t="str">
        <f t="shared" ca="1" si="174"/>
        <v>Oyo</v>
      </c>
      <c r="B400" t="str">
        <f t="shared" ca="1" si="175"/>
        <v>B</v>
      </c>
      <c r="C400" t="str">
        <f t="shared" ca="1" si="176"/>
        <v>B1</v>
      </c>
      <c r="D400" t="s">
        <v>7</v>
      </c>
      <c r="E400">
        <f t="shared" ca="1" si="177"/>
        <v>25</v>
      </c>
      <c r="F400">
        <f t="shared" ca="1" si="178"/>
        <v>2</v>
      </c>
      <c r="G400" t="str">
        <v>D</v>
      </c>
      <c r="H400" t="str">
        <v>D</v>
      </c>
      <c r="I400" t="str">
        <f ca="1">IF($A400="","",IF(COUNTA($R$2:$W$2)=6,"WK "&amp;_xlfn.ISOWEEKNUM($R$2)))</f>
        <v>WK 19</v>
      </c>
      <c r="J400" t="str">
        <f ca="1">IF($A400="","",IF(COUNTA($AF$2:$AK$2)=6,"WK "&amp;_xlfn.ISOWEEKNUM($AF$2)))</f>
        <v>WK 21</v>
      </c>
      <c r="K400" s="20" t="str">
        <f t="shared" ca="1" si="179"/>
        <v>ON</v>
      </c>
      <c r="L400" s="20" t="str">
        <f t="shared" ca="1" si="179"/>
        <v>ON</v>
      </c>
      <c r="M400" s="1" t="str">
        <f t="shared" ca="1" si="180"/>
        <v>ON</v>
      </c>
      <c r="N400" s="1" t="str">
        <f t="shared" ca="1" si="181"/>
        <v>ON</v>
      </c>
      <c r="O400" s="1" t="str">
        <f t="shared" ca="1" si="182"/>
        <v>ON</v>
      </c>
      <c r="P400" s="1" t="str">
        <f t="shared" ca="1" si="183"/>
        <v>ON</v>
      </c>
      <c r="Q400" s="1"/>
      <c r="R400" s="20" t="str">
        <f t="shared" ca="1" si="184"/>
        <v>ON</v>
      </c>
      <c r="S400" s="20" t="str">
        <f t="shared" ca="1" si="184"/>
        <v>ON</v>
      </c>
      <c r="T400" s="1" t="str">
        <f t="shared" ca="1" si="185"/>
        <v>ON</v>
      </c>
      <c r="U400" s="1" t="str">
        <f t="shared" ca="1" si="186"/>
        <v>ON</v>
      </c>
      <c r="V400" s="1" t="str">
        <f t="shared" ca="1" si="187"/>
        <v>ON</v>
      </c>
      <c r="W400" s="1" t="str">
        <f t="shared" ca="1" si="188"/>
        <v>OFF</v>
      </c>
      <c r="X400" s="1"/>
      <c r="Y400" s="20" t="str">
        <f t="shared" ca="1" si="189"/>
        <v>ON</v>
      </c>
      <c r="Z400" s="20" t="str">
        <f t="shared" ca="1" si="189"/>
        <v>ON</v>
      </c>
      <c r="AA400" s="1" t="str">
        <f t="shared" ca="1" si="190"/>
        <v>ON</v>
      </c>
      <c r="AB400" s="1" t="str">
        <f t="shared" ca="1" si="191"/>
        <v>ON</v>
      </c>
      <c r="AC400" s="1" t="str">
        <f t="shared" ca="1" si="192"/>
        <v>ON</v>
      </c>
      <c r="AD400" s="1" t="str">
        <f t="shared" ca="1" si="193"/>
        <v>ON</v>
      </c>
      <c r="AE400" s="1"/>
      <c r="AF400" s="20" t="str">
        <f t="shared" ca="1" si="194"/>
        <v>ON</v>
      </c>
      <c r="AG400" s="20" t="str">
        <f t="shared" ca="1" si="194"/>
        <v>ON</v>
      </c>
      <c r="AH400" s="1" t="str">
        <f t="shared" ca="1" si="195"/>
        <v>ON</v>
      </c>
      <c r="AI400" s="1" t="str">
        <f t="shared" ca="1" si="196"/>
        <v>ON</v>
      </c>
      <c r="AJ400" s="1" t="str">
        <f t="shared" ca="1" si="197"/>
        <v>ON</v>
      </c>
      <c r="AK400" s="1" t="str">
        <f t="shared" ca="1" si="198"/>
        <v>OFF</v>
      </c>
      <c r="AL400" s="1"/>
      <c r="AM400" s="20" t="str">
        <f t="shared" si="199"/>
        <v>ON</v>
      </c>
      <c r="AN400" s="20" t="str">
        <f t="shared" si="199"/>
        <v>ON</v>
      </c>
      <c r="AO400" s="20" t="str">
        <f t="shared" si="200"/>
        <v>ON</v>
      </c>
    </row>
    <row r="401" spans="1:41">
      <c r="A401" t="str">
        <f t="shared" ca="1" si="174"/>
        <v>Lagos</v>
      </c>
      <c r="B401" t="str">
        <f t="shared" ca="1" si="175"/>
        <v>A</v>
      </c>
      <c r="C401" t="str">
        <f t="shared" ca="1" si="176"/>
        <v>C1</v>
      </c>
      <c r="D401" t="s">
        <v>7</v>
      </c>
      <c r="E401">
        <f t="shared" ca="1" si="177"/>
        <v>25</v>
      </c>
      <c r="F401">
        <f t="shared" ca="1" si="178"/>
        <v>2</v>
      </c>
      <c r="G401" t="str" cm="1">
        <f t="array" ref="G401:G404">IF($G$5:$G$8={"A";"B";"C";"D"},{"D";"C";"B";"A"},{"A";"B";"C";"D"})</f>
        <v>D</v>
      </c>
      <c r="H401" t="str" cm="1">
        <f t="array" ref="H401:H404">IF($H$5:$H$8={"A";"B";"C";"D"},{"D";"C";"B";"A"},{"A";"B";"C";"D"})</f>
        <v>D</v>
      </c>
      <c r="I401" t="str">
        <f ca="1">IF($A401="","",IF(COUNTA($K$2:$P$2)=6,"WK "&amp;_xlfn.ISOWEEKNUM($K$2)))</f>
        <v>WK 18</v>
      </c>
      <c r="J401" t="str">
        <f ca="1">IF($A401="","",IF(COUNTA($Y$2:$AD$2)=6,"WK "&amp;_xlfn.ISOWEEKNUM($Y$2)))</f>
        <v>WK 20</v>
      </c>
      <c r="K401" s="20" t="str">
        <f t="shared" ca="1" si="179"/>
        <v>ON</v>
      </c>
      <c r="L401" s="20" t="str">
        <f t="shared" ca="1" si="179"/>
        <v>ON</v>
      </c>
      <c r="M401" s="1" t="str">
        <f t="shared" ca="1" si="180"/>
        <v>ON</v>
      </c>
      <c r="N401" s="1" t="str">
        <f t="shared" ca="1" si="181"/>
        <v>ON</v>
      </c>
      <c r="O401" s="1" t="str">
        <f t="shared" ca="1" si="182"/>
        <v>ON</v>
      </c>
      <c r="P401" s="1" t="str">
        <f t="shared" ca="1" si="183"/>
        <v>OFF</v>
      </c>
      <c r="Q401" s="1"/>
      <c r="R401" s="20" t="str">
        <f t="shared" ca="1" si="184"/>
        <v>ON</v>
      </c>
      <c r="S401" s="20" t="str">
        <f t="shared" ca="1" si="184"/>
        <v>ON</v>
      </c>
      <c r="T401" s="1" t="str">
        <f t="shared" ca="1" si="185"/>
        <v>ON</v>
      </c>
      <c r="U401" s="1" t="str">
        <f t="shared" ca="1" si="186"/>
        <v>ON</v>
      </c>
      <c r="V401" s="1" t="str">
        <f t="shared" ca="1" si="187"/>
        <v>ON</v>
      </c>
      <c r="W401" s="1" t="str">
        <f t="shared" ca="1" si="188"/>
        <v>ON</v>
      </c>
      <c r="X401" s="1"/>
      <c r="Y401" s="20" t="str">
        <f t="shared" ca="1" si="189"/>
        <v>ON</v>
      </c>
      <c r="Z401" s="20" t="str">
        <f t="shared" ca="1" si="189"/>
        <v>ON</v>
      </c>
      <c r="AA401" s="1" t="str">
        <f t="shared" ca="1" si="190"/>
        <v>ON</v>
      </c>
      <c r="AB401" s="1" t="str">
        <f t="shared" ca="1" si="191"/>
        <v>ON</v>
      </c>
      <c r="AC401" s="1" t="str">
        <f t="shared" ca="1" si="192"/>
        <v>ON</v>
      </c>
      <c r="AD401" s="1" t="str">
        <f t="shared" ca="1" si="193"/>
        <v>OFF</v>
      </c>
      <c r="AE401" s="1"/>
      <c r="AF401" s="20" t="str">
        <f t="shared" ca="1" si="194"/>
        <v>ON</v>
      </c>
      <c r="AG401" s="20" t="str">
        <f t="shared" ca="1" si="194"/>
        <v>ON</v>
      </c>
      <c r="AH401" s="1" t="str">
        <f t="shared" ca="1" si="195"/>
        <v>ON</v>
      </c>
      <c r="AI401" s="1" t="str">
        <f t="shared" ca="1" si="196"/>
        <v>ON</v>
      </c>
      <c r="AJ401" s="1" t="str">
        <f t="shared" ca="1" si="197"/>
        <v>ON</v>
      </c>
      <c r="AK401" s="1" t="str">
        <f t="shared" ca="1" si="198"/>
        <v>ON</v>
      </c>
      <c r="AL401" s="1"/>
      <c r="AM401" s="20" t="str">
        <f t="shared" si="199"/>
        <v>ON</v>
      </c>
      <c r="AN401" s="20" t="str">
        <f t="shared" si="199"/>
        <v>ON</v>
      </c>
      <c r="AO401" s="20" t="str">
        <f t="shared" si="200"/>
        <v>ON</v>
      </c>
    </row>
    <row r="402" spans="1:41">
      <c r="A402" t="str">
        <f t="shared" ca="1" si="174"/>
        <v>Ondo</v>
      </c>
      <c r="B402" t="str">
        <f t="shared" ca="1" si="175"/>
        <v>B</v>
      </c>
      <c r="C402" t="str">
        <f t="shared" ca="1" si="176"/>
        <v>E1</v>
      </c>
      <c r="D402" t="s">
        <v>7</v>
      </c>
      <c r="E402">
        <f t="shared" ca="1" si="177"/>
        <v>25</v>
      </c>
      <c r="F402">
        <f t="shared" ca="1" si="178"/>
        <v>2</v>
      </c>
      <c r="G402" t="str">
        <v>C</v>
      </c>
      <c r="H402" t="str">
        <v>C</v>
      </c>
      <c r="I402" t="str">
        <f ca="1">IF($A402="","",IF(COUNTA($R$2:$W$2)=6,"WK "&amp;_xlfn.ISOWEEKNUM($R$2)))</f>
        <v>WK 19</v>
      </c>
      <c r="J402" t="str">
        <f ca="1">IF($A402="","",IF(COUNTA($AF$2:$AK$2)=6,"WK "&amp;_xlfn.ISOWEEKNUM($AF$2)))</f>
        <v>WK 21</v>
      </c>
      <c r="K402" s="20" t="str">
        <f t="shared" ca="1" si="179"/>
        <v>ON</v>
      </c>
      <c r="L402" s="20" t="str">
        <f t="shared" ca="1" si="179"/>
        <v>ON</v>
      </c>
      <c r="M402" s="1" t="str">
        <f t="shared" ca="1" si="180"/>
        <v>ON</v>
      </c>
      <c r="N402" s="1" t="str">
        <f t="shared" ca="1" si="181"/>
        <v>ON</v>
      </c>
      <c r="O402" s="1" t="str">
        <f t="shared" ca="1" si="182"/>
        <v>ON</v>
      </c>
      <c r="P402" s="1" t="str">
        <f t="shared" ca="1" si="183"/>
        <v>ON</v>
      </c>
      <c r="Q402" s="1"/>
      <c r="R402" s="20" t="str">
        <f t="shared" ca="1" si="184"/>
        <v>ON</v>
      </c>
      <c r="S402" s="20" t="str">
        <f t="shared" ca="1" si="184"/>
        <v>ON</v>
      </c>
      <c r="T402" s="1" t="str">
        <f t="shared" ca="1" si="185"/>
        <v>ON</v>
      </c>
      <c r="U402" s="1" t="str">
        <f t="shared" ca="1" si="186"/>
        <v>ON</v>
      </c>
      <c r="V402" s="1" t="str">
        <f t="shared" ca="1" si="187"/>
        <v>OFF</v>
      </c>
      <c r="W402" s="1" t="str">
        <f t="shared" ca="1" si="188"/>
        <v>ON</v>
      </c>
      <c r="X402" s="1"/>
      <c r="Y402" s="20" t="str">
        <f t="shared" ca="1" si="189"/>
        <v>ON</v>
      </c>
      <c r="Z402" s="20" t="str">
        <f t="shared" ca="1" si="189"/>
        <v>ON</v>
      </c>
      <c r="AA402" s="1" t="str">
        <f t="shared" ca="1" si="190"/>
        <v>ON</v>
      </c>
      <c r="AB402" s="1" t="str">
        <f t="shared" ca="1" si="191"/>
        <v>ON</v>
      </c>
      <c r="AC402" s="1" t="str">
        <f t="shared" ca="1" si="192"/>
        <v>ON</v>
      </c>
      <c r="AD402" s="1" t="str">
        <f t="shared" ca="1" si="193"/>
        <v>ON</v>
      </c>
      <c r="AE402" s="1"/>
      <c r="AF402" s="20" t="str">
        <f t="shared" ca="1" si="194"/>
        <v>ON</v>
      </c>
      <c r="AG402" s="20" t="str">
        <f t="shared" ca="1" si="194"/>
        <v>ON</v>
      </c>
      <c r="AH402" s="1" t="str">
        <f t="shared" ca="1" si="195"/>
        <v>ON</v>
      </c>
      <c r="AI402" s="1" t="str">
        <f t="shared" ca="1" si="196"/>
        <v>ON</v>
      </c>
      <c r="AJ402" s="1" t="str">
        <f t="shared" ca="1" si="197"/>
        <v>OFF</v>
      </c>
      <c r="AK402" s="1" t="str">
        <f t="shared" ca="1" si="198"/>
        <v>ON</v>
      </c>
      <c r="AL402" s="1"/>
      <c r="AM402" s="20" t="str">
        <f t="shared" si="199"/>
        <v>ON</v>
      </c>
      <c r="AN402" s="20" t="str">
        <f t="shared" si="199"/>
        <v>ON</v>
      </c>
      <c r="AO402" s="20" t="str">
        <f t="shared" si="200"/>
        <v>ON</v>
      </c>
    </row>
    <row r="403" spans="1:41">
      <c r="A403" t="str">
        <f t="shared" ca="1" si="174"/>
        <v>Oyo</v>
      </c>
      <c r="B403" t="str">
        <f t="shared" ca="1" si="175"/>
        <v>D</v>
      </c>
      <c r="C403" t="str">
        <f t="shared" ca="1" si="176"/>
        <v>E1</v>
      </c>
      <c r="D403" t="s">
        <v>7</v>
      </c>
      <c r="E403">
        <f t="shared" ca="1" si="177"/>
        <v>25</v>
      </c>
      <c r="F403">
        <f t="shared" ca="1" si="178"/>
        <v>2</v>
      </c>
      <c r="G403" t="str">
        <v>B</v>
      </c>
      <c r="H403" t="str">
        <v>B</v>
      </c>
      <c r="I403" t="str">
        <f ca="1">IF($A403="","",IF(COUNTA($K$2:$P$2)=6,"WK "&amp;_xlfn.ISOWEEKNUM($K$2)))</f>
        <v>WK 18</v>
      </c>
      <c r="J403" t="str">
        <f ca="1">IF($A403="","",IF(COUNTA($Y$2:$AD$2)=6,"WK "&amp;_xlfn.ISOWEEKNUM($Y$2)))</f>
        <v>WK 20</v>
      </c>
      <c r="K403" s="20" t="str">
        <f t="shared" ca="1" si="179"/>
        <v>ON</v>
      </c>
      <c r="L403" s="20" t="str">
        <f t="shared" ca="1" si="179"/>
        <v>ON</v>
      </c>
      <c r="M403" s="1" t="str">
        <f t="shared" ca="1" si="180"/>
        <v>ON</v>
      </c>
      <c r="N403" s="1" t="str">
        <f t="shared" ca="1" si="181"/>
        <v>OFF</v>
      </c>
      <c r="O403" s="1" t="str">
        <f t="shared" ca="1" si="182"/>
        <v>ON</v>
      </c>
      <c r="P403" s="1" t="str">
        <f t="shared" ca="1" si="183"/>
        <v>ON</v>
      </c>
      <c r="Q403" s="1"/>
      <c r="R403" s="20" t="str">
        <f t="shared" ca="1" si="184"/>
        <v>ON</v>
      </c>
      <c r="S403" s="20" t="str">
        <f t="shared" ca="1" si="184"/>
        <v>ON</v>
      </c>
      <c r="T403" s="1" t="str">
        <f t="shared" ca="1" si="185"/>
        <v>ON</v>
      </c>
      <c r="U403" s="1" t="str">
        <f t="shared" ca="1" si="186"/>
        <v>ON</v>
      </c>
      <c r="V403" s="1" t="str">
        <f t="shared" ca="1" si="187"/>
        <v>ON</v>
      </c>
      <c r="W403" s="1" t="str">
        <f t="shared" ca="1" si="188"/>
        <v>ON</v>
      </c>
      <c r="X403" s="1"/>
      <c r="Y403" s="20" t="str">
        <f t="shared" ca="1" si="189"/>
        <v>ON</v>
      </c>
      <c r="Z403" s="20" t="str">
        <f t="shared" ca="1" si="189"/>
        <v>ON</v>
      </c>
      <c r="AA403" s="1" t="str">
        <f t="shared" ca="1" si="190"/>
        <v>ON</v>
      </c>
      <c r="AB403" s="1" t="str">
        <f t="shared" ca="1" si="191"/>
        <v>OFF</v>
      </c>
      <c r="AC403" s="1" t="str">
        <f t="shared" ca="1" si="192"/>
        <v>ON</v>
      </c>
      <c r="AD403" s="1" t="str">
        <f t="shared" ca="1" si="193"/>
        <v>ON</v>
      </c>
      <c r="AE403" s="1"/>
      <c r="AF403" s="20" t="str">
        <f t="shared" ca="1" si="194"/>
        <v>ON</v>
      </c>
      <c r="AG403" s="20" t="str">
        <f t="shared" ca="1" si="194"/>
        <v>ON</v>
      </c>
      <c r="AH403" s="1" t="str">
        <f t="shared" ca="1" si="195"/>
        <v>ON</v>
      </c>
      <c r="AI403" s="1" t="str">
        <f t="shared" ca="1" si="196"/>
        <v>ON</v>
      </c>
      <c r="AJ403" s="1" t="str">
        <f t="shared" ca="1" si="197"/>
        <v>ON</v>
      </c>
      <c r="AK403" s="1" t="str">
        <f t="shared" ca="1" si="198"/>
        <v>ON</v>
      </c>
      <c r="AL403" s="1"/>
      <c r="AM403" s="20" t="str">
        <f t="shared" si="199"/>
        <v>ON</v>
      </c>
      <c r="AN403" s="20" t="str">
        <f t="shared" si="199"/>
        <v>ON</v>
      </c>
      <c r="AO403" s="20" t="str">
        <f t="shared" si="200"/>
        <v>ON</v>
      </c>
    </row>
    <row r="404" spans="1:41">
      <c r="A404" t="str">
        <f t="shared" ca="1" si="174"/>
        <v>Ekiti</v>
      </c>
      <c r="B404" t="str">
        <f t="shared" ca="1" si="175"/>
        <v>C</v>
      </c>
      <c r="C404" t="str">
        <f t="shared" ca="1" si="176"/>
        <v>B1</v>
      </c>
      <c r="D404" t="s">
        <v>4</v>
      </c>
      <c r="E404">
        <f t="shared" ca="1" si="177"/>
        <v>25</v>
      </c>
      <c r="F404">
        <f t="shared" ca="1" si="178"/>
        <v>2</v>
      </c>
      <c r="G404" t="str">
        <v>A</v>
      </c>
      <c r="H404" t="str">
        <v>A</v>
      </c>
      <c r="I404" t="str">
        <f ca="1">IF($A404="","",IF(COUNTA($R$2:$W$2)=6,"WK "&amp;_xlfn.ISOWEEKNUM($R$2)))</f>
        <v>WK 19</v>
      </c>
      <c r="J404" t="str">
        <f ca="1">IF($A404="","",IF(COUNTA($AF$2:$AK$2)=6,"WK "&amp;_xlfn.ISOWEEKNUM($AF$2)))</f>
        <v>WK 21</v>
      </c>
      <c r="K404" s="20" t="str">
        <f t="shared" ca="1" si="179"/>
        <v>ON</v>
      </c>
      <c r="L404" s="20" t="str">
        <f t="shared" ca="1" si="179"/>
        <v>ON</v>
      </c>
      <c r="M404" s="1" t="str">
        <f t="shared" ca="1" si="180"/>
        <v>ON</v>
      </c>
      <c r="N404" s="1" t="str">
        <f t="shared" ca="1" si="181"/>
        <v>ON</v>
      </c>
      <c r="O404" s="1" t="str">
        <f t="shared" ca="1" si="182"/>
        <v>ON</v>
      </c>
      <c r="P404" s="1" t="str">
        <f t="shared" ca="1" si="183"/>
        <v>ON</v>
      </c>
      <c r="Q404" s="1"/>
      <c r="R404" s="20" t="str">
        <f t="shared" ca="1" si="184"/>
        <v>ON</v>
      </c>
      <c r="S404" s="20" t="str">
        <f t="shared" ca="1" si="184"/>
        <v>ON</v>
      </c>
      <c r="T404" s="1" t="str">
        <f t="shared" ca="1" si="185"/>
        <v>OFF</v>
      </c>
      <c r="U404" s="1" t="str">
        <f t="shared" ca="1" si="186"/>
        <v>ON</v>
      </c>
      <c r="V404" s="1" t="str">
        <f t="shared" ca="1" si="187"/>
        <v>ON</v>
      </c>
      <c r="W404" s="1" t="str">
        <f t="shared" ca="1" si="188"/>
        <v>ON</v>
      </c>
      <c r="X404" s="1"/>
      <c r="Y404" s="20" t="str">
        <f t="shared" ca="1" si="189"/>
        <v>ON</v>
      </c>
      <c r="Z404" s="20" t="str">
        <f t="shared" ca="1" si="189"/>
        <v>ON</v>
      </c>
      <c r="AA404" s="1" t="str">
        <f t="shared" ca="1" si="190"/>
        <v>ON</v>
      </c>
      <c r="AB404" s="1" t="str">
        <f t="shared" ca="1" si="191"/>
        <v>ON</v>
      </c>
      <c r="AC404" s="1" t="str">
        <f t="shared" ca="1" si="192"/>
        <v>ON</v>
      </c>
      <c r="AD404" s="1" t="str">
        <f t="shared" ca="1" si="193"/>
        <v>ON</v>
      </c>
      <c r="AE404" s="1"/>
      <c r="AF404" s="20" t="str">
        <f t="shared" ca="1" si="194"/>
        <v>ON</v>
      </c>
      <c r="AG404" s="20" t="str">
        <f t="shared" ca="1" si="194"/>
        <v>ON</v>
      </c>
      <c r="AH404" s="1" t="str">
        <f t="shared" ca="1" si="195"/>
        <v>OFF</v>
      </c>
      <c r="AI404" s="1" t="str">
        <f t="shared" ca="1" si="196"/>
        <v>ON</v>
      </c>
      <c r="AJ404" s="1" t="str">
        <f t="shared" ca="1" si="197"/>
        <v>ON</v>
      </c>
      <c r="AK404" s="1" t="str">
        <f t="shared" ca="1" si="198"/>
        <v>ON</v>
      </c>
      <c r="AL404" s="1"/>
      <c r="AM404" s="20" t="str">
        <f t="shared" si="199"/>
        <v>ON</v>
      </c>
      <c r="AN404" s="20" t="str">
        <f t="shared" si="199"/>
        <v>ON</v>
      </c>
      <c r="AO404" s="20" t="str">
        <f t="shared" si="200"/>
        <v>ON</v>
      </c>
    </row>
    <row r="405" spans="1:41">
      <c r="A405" t="str">
        <f t="shared" ca="1" si="174"/>
        <v>Ondo</v>
      </c>
      <c r="B405" t="str">
        <f t="shared" ca="1" si="175"/>
        <v>E</v>
      </c>
      <c r="C405" t="str">
        <f t="shared" ca="1" si="176"/>
        <v>B1</v>
      </c>
      <c r="D405" t="s">
        <v>5</v>
      </c>
      <c r="E405">
        <f t="shared" ca="1" si="177"/>
        <v>25</v>
      </c>
      <c r="F405">
        <f t="shared" ca="1" si="178"/>
        <v>2</v>
      </c>
      <c r="G405" t="str" cm="1">
        <f t="array" ref="G405:G408">Groups!$B$2:$B$5</f>
        <v>A</v>
      </c>
      <c r="H405" t="str" cm="1">
        <f t="array" ref="H405:H408">Groups!$B$2:$B$5</f>
        <v>A</v>
      </c>
      <c r="I405" t="str">
        <f ca="1">IF($A405="","",IF(COUNTA($K$2:$P$2)=6,"WK "&amp;_xlfn.ISOWEEKNUM($K$2)))</f>
        <v>WK 18</v>
      </c>
      <c r="J405" t="str">
        <f ca="1">IF($A405="","",IF(COUNTA($Y$2:$AD$2)=6,"WK "&amp;_xlfn.ISOWEEKNUM($Y$2)))</f>
        <v>WK 20</v>
      </c>
      <c r="K405" s="20" t="str">
        <f t="shared" ca="1" si="179"/>
        <v>ON</v>
      </c>
      <c r="L405" s="20" t="str">
        <f t="shared" ca="1" si="179"/>
        <v>ON</v>
      </c>
      <c r="M405" s="1" t="str">
        <f t="shared" ca="1" si="180"/>
        <v>OFF</v>
      </c>
      <c r="N405" s="1" t="str">
        <f t="shared" ca="1" si="181"/>
        <v>ON</v>
      </c>
      <c r="O405" s="1" t="str">
        <f t="shared" ca="1" si="182"/>
        <v>ON</v>
      </c>
      <c r="P405" s="1" t="str">
        <f t="shared" ca="1" si="183"/>
        <v>ON</v>
      </c>
      <c r="Q405" s="1"/>
      <c r="R405" s="20" t="str">
        <f t="shared" ca="1" si="184"/>
        <v>ON</v>
      </c>
      <c r="S405" s="20" t="str">
        <f t="shared" ca="1" si="184"/>
        <v>ON</v>
      </c>
      <c r="T405" s="1" t="str">
        <f t="shared" ca="1" si="185"/>
        <v>ON</v>
      </c>
      <c r="U405" s="1" t="str">
        <f t="shared" ca="1" si="186"/>
        <v>ON</v>
      </c>
      <c r="V405" s="1" t="str">
        <f t="shared" ca="1" si="187"/>
        <v>ON</v>
      </c>
      <c r="W405" s="1" t="str">
        <f t="shared" ca="1" si="188"/>
        <v>ON</v>
      </c>
      <c r="X405" s="1"/>
      <c r="Y405" s="20" t="str">
        <f t="shared" ca="1" si="189"/>
        <v>ON</v>
      </c>
      <c r="Z405" s="20" t="str">
        <f t="shared" ca="1" si="189"/>
        <v>ON</v>
      </c>
      <c r="AA405" s="1" t="str">
        <f t="shared" ca="1" si="190"/>
        <v>OFF</v>
      </c>
      <c r="AB405" s="1" t="str">
        <f t="shared" ca="1" si="191"/>
        <v>ON</v>
      </c>
      <c r="AC405" s="1" t="str">
        <f t="shared" ca="1" si="192"/>
        <v>ON</v>
      </c>
      <c r="AD405" s="1" t="str">
        <f t="shared" ca="1" si="193"/>
        <v>ON</v>
      </c>
      <c r="AE405" s="1"/>
      <c r="AF405" s="20" t="str">
        <f t="shared" ca="1" si="194"/>
        <v>ON</v>
      </c>
      <c r="AG405" s="20" t="str">
        <f t="shared" ca="1" si="194"/>
        <v>ON</v>
      </c>
      <c r="AH405" s="1" t="str">
        <f t="shared" ca="1" si="195"/>
        <v>ON</v>
      </c>
      <c r="AI405" s="1" t="str">
        <f t="shared" ca="1" si="196"/>
        <v>ON</v>
      </c>
      <c r="AJ405" s="1" t="str">
        <f t="shared" ca="1" si="197"/>
        <v>ON</v>
      </c>
      <c r="AK405" s="1" t="str">
        <f t="shared" ca="1" si="198"/>
        <v>ON</v>
      </c>
      <c r="AL405" s="1"/>
      <c r="AM405" s="20" t="str">
        <f t="shared" si="199"/>
        <v>ON</v>
      </c>
      <c r="AN405" s="20" t="str">
        <f t="shared" si="199"/>
        <v>ON</v>
      </c>
      <c r="AO405" s="20" t="str">
        <f t="shared" si="200"/>
        <v>ON</v>
      </c>
    </row>
    <row r="406" spans="1:41">
      <c r="A406" t="str">
        <f t="shared" ca="1" si="174"/>
        <v>Oyo</v>
      </c>
      <c r="B406" t="str">
        <f t="shared" ca="1" si="175"/>
        <v>E</v>
      </c>
      <c r="C406" t="str">
        <f t="shared" ca="1" si="176"/>
        <v>C1</v>
      </c>
      <c r="D406" t="s">
        <v>5</v>
      </c>
      <c r="E406">
        <f t="shared" ca="1" si="177"/>
        <v>25</v>
      </c>
      <c r="F406">
        <f t="shared" ca="1" si="178"/>
        <v>2</v>
      </c>
      <c r="G406" t="str">
        <v>B</v>
      </c>
      <c r="H406" t="str">
        <v>B</v>
      </c>
      <c r="I406" t="str">
        <f ca="1">IF($A406="","",IF(COUNTA($R$2:$W$2)=6,"WK "&amp;_xlfn.ISOWEEKNUM($R$2)))</f>
        <v>WK 19</v>
      </c>
      <c r="J406" t="str">
        <f ca="1">IF($A406="","",IF(COUNTA($AF$2:$AK$2)=6,"WK "&amp;_xlfn.ISOWEEKNUM($AF$2)))</f>
        <v>WK 21</v>
      </c>
      <c r="K406" s="20" t="str">
        <f t="shared" ca="1" si="179"/>
        <v>ON</v>
      </c>
      <c r="L406" s="20" t="str">
        <f t="shared" ca="1" si="179"/>
        <v>ON</v>
      </c>
      <c r="M406" s="1" t="str">
        <f t="shared" ca="1" si="180"/>
        <v>ON</v>
      </c>
      <c r="N406" s="1" t="str">
        <f t="shared" ca="1" si="181"/>
        <v>ON</v>
      </c>
      <c r="O406" s="1" t="str">
        <f t="shared" ca="1" si="182"/>
        <v>ON</v>
      </c>
      <c r="P406" s="1" t="str">
        <f t="shared" ca="1" si="183"/>
        <v>ON</v>
      </c>
      <c r="Q406" s="1"/>
      <c r="R406" s="20" t="str">
        <f t="shared" ca="1" si="184"/>
        <v>ON</v>
      </c>
      <c r="S406" s="20" t="str">
        <f t="shared" ca="1" si="184"/>
        <v>ON</v>
      </c>
      <c r="T406" s="1" t="str">
        <f t="shared" ca="1" si="185"/>
        <v>ON</v>
      </c>
      <c r="U406" s="1" t="str">
        <f t="shared" ca="1" si="186"/>
        <v>OFF</v>
      </c>
      <c r="V406" s="1" t="str">
        <f t="shared" ca="1" si="187"/>
        <v>ON</v>
      </c>
      <c r="W406" s="1" t="str">
        <f t="shared" ca="1" si="188"/>
        <v>ON</v>
      </c>
      <c r="X406" s="1"/>
      <c r="Y406" s="20" t="str">
        <f t="shared" ca="1" si="189"/>
        <v>ON</v>
      </c>
      <c r="Z406" s="20" t="str">
        <f t="shared" ca="1" si="189"/>
        <v>ON</v>
      </c>
      <c r="AA406" s="1" t="str">
        <f t="shared" ca="1" si="190"/>
        <v>ON</v>
      </c>
      <c r="AB406" s="1" t="str">
        <f t="shared" ca="1" si="191"/>
        <v>ON</v>
      </c>
      <c r="AC406" s="1" t="str">
        <f t="shared" ca="1" si="192"/>
        <v>ON</v>
      </c>
      <c r="AD406" s="1" t="str">
        <f t="shared" ca="1" si="193"/>
        <v>ON</v>
      </c>
      <c r="AE406" s="1"/>
      <c r="AF406" s="20" t="str">
        <f t="shared" ca="1" si="194"/>
        <v>ON</v>
      </c>
      <c r="AG406" s="20" t="str">
        <f t="shared" ca="1" si="194"/>
        <v>ON</v>
      </c>
      <c r="AH406" s="1" t="str">
        <f t="shared" ca="1" si="195"/>
        <v>ON</v>
      </c>
      <c r="AI406" s="1" t="str">
        <f t="shared" ca="1" si="196"/>
        <v>OFF</v>
      </c>
      <c r="AJ406" s="1" t="str">
        <f t="shared" ca="1" si="197"/>
        <v>ON</v>
      </c>
      <c r="AK406" s="1" t="str">
        <f t="shared" ca="1" si="198"/>
        <v>ON</v>
      </c>
      <c r="AL406" s="1"/>
      <c r="AM406" s="20" t="str">
        <f t="shared" si="199"/>
        <v>ON</v>
      </c>
      <c r="AN406" s="20" t="str">
        <f t="shared" si="199"/>
        <v>ON</v>
      </c>
      <c r="AO406" s="20" t="str">
        <f t="shared" si="200"/>
        <v>ON</v>
      </c>
    </row>
    <row r="407" spans="1:41">
      <c r="A407" t="str">
        <f t="shared" ca="1" si="174"/>
        <v>Ogun</v>
      </c>
      <c r="B407" t="str">
        <f t="shared" ca="1" si="175"/>
        <v>B</v>
      </c>
      <c r="C407" t="str">
        <f t="shared" ca="1" si="176"/>
        <v>E1</v>
      </c>
      <c r="D407" t="s">
        <v>5</v>
      </c>
      <c r="E407">
        <f t="shared" ca="1" si="177"/>
        <v>25</v>
      </c>
      <c r="F407">
        <f t="shared" ca="1" si="178"/>
        <v>2</v>
      </c>
      <c r="G407" t="str">
        <v>C</v>
      </c>
      <c r="H407" t="str">
        <v>C</v>
      </c>
      <c r="I407" t="str">
        <f ca="1">IF($A407="","",IF(COUNTA($K$2:$P$2)=6,"WK "&amp;_xlfn.ISOWEEKNUM($K$2)))</f>
        <v>WK 18</v>
      </c>
      <c r="J407" t="str">
        <f ca="1">IF($A407="","",IF(COUNTA($Y$2:$AD$2)=6,"WK "&amp;_xlfn.ISOWEEKNUM($Y$2)))</f>
        <v>WK 20</v>
      </c>
      <c r="K407" s="20" t="str">
        <f t="shared" ca="1" si="179"/>
        <v>ON</v>
      </c>
      <c r="L407" s="20" t="str">
        <f t="shared" ca="1" si="179"/>
        <v>ON</v>
      </c>
      <c r="M407" s="1" t="str">
        <f t="shared" ca="1" si="180"/>
        <v>ON</v>
      </c>
      <c r="N407" s="1" t="str">
        <f t="shared" ca="1" si="181"/>
        <v>ON</v>
      </c>
      <c r="O407" s="1" t="str">
        <f t="shared" ca="1" si="182"/>
        <v>OFF</v>
      </c>
      <c r="P407" s="1" t="str">
        <f t="shared" ca="1" si="183"/>
        <v>ON</v>
      </c>
      <c r="Q407" s="1"/>
      <c r="R407" s="20" t="str">
        <f t="shared" ca="1" si="184"/>
        <v>ON</v>
      </c>
      <c r="S407" s="20" t="str">
        <f t="shared" ca="1" si="184"/>
        <v>ON</v>
      </c>
      <c r="T407" s="1" t="str">
        <f t="shared" ca="1" si="185"/>
        <v>ON</v>
      </c>
      <c r="U407" s="1" t="str">
        <f t="shared" ca="1" si="186"/>
        <v>ON</v>
      </c>
      <c r="V407" s="1" t="str">
        <f t="shared" ca="1" si="187"/>
        <v>ON</v>
      </c>
      <c r="W407" s="1" t="str">
        <f t="shared" ca="1" si="188"/>
        <v>ON</v>
      </c>
      <c r="X407" s="1"/>
      <c r="Y407" s="20" t="str">
        <f t="shared" ca="1" si="189"/>
        <v>ON</v>
      </c>
      <c r="Z407" s="20" t="str">
        <f t="shared" ca="1" si="189"/>
        <v>ON</v>
      </c>
      <c r="AA407" s="1" t="str">
        <f t="shared" ca="1" si="190"/>
        <v>ON</v>
      </c>
      <c r="AB407" s="1" t="str">
        <f t="shared" ca="1" si="191"/>
        <v>ON</v>
      </c>
      <c r="AC407" s="1" t="str">
        <f t="shared" ca="1" si="192"/>
        <v>OFF</v>
      </c>
      <c r="AD407" s="1" t="str">
        <f t="shared" ca="1" si="193"/>
        <v>ON</v>
      </c>
      <c r="AE407" s="1"/>
      <c r="AF407" s="20" t="str">
        <f t="shared" ca="1" si="194"/>
        <v>ON</v>
      </c>
      <c r="AG407" s="20" t="str">
        <f t="shared" ca="1" si="194"/>
        <v>ON</v>
      </c>
      <c r="AH407" s="1" t="str">
        <f t="shared" ca="1" si="195"/>
        <v>ON</v>
      </c>
      <c r="AI407" s="1" t="str">
        <f t="shared" ca="1" si="196"/>
        <v>ON</v>
      </c>
      <c r="AJ407" s="1" t="str">
        <f t="shared" ca="1" si="197"/>
        <v>ON</v>
      </c>
      <c r="AK407" s="1" t="str">
        <f t="shared" ca="1" si="198"/>
        <v>ON</v>
      </c>
      <c r="AL407" s="1"/>
      <c r="AM407" s="20" t="str">
        <f t="shared" si="199"/>
        <v>ON</v>
      </c>
      <c r="AN407" s="20" t="str">
        <f t="shared" si="199"/>
        <v>ON</v>
      </c>
      <c r="AO407" s="20" t="str">
        <f t="shared" si="200"/>
        <v>ON</v>
      </c>
    </row>
    <row r="408" spans="1:41">
      <c r="A408" t="str">
        <f t="shared" ca="1" si="174"/>
        <v>Ondo</v>
      </c>
      <c r="B408" t="str">
        <f t="shared" ca="1" si="175"/>
        <v>E</v>
      </c>
      <c r="C408" t="str">
        <f t="shared" ca="1" si="176"/>
        <v>A1</v>
      </c>
      <c r="D408" t="s">
        <v>8</v>
      </c>
      <c r="E408">
        <f t="shared" ca="1" si="177"/>
        <v>25</v>
      </c>
      <c r="F408">
        <f t="shared" ca="1" si="178"/>
        <v>2</v>
      </c>
      <c r="G408" t="str">
        <v>D</v>
      </c>
      <c r="H408" t="str">
        <v>D</v>
      </c>
      <c r="I408" t="str">
        <f ca="1">IF($A408="","",IF(COUNTA($R$2:$W$2)=6,"WK "&amp;_xlfn.ISOWEEKNUM($R$2)))</f>
        <v>WK 19</v>
      </c>
      <c r="J408" t="str">
        <f ca="1">IF($A408="","",IF(COUNTA($AF$2:$AK$2)=6,"WK "&amp;_xlfn.ISOWEEKNUM($AF$2)))</f>
        <v>WK 21</v>
      </c>
      <c r="K408" s="20" t="str">
        <f t="shared" ca="1" si="179"/>
        <v>ON</v>
      </c>
      <c r="L408" s="20" t="str">
        <f t="shared" ca="1" si="179"/>
        <v>ON</v>
      </c>
      <c r="M408" s="1" t="str">
        <f t="shared" ca="1" si="180"/>
        <v>ON</v>
      </c>
      <c r="N408" s="1" t="str">
        <f t="shared" ca="1" si="181"/>
        <v>ON</v>
      </c>
      <c r="O408" s="1" t="str">
        <f t="shared" ca="1" si="182"/>
        <v>ON</v>
      </c>
      <c r="P408" s="1" t="str">
        <f t="shared" ca="1" si="183"/>
        <v>ON</v>
      </c>
      <c r="Q408" s="1"/>
      <c r="R408" s="20" t="str">
        <f t="shared" ca="1" si="184"/>
        <v>ON</v>
      </c>
      <c r="S408" s="20" t="str">
        <f t="shared" ca="1" si="184"/>
        <v>ON</v>
      </c>
      <c r="T408" s="1" t="str">
        <f t="shared" ca="1" si="185"/>
        <v>ON</v>
      </c>
      <c r="U408" s="1" t="str">
        <f t="shared" ca="1" si="186"/>
        <v>ON</v>
      </c>
      <c r="V408" s="1" t="str">
        <f t="shared" ca="1" si="187"/>
        <v>ON</v>
      </c>
      <c r="W408" s="1" t="str">
        <f t="shared" ca="1" si="188"/>
        <v>OFF</v>
      </c>
      <c r="X408" s="1"/>
      <c r="Y408" s="20" t="str">
        <f t="shared" ca="1" si="189"/>
        <v>ON</v>
      </c>
      <c r="Z408" s="20" t="str">
        <f t="shared" ca="1" si="189"/>
        <v>ON</v>
      </c>
      <c r="AA408" s="1" t="str">
        <f t="shared" ca="1" si="190"/>
        <v>ON</v>
      </c>
      <c r="AB408" s="1" t="str">
        <f t="shared" ca="1" si="191"/>
        <v>ON</v>
      </c>
      <c r="AC408" s="1" t="str">
        <f t="shared" ca="1" si="192"/>
        <v>ON</v>
      </c>
      <c r="AD408" s="1" t="str">
        <f t="shared" ca="1" si="193"/>
        <v>ON</v>
      </c>
      <c r="AE408" s="1"/>
      <c r="AF408" s="20" t="str">
        <f t="shared" ca="1" si="194"/>
        <v>ON</v>
      </c>
      <c r="AG408" s="20" t="str">
        <f t="shared" ca="1" si="194"/>
        <v>ON</v>
      </c>
      <c r="AH408" s="1" t="str">
        <f t="shared" ca="1" si="195"/>
        <v>ON</v>
      </c>
      <c r="AI408" s="1" t="str">
        <f t="shared" ca="1" si="196"/>
        <v>ON</v>
      </c>
      <c r="AJ408" s="1" t="str">
        <f t="shared" ca="1" si="197"/>
        <v>ON</v>
      </c>
      <c r="AK408" s="1" t="str">
        <f t="shared" ca="1" si="198"/>
        <v>OFF</v>
      </c>
      <c r="AL408" s="1"/>
      <c r="AM408" s="20" t="str">
        <f t="shared" si="199"/>
        <v>ON</v>
      </c>
      <c r="AN408" s="20" t="str">
        <f t="shared" si="199"/>
        <v>ON</v>
      </c>
      <c r="AO408" s="20" t="str">
        <f t="shared" si="200"/>
        <v>ON</v>
      </c>
    </row>
    <row r="409" spans="1:41">
      <c r="A409" t="str">
        <f t="shared" ca="1" si="174"/>
        <v>Oyo</v>
      </c>
      <c r="B409" t="str">
        <f t="shared" ca="1" si="175"/>
        <v>A</v>
      </c>
      <c r="C409" t="str">
        <f t="shared" ca="1" si="176"/>
        <v>D1</v>
      </c>
      <c r="D409" t="s">
        <v>7</v>
      </c>
      <c r="E409">
        <f t="shared" ca="1" si="177"/>
        <v>25</v>
      </c>
      <c r="F409">
        <f t="shared" ca="1" si="178"/>
        <v>2</v>
      </c>
      <c r="G409" t="str" cm="1">
        <f t="array" ref="G409:G412">IF($G$5:$G$8={"A";"B";"C";"D"},{"D";"C";"B";"A"},{"A";"B";"C";"D"})</f>
        <v>D</v>
      </c>
      <c r="H409" t="str" cm="1">
        <f t="array" ref="H409:H412">IF($H$5:$H$8={"A";"B";"C";"D"},{"D";"C";"B";"A"},{"A";"B";"C";"D"})</f>
        <v>D</v>
      </c>
      <c r="I409" t="str">
        <f ca="1">IF($A409="","",IF(COUNTA($K$2:$P$2)=6,"WK "&amp;_xlfn.ISOWEEKNUM($K$2)))</f>
        <v>WK 18</v>
      </c>
      <c r="J409" t="str">
        <f ca="1">IF($A409="","",IF(COUNTA($Y$2:$AD$2)=6,"WK "&amp;_xlfn.ISOWEEKNUM($Y$2)))</f>
        <v>WK 20</v>
      </c>
      <c r="K409" s="20" t="str">
        <f t="shared" ca="1" si="179"/>
        <v>ON</v>
      </c>
      <c r="L409" s="20" t="str">
        <f t="shared" ca="1" si="179"/>
        <v>ON</v>
      </c>
      <c r="M409" s="1" t="str">
        <f t="shared" ca="1" si="180"/>
        <v>ON</v>
      </c>
      <c r="N409" s="1" t="str">
        <f t="shared" ca="1" si="181"/>
        <v>ON</v>
      </c>
      <c r="O409" s="1" t="str">
        <f t="shared" ca="1" si="182"/>
        <v>ON</v>
      </c>
      <c r="P409" s="1" t="str">
        <f t="shared" ca="1" si="183"/>
        <v>OFF</v>
      </c>
      <c r="Q409" s="1"/>
      <c r="R409" s="20" t="str">
        <f t="shared" ca="1" si="184"/>
        <v>ON</v>
      </c>
      <c r="S409" s="20" t="str">
        <f t="shared" ca="1" si="184"/>
        <v>ON</v>
      </c>
      <c r="T409" s="1" t="str">
        <f t="shared" ca="1" si="185"/>
        <v>ON</v>
      </c>
      <c r="U409" s="1" t="str">
        <f t="shared" ca="1" si="186"/>
        <v>ON</v>
      </c>
      <c r="V409" s="1" t="str">
        <f t="shared" ca="1" si="187"/>
        <v>ON</v>
      </c>
      <c r="W409" s="1" t="str">
        <f t="shared" ca="1" si="188"/>
        <v>ON</v>
      </c>
      <c r="X409" s="1"/>
      <c r="Y409" s="20" t="str">
        <f t="shared" ca="1" si="189"/>
        <v>ON</v>
      </c>
      <c r="Z409" s="20" t="str">
        <f t="shared" ca="1" si="189"/>
        <v>ON</v>
      </c>
      <c r="AA409" s="1" t="str">
        <f t="shared" ca="1" si="190"/>
        <v>ON</v>
      </c>
      <c r="AB409" s="1" t="str">
        <f t="shared" ca="1" si="191"/>
        <v>ON</v>
      </c>
      <c r="AC409" s="1" t="str">
        <f t="shared" ca="1" si="192"/>
        <v>ON</v>
      </c>
      <c r="AD409" s="1" t="str">
        <f t="shared" ca="1" si="193"/>
        <v>OFF</v>
      </c>
      <c r="AE409" s="1"/>
      <c r="AF409" s="20" t="str">
        <f t="shared" ca="1" si="194"/>
        <v>ON</v>
      </c>
      <c r="AG409" s="20" t="str">
        <f t="shared" ca="1" si="194"/>
        <v>ON</v>
      </c>
      <c r="AH409" s="1" t="str">
        <f t="shared" ca="1" si="195"/>
        <v>ON</v>
      </c>
      <c r="AI409" s="1" t="str">
        <f t="shared" ca="1" si="196"/>
        <v>ON</v>
      </c>
      <c r="AJ409" s="1" t="str">
        <f t="shared" ca="1" si="197"/>
        <v>ON</v>
      </c>
      <c r="AK409" s="1" t="str">
        <f t="shared" ca="1" si="198"/>
        <v>ON</v>
      </c>
      <c r="AL409" s="1"/>
      <c r="AM409" s="20" t="str">
        <f t="shared" si="199"/>
        <v>ON</v>
      </c>
      <c r="AN409" s="20" t="str">
        <f t="shared" si="199"/>
        <v>ON</v>
      </c>
      <c r="AO409" s="20" t="str">
        <f t="shared" si="200"/>
        <v>ON</v>
      </c>
    </row>
    <row r="410" spans="1:41">
      <c r="A410" t="str">
        <f t="shared" ca="1" si="174"/>
        <v>Ekiti</v>
      </c>
      <c r="B410" t="str">
        <f t="shared" ca="1" si="175"/>
        <v>C</v>
      </c>
      <c r="C410" t="str">
        <f t="shared" ca="1" si="176"/>
        <v>C1</v>
      </c>
      <c r="D410" t="s">
        <v>7</v>
      </c>
      <c r="E410">
        <f t="shared" ca="1" si="177"/>
        <v>25</v>
      </c>
      <c r="F410">
        <f t="shared" ca="1" si="178"/>
        <v>2</v>
      </c>
      <c r="G410" t="str">
        <v>C</v>
      </c>
      <c r="H410" t="str">
        <v>C</v>
      </c>
      <c r="I410" t="str">
        <f ca="1">IF($A410="","",IF(COUNTA($R$2:$W$2)=6,"WK "&amp;_xlfn.ISOWEEKNUM($R$2)))</f>
        <v>WK 19</v>
      </c>
      <c r="J410" t="str">
        <f ca="1">IF($A410="","",IF(COUNTA($AF$2:$AK$2)=6,"WK "&amp;_xlfn.ISOWEEKNUM($AF$2)))</f>
        <v>WK 21</v>
      </c>
      <c r="K410" s="20" t="str">
        <f t="shared" ca="1" si="179"/>
        <v>ON</v>
      </c>
      <c r="L410" s="20" t="str">
        <f t="shared" ca="1" si="179"/>
        <v>ON</v>
      </c>
      <c r="M410" s="1" t="str">
        <f t="shared" ca="1" si="180"/>
        <v>ON</v>
      </c>
      <c r="N410" s="1" t="str">
        <f t="shared" ca="1" si="181"/>
        <v>ON</v>
      </c>
      <c r="O410" s="1" t="str">
        <f t="shared" ca="1" si="182"/>
        <v>ON</v>
      </c>
      <c r="P410" s="1" t="str">
        <f t="shared" ca="1" si="183"/>
        <v>ON</v>
      </c>
      <c r="Q410" s="1"/>
      <c r="R410" s="20" t="str">
        <f t="shared" ca="1" si="184"/>
        <v>ON</v>
      </c>
      <c r="S410" s="20" t="str">
        <f t="shared" ca="1" si="184"/>
        <v>ON</v>
      </c>
      <c r="T410" s="1" t="str">
        <f t="shared" ca="1" si="185"/>
        <v>ON</v>
      </c>
      <c r="U410" s="1" t="str">
        <f t="shared" ca="1" si="186"/>
        <v>ON</v>
      </c>
      <c r="V410" s="1" t="str">
        <f t="shared" ca="1" si="187"/>
        <v>OFF</v>
      </c>
      <c r="W410" s="1" t="str">
        <f t="shared" ca="1" si="188"/>
        <v>ON</v>
      </c>
      <c r="X410" s="1"/>
      <c r="Y410" s="20" t="str">
        <f t="shared" ca="1" si="189"/>
        <v>ON</v>
      </c>
      <c r="Z410" s="20" t="str">
        <f t="shared" ca="1" si="189"/>
        <v>ON</v>
      </c>
      <c r="AA410" s="1" t="str">
        <f t="shared" ca="1" si="190"/>
        <v>ON</v>
      </c>
      <c r="AB410" s="1" t="str">
        <f t="shared" ca="1" si="191"/>
        <v>ON</v>
      </c>
      <c r="AC410" s="1" t="str">
        <f t="shared" ca="1" si="192"/>
        <v>ON</v>
      </c>
      <c r="AD410" s="1" t="str">
        <f t="shared" ca="1" si="193"/>
        <v>ON</v>
      </c>
      <c r="AE410" s="1"/>
      <c r="AF410" s="20" t="str">
        <f t="shared" ca="1" si="194"/>
        <v>ON</v>
      </c>
      <c r="AG410" s="20" t="str">
        <f t="shared" ca="1" si="194"/>
        <v>ON</v>
      </c>
      <c r="AH410" s="1" t="str">
        <f t="shared" ca="1" si="195"/>
        <v>ON</v>
      </c>
      <c r="AI410" s="1" t="str">
        <f t="shared" ca="1" si="196"/>
        <v>ON</v>
      </c>
      <c r="AJ410" s="1" t="str">
        <f t="shared" ca="1" si="197"/>
        <v>OFF</v>
      </c>
      <c r="AK410" s="1" t="str">
        <f t="shared" ca="1" si="198"/>
        <v>ON</v>
      </c>
      <c r="AL410" s="1"/>
      <c r="AM410" s="20" t="str">
        <f t="shared" si="199"/>
        <v>ON</v>
      </c>
      <c r="AN410" s="20" t="str">
        <f t="shared" si="199"/>
        <v>ON</v>
      </c>
      <c r="AO410" s="20" t="str">
        <f t="shared" si="200"/>
        <v>ON</v>
      </c>
    </row>
    <row r="411" spans="1:41">
      <c r="A411" t="str">
        <f t="shared" ca="1" si="174"/>
        <v>Ondo</v>
      </c>
      <c r="B411" t="str">
        <f t="shared" ca="1" si="175"/>
        <v>B</v>
      </c>
      <c r="C411" t="str">
        <f t="shared" ca="1" si="176"/>
        <v>D1</v>
      </c>
      <c r="D411" t="s">
        <v>7</v>
      </c>
      <c r="E411">
        <f t="shared" ca="1" si="177"/>
        <v>25</v>
      </c>
      <c r="F411">
        <f t="shared" ca="1" si="178"/>
        <v>2</v>
      </c>
      <c r="G411" t="str">
        <v>B</v>
      </c>
      <c r="H411" t="str">
        <v>B</v>
      </c>
      <c r="I411" t="str">
        <f ca="1">IF($A411="","",IF(COUNTA($K$2:$P$2)=6,"WK "&amp;_xlfn.ISOWEEKNUM($K$2)))</f>
        <v>WK 18</v>
      </c>
      <c r="J411" t="str">
        <f ca="1">IF($A411="","",IF(COUNTA($Y$2:$AD$2)=6,"WK "&amp;_xlfn.ISOWEEKNUM($Y$2)))</f>
        <v>WK 20</v>
      </c>
      <c r="K411" s="20" t="str">
        <f t="shared" ca="1" si="179"/>
        <v>ON</v>
      </c>
      <c r="L411" s="20" t="str">
        <f t="shared" ca="1" si="179"/>
        <v>ON</v>
      </c>
      <c r="M411" s="1" t="str">
        <f t="shared" ca="1" si="180"/>
        <v>ON</v>
      </c>
      <c r="N411" s="1" t="str">
        <f t="shared" ca="1" si="181"/>
        <v>OFF</v>
      </c>
      <c r="O411" s="1" t="str">
        <f t="shared" ca="1" si="182"/>
        <v>ON</v>
      </c>
      <c r="P411" s="1" t="str">
        <f t="shared" ca="1" si="183"/>
        <v>ON</v>
      </c>
      <c r="Q411" s="1"/>
      <c r="R411" s="20" t="str">
        <f t="shared" ca="1" si="184"/>
        <v>ON</v>
      </c>
      <c r="S411" s="20" t="str">
        <f t="shared" ca="1" si="184"/>
        <v>ON</v>
      </c>
      <c r="T411" s="1" t="str">
        <f t="shared" ca="1" si="185"/>
        <v>ON</v>
      </c>
      <c r="U411" s="1" t="str">
        <f t="shared" ca="1" si="186"/>
        <v>ON</v>
      </c>
      <c r="V411" s="1" t="str">
        <f t="shared" ca="1" si="187"/>
        <v>ON</v>
      </c>
      <c r="W411" s="1" t="str">
        <f t="shared" ca="1" si="188"/>
        <v>ON</v>
      </c>
      <c r="X411" s="1"/>
      <c r="Y411" s="20" t="str">
        <f t="shared" ca="1" si="189"/>
        <v>ON</v>
      </c>
      <c r="Z411" s="20" t="str">
        <f t="shared" ca="1" si="189"/>
        <v>ON</v>
      </c>
      <c r="AA411" s="1" t="str">
        <f t="shared" ca="1" si="190"/>
        <v>ON</v>
      </c>
      <c r="AB411" s="1" t="str">
        <f t="shared" ca="1" si="191"/>
        <v>OFF</v>
      </c>
      <c r="AC411" s="1" t="str">
        <f t="shared" ca="1" si="192"/>
        <v>ON</v>
      </c>
      <c r="AD411" s="1" t="str">
        <f t="shared" ca="1" si="193"/>
        <v>ON</v>
      </c>
      <c r="AE411" s="1"/>
      <c r="AF411" s="20" t="str">
        <f t="shared" ca="1" si="194"/>
        <v>ON</v>
      </c>
      <c r="AG411" s="20" t="str">
        <f t="shared" ca="1" si="194"/>
        <v>ON</v>
      </c>
      <c r="AH411" s="1" t="str">
        <f t="shared" ca="1" si="195"/>
        <v>ON</v>
      </c>
      <c r="AI411" s="1" t="str">
        <f t="shared" ca="1" si="196"/>
        <v>ON</v>
      </c>
      <c r="AJ411" s="1" t="str">
        <f t="shared" ca="1" si="197"/>
        <v>ON</v>
      </c>
      <c r="AK411" s="1" t="str">
        <f t="shared" ca="1" si="198"/>
        <v>ON</v>
      </c>
      <c r="AL411" s="1"/>
      <c r="AM411" s="20" t="str">
        <f t="shared" si="199"/>
        <v>ON</v>
      </c>
      <c r="AN411" s="20" t="str">
        <f t="shared" si="199"/>
        <v>ON</v>
      </c>
      <c r="AO411" s="20" t="str">
        <f t="shared" si="200"/>
        <v>ON</v>
      </c>
    </row>
    <row r="412" spans="1:41">
      <c r="A412" t="str">
        <f t="shared" ca="1" si="174"/>
        <v>Ekiti</v>
      </c>
      <c r="B412" t="str">
        <f t="shared" ca="1" si="175"/>
        <v>A</v>
      </c>
      <c r="C412" t="str">
        <f t="shared" ca="1" si="176"/>
        <v>D1</v>
      </c>
      <c r="D412" t="s">
        <v>7</v>
      </c>
      <c r="E412">
        <f t="shared" ca="1" si="177"/>
        <v>25</v>
      </c>
      <c r="F412">
        <f t="shared" ca="1" si="178"/>
        <v>2</v>
      </c>
      <c r="G412" t="str">
        <v>A</v>
      </c>
      <c r="H412" t="str">
        <v>A</v>
      </c>
      <c r="I412" t="str">
        <f ca="1">IF($A412="","",IF(COUNTA($R$2:$W$2)=6,"WK "&amp;_xlfn.ISOWEEKNUM($R$2)))</f>
        <v>WK 19</v>
      </c>
      <c r="J412" t="str">
        <f ca="1">IF($A412="","",IF(COUNTA($AF$2:$AK$2)=6,"WK "&amp;_xlfn.ISOWEEKNUM($AF$2)))</f>
        <v>WK 21</v>
      </c>
      <c r="K412" s="20" t="str">
        <f t="shared" ca="1" si="179"/>
        <v>ON</v>
      </c>
      <c r="L412" s="20" t="str">
        <f t="shared" ca="1" si="179"/>
        <v>ON</v>
      </c>
      <c r="M412" s="1" t="str">
        <f t="shared" ca="1" si="180"/>
        <v>ON</v>
      </c>
      <c r="N412" s="1" t="str">
        <f t="shared" ca="1" si="181"/>
        <v>ON</v>
      </c>
      <c r="O412" s="1" t="str">
        <f t="shared" ca="1" si="182"/>
        <v>ON</v>
      </c>
      <c r="P412" s="1" t="str">
        <f t="shared" ca="1" si="183"/>
        <v>ON</v>
      </c>
      <c r="Q412" s="1"/>
      <c r="R412" s="20" t="str">
        <f t="shared" ca="1" si="184"/>
        <v>ON</v>
      </c>
      <c r="S412" s="20" t="str">
        <f t="shared" ca="1" si="184"/>
        <v>ON</v>
      </c>
      <c r="T412" s="1" t="str">
        <f t="shared" ca="1" si="185"/>
        <v>OFF</v>
      </c>
      <c r="U412" s="1" t="str">
        <f t="shared" ca="1" si="186"/>
        <v>ON</v>
      </c>
      <c r="V412" s="1" t="str">
        <f t="shared" ca="1" si="187"/>
        <v>ON</v>
      </c>
      <c r="W412" s="1" t="str">
        <f t="shared" ca="1" si="188"/>
        <v>ON</v>
      </c>
      <c r="X412" s="1"/>
      <c r="Y412" s="20" t="str">
        <f t="shared" ca="1" si="189"/>
        <v>ON</v>
      </c>
      <c r="Z412" s="20" t="str">
        <f t="shared" ca="1" si="189"/>
        <v>ON</v>
      </c>
      <c r="AA412" s="1" t="str">
        <f t="shared" ca="1" si="190"/>
        <v>ON</v>
      </c>
      <c r="AB412" s="1" t="str">
        <f t="shared" ca="1" si="191"/>
        <v>ON</v>
      </c>
      <c r="AC412" s="1" t="str">
        <f t="shared" ca="1" si="192"/>
        <v>ON</v>
      </c>
      <c r="AD412" s="1" t="str">
        <f t="shared" ca="1" si="193"/>
        <v>ON</v>
      </c>
      <c r="AE412" s="1"/>
      <c r="AF412" s="20" t="str">
        <f t="shared" ca="1" si="194"/>
        <v>ON</v>
      </c>
      <c r="AG412" s="20" t="str">
        <f t="shared" ca="1" si="194"/>
        <v>ON</v>
      </c>
      <c r="AH412" s="1" t="str">
        <f t="shared" ca="1" si="195"/>
        <v>OFF</v>
      </c>
      <c r="AI412" s="1" t="str">
        <f t="shared" ca="1" si="196"/>
        <v>ON</v>
      </c>
      <c r="AJ412" s="1" t="str">
        <f t="shared" ca="1" si="197"/>
        <v>ON</v>
      </c>
      <c r="AK412" s="1" t="str">
        <f t="shared" ca="1" si="198"/>
        <v>ON</v>
      </c>
      <c r="AL412" s="1"/>
      <c r="AM412" s="20" t="str">
        <f t="shared" si="199"/>
        <v>ON</v>
      </c>
      <c r="AN412" s="20" t="str">
        <f t="shared" si="199"/>
        <v>ON</v>
      </c>
      <c r="AO412" s="20" t="str">
        <f t="shared" si="200"/>
        <v>ON</v>
      </c>
    </row>
    <row r="413" spans="1:41">
      <c r="A413" t="str">
        <f t="shared" ca="1" si="174"/>
        <v>Ondo</v>
      </c>
      <c r="B413" t="str">
        <f t="shared" ca="1" si="175"/>
        <v>D</v>
      </c>
      <c r="C413" t="str">
        <f t="shared" ca="1" si="176"/>
        <v>A1</v>
      </c>
      <c r="D413" t="s">
        <v>7</v>
      </c>
      <c r="E413">
        <f t="shared" ca="1" si="177"/>
        <v>25</v>
      </c>
      <c r="F413">
        <f t="shared" ca="1" si="178"/>
        <v>2</v>
      </c>
      <c r="G413" t="str" cm="1">
        <f t="array" ref="G413:G416">Groups!$B$2:$B$5</f>
        <v>A</v>
      </c>
      <c r="H413" t="str" cm="1">
        <f t="array" ref="H413:H416">Groups!$B$2:$B$5</f>
        <v>A</v>
      </c>
      <c r="I413" t="str">
        <f ca="1">IF($A413="","",IF(COUNTA($K$2:$P$2)=6,"WK "&amp;_xlfn.ISOWEEKNUM($K$2)))</f>
        <v>WK 18</v>
      </c>
      <c r="J413" t="str">
        <f ca="1">IF($A413="","",IF(COUNTA($Y$2:$AD$2)=6,"WK "&amp;_xlfn.ISOWEEKNUM($Y$2)))</f>
        <v>WK 20</v>
      </c>
      <c r="K413" s="20" t="str">
        <f t="shared" ca="1" si="179"/>
        <v>ON</v>
      </c>
      <c r="L413" s="20" t="str">
        <f t="shared" ca="1" si="179"/>
        <v>ON</v>
      </c>
      <c r="M413" s="1" t="str">
        <f t="shared" ca="1" si="180"/>
        <v>OFF</v>
      </c>
      <c r="N413" s="1" t="str">
        <f t="shared" ca="1" si="181"/>
        <v>ON</v>
      </c>
      <c r="O413" s="1" t="str">
        <f t="shared" ca="1" si="182"/>
        <v>ON</v>
      </c>
      <c r="P413" s="1" t="str">
        <f t="shared" ca="1" si="183"/>
        <v>ON</v>
      </c>
      <c r="Q413" s="1"/>
      <c r="R413" s="20" t="str">
        <f t="shared" ca="1" si="184"/>
        <v>ON</v>
      </c>
      <c r="S413" s="20" t="str">
        <f t="shared" ca="1" si="184"/>
        <v>ON</v>
      </c>
      <c r="T413" s="1" t="str">
        <f t="shared" ca="1" si="185"/>
        <v>ON</v>
      </c>
      <c r="U413" s="1" t="str">
        <f t="shared" ca="1" si="186"/>
        <v>ON</v>
      </c>
      <c r="V413" s="1" t="str">
        <f t="shared" ca="1" si="187"/>
        <v>ON</v>
      </c>
      <c r="W413" s="1" t="str">
        <f t="shared" ca="1" si="188"/>
        <v>ON</v>
      </c>
      <c r="X413" s="1"/>
      <c r="Y413" s="20" t="str">
        <f t="shared" ca="1" si="189"/>
        <v>ON</v>
      </c>
      <c r="Z413" s="20" t="str">
        <f t="shared" ca="1" si="189"/>
        <v>ON</v>
      </c>
      <c r="AA413" s="1" t="str">
        <f t="shared" ca="1" si="190"/>
        <v>OFF</v>
      </c>
      <c r="AB413" s="1" t="str">
        <f t="shared" ca="1" si="191"/>
        <v>ON</v>
      </c>
      <c r="AC413" s="1" t="str">
        <f t="shared" ca="1" si="192"/>
        <v>ON</v>
      </c>
      <c r="AD413" s="1" t="str">
        <f t="shared" ca="1" si="193"/>
        <v>ON</v>
      </c>
      <c r="AE413" s="1"/>
      <c r="AF413" s="20" t="str">
        <f t="shared" ca="1" si="194"/>
        <v>ON</v>
      </c>
      <c r="AG413" s="20" t="str">
        <f t="shared" ca="1" si="194"/>
        <v>ON</v>
      </c>
      <c r="AH413" s="1" t="str">
        <f t="shared" ca="1" si="195"/>
        <v>ON</v>
      </c>
      <c r="AI413" s="1" t="str">
        <f t="shared" ca="1" si="196"/>
        <v>ON</v>
      </c>
      <c r="AJ413" s="1" t="str">
        <f t="shared" ca="1" si="197"/>
        <v>ON</v>
      </c>
      <c r="AK413" s="1" t="str">
        <f t="shared" ca="1" si="198"/>
        <v>ON</v>
      </c>
      <c r="AL413" s="1"/>
      <c r="AM413" s="20" t="str">
        <f t="shared" si="199"/>
        <v>ON</v>
      </c>
      <c r="AN413" s="20" t="str">
        <f t="shared" si="199"/>
        <v>ON</v>
      </c>
      <c r="AO413" s="20" t="str">
        <f t="shared" si="200"/>
        <v>ON</v>
      </c>
    </row>
    <row r="414" spans="1:41">
      <c r="A414" t="str">
        <f t="shared" ca="1" si="174"/>
        <v>Ogun</v>
      </c>
      <c r="B414" t="str">
        <f t="shared" ca="1" si="175"/>
        <v>B</v>
      </c>
      <c r="C414" t="str">
        <f t="shared" ca="1" si="176"/>
        <v>C1</v>
      </c>
      <c r="D414" t="s">
        <v>4</v>
      </c>
      <c r="E414">
        <f t="shared" ca="1" si="177"/>
        <v>25</v>
      </c>
      <c r="F414">
        <f t="shared" ca="1" si="178"/>
        <v>2</v>
      </c>
      <c r="G414" t="str">
        <v>B</v>
      </c>
      <c r="H414" t="str">
        <v>B</v>
      </c>
      <c r="I414" t="str">
        <f ca="1">IF($A414="","",IF(COUNTA($R$2:$W$2)=6,"WK "&amp;_xlfn.ISOWEEKNUM($R$2)))</f>
        <v>WK 19</v>
      </c>
      <c r="J414" t="str">
        <f ca="1">IF($A414="","",IF(COUNTA($AF$2:$AK$2)=6,"WK "&amp;_xlfn.ISOWEEKNUM($AF$2)))</f>
        <v>WK 21</v>
      </c>
      <c r="K414" s="20" t="str">
        <f t="shared" ca="1" si="179"/>
        <v>ON</v>
      </c>
      <c r="L414" s="20" t="str">
        <f t="shared" ca="1" si="179"/>
        <v>ON</v>
      </c>
      <c r="M414" s="1" t="str">
        <f t="shared" ca="1" si="180"/>
        <v>ON</v>
      </c>
      <c r="N414" s="1" t="str">
        <f t="shared" ca="1" si="181"/>
        <v>ON</v>
      </c>
      <c r="O414" s="1" t="str">
        <f t="shared" ca="1" si="182"/>
        <v>ON</v>
      </c>
      <c r="P414" s="1" t="str">
        <f t="shared" ca="1" si="183"/>
        <v>ON</v>
      </c>
      <c r="Q414" s="1"/>
      <c r="R414" s="20" t="str">
        <f t="shared" ca="1" si="184"/>
        <v>ON</v>
      </c>
      <c r="S414" s="20" t="str">
        <f t="shared" ca="1" si="184"/>
        <v>ON</v>
      </c>
      <c r="T414" s="1" t="str">
        <f t="shared" ca="1" si="185"/>
        <v>ON</v>
      </c>
      <c r="U414" s="1" t="str">
        <f t="shared" ca="1" si="186"/>
        <v>OFF</v>
      </c>
      <c r="V414" s="1" t="str">
        <f t="shared" ca="1" si="187"/>
        <v>ON</v>
      </c>
      <c r="W414" s="1" t="str">
        <f t="shared" ca="1" si="188"/>
        <v>ON</v>
      </c>
      <c r="X414" s="1"/>
      <c r="Y414" s="20" t="str">
        <f t="shared" ca="1" si="189"/>
        <v>ON</v>
      </c>
      <c r="Z414" s="20" t="str">
        <f t="shared" ca="1" si="189"/>
        <v>ON</v>
      </c>
      <c r="AA414" s="1" t="str">
        <f t="shared" ca="1" si="190"/>
        <v>ON</v>
      </c>
      <c r="AB414" s="1" t="str">
        <f t="shared" ca="1" si="191"/>
        <v>ON</v>
      </c>
      <c r="AC414" s="1" t="str">
        <f t="shared" ca="1" si="192"/>
        <v>ON</v>
      </c>
      <c r="AD414" s="1" t="str">
        <f t="shared" ca="1" si="193"/>
        <v>ON</v>
      </c>
      <c r="AE414" s="1"/>
      <c r="AF414" s="20" t="str">
        <f t="shared" ca="1" si="194"/>
        <v>ON</v>
      </c>
      <c r="AG414" s="20" t="str">
        <f t="shared" ca="1" si="194"/>
        <v>ON</v>
      </c>
      <c r="AH414" s="1" t="str">
        <f t="shared" ca="1" si="195"/>
        <v>ON</v>
      </c>
      <c r="AI414" s="1" t="str">
        <f t="shared" ca="1" si="196"/>
        <v>OFF</v>
      </c>
      <c r="AJ414" s="1" t="str">
        <f t="shared" ca="1" si="197"/>
        <v>ON</v>
      </c>
      <c r="AK414" s="1" t="str">
        <f t="shared" ca="1" si="198"/>
        <v>ON</v>
      </c>
      <c r="AL414" s="1"/>
      <c r="AM414" s="20" t="str">
        <f t="shared" si="199"/>
        <v>ON</v>
      </c>
      <c r="AN414" s="20" t="str">
        <f t="shared" si="199"/>
        <v>ON</v>
      </c>
      <c r="AO414" s="20" t="str">
        <f t="shared" si="200"/>
        <v>ON</v>
      </c>
    </row>
    <row r="415" spans="1:41">
      <c r="A415" t="str">
        <f t="shared" ca="1" si="174"/>
        <v>Oyo</v>
      </c>
      <c r="B415" t="str">
        <f t="shared" ca="1" si="175"/>
        <v>A</v>
      </c>
      <c r="C415" t="str">
        <f t="shared" ca="1" si="176"/>
        <v>C1</v>
      </c>
      <c r="D415" t="s">
        <v>5</v>
      </c>
      <c r="E415">
        <f t="shared" ca="1" si="177"/>
        <v>25</v>
      </c>
      <c r="F415">
        <f t="shared" ca="1" si="178"/>
        <v>2</v>
      </c>
      <c r="G415" t="str">
        <v>C</v>
      </c>
      <c r="H415" t="str">
        <v>C</v>
      </c>
      <c r="I415" t="str">
        <f ca="1">IF($A415="","",IF(COUNTA($K$2:$P$2)=6,"WK "&amp;_xlfn.ISOWEEKNUM($K$2)))</f>
        <v>WK 18</v>
      </c>
      <c r="J415" t="str">
        <f ca="1">IF($A415="","",IF(COUNTA($Y$2:$AD$2)=6,"WK "&amp;_xlfn.ISOWEEKNUM($Y$2)))</f>
        <v>WK 20</v>
      </c>
      <c r="K415" s="20" t="str">
        <f t="shared" ca="1" si="179"/>
        <v>ON</v>
      </c>
      <c r="L415" s="20" t="str">
        <f t="shared" ca="1" si="179"/>
        <v>ON</v>
      </c>
      <c r="M415" s="1" t="str">
        <f t="shared" ca="1" si="180"/>
        <v>ON</v>
      </c>
      <c r="N415" s="1" t="str">
        <f t="shared" ca="1" si="181"/>
        <v>ON</v>
      </c>
      <c r="O415" s="1" t="str">
        <f t="shared" ca="1" si="182"/>
        <v>OFF</v>
      </c>
      <c r="P415" s="1" t="str">
        <f t="shared" ca="1" si="183"/>
        <v>ON</v>
      </c>
      <c r="Q415" s="1"/>
      <c r="R415" s="20" t="str">
        <f t="shared" ca="1" si="184"/>
        <v>ON</v>
      </c>
      <c r="S415" s="20" t="str">
        <f t="shared" ca="1" si="184"/>
        <v>ON</v>
      </c>
      <c r="T415" s="1" t="str">
        <f t="shared" ca="1" si="185"/>
        <v>ON</v>
      </c>
      <c r="U415" s="1" t="str">
        <f t="shared" ca="1" si="186"/>
        <v>ON</v>
      </c>
      <c r="V415" s="1" t="str">
        <f t="shared" ca="1" si="187"/>
        <v>ON</v>
      </c>
      <c r="W415" s="1" t="str">
        <f t="shared" ca="1" si="188"/>
        <v>ON</v>
      </c>
      <c r="X415" s="1"/>
      <c r="Y415" s="20" t="str">
        <f t="shared" ca="1" si="189"/>
        <v>ON</v>
      </c>
      <c r="Z415" s="20" t="str">
        <f t="shared" ca="1" si="189"/>
        <v>ON</v>
      </c>
      <c r="AA415" s="1" t="str">
        <f t="shared" ca="1" si="190"/>
        <v>ON</v>
      </c>
      <c r="AB415" s="1" t="str">
        <f t="shared" ca="1" si="191"/>
        <v>ON</v>
      </c>
      <c r="AC415" s="1" t="str">
        <f t="shared" ca="1" si="192"/>
        <v>OFF</v>
      </c>
      <c r="AD415" s="1" t="str">
        <f t="shared" ca="1" si="193"/>
        <v>ON</v>
      </c>
      <c r="AE415" s="1"/>
      <c r="AF415" s="20" t="str">
        <f t="shared" ca="1" si="194"/>
        <v>ON</v>
      </c>
      <c r="AG415" s="20" t="str">
        <f t="shared" ca="1" si="194"/>
        <v>ON</v>
      </c>
      <c r="AH415" s="1" t="str">
        <f t="shared" ca="1" si="195"/>
        <v>ON</v>
      </c>
      <c r="AI415" s="1" t="str">
        <f t="shared" ca="1" si="196"/>
        <v>ON</v>
      </c>
      <c r="AJ415" s="1" t="str">
        <f t="shared" ca="1" si="197"/>
        <v>ON</v>
      </c>
      <c r="AK415" s="1" t="str">
        <f t="shared" ca="1" si="198"/>
        <v>ON</v>
      </c>
      <c r="AL415" s="1"/>
      <c r="AM415" s="20" t="str">
        <f t="shared" si="199"/>
        <v>ON</v>
      </c>
      <c r="AN415" s="20" t="str">
        <f t="shared" si="199"/>
        <v>ON</v>
      </c>
      <c r="AO415" s="20" t="str">
        <f t="shared" si="200"/>
        <v>ON</v>
      </c>
    </row>
    <row r="416" spans="1:41">
      <c r="A416" t="str">
        <f t="shared" ca="1" si="174"/>
        <v>Ondo</v>
      </c>
      <c r="B416" t="str">
        <f t="shared" ca="1" si="175"/>
        <v>D</v>
      </c>
      <c r="C416" t="str">
        <f t="shared" ca="1" si="176"/>
        <v>A1</v>
      </c>
      <c r="D416" t="s">
        <v>5</v>
      </c>
      <c r="E416">
        <f t="shared" ca="1" si="177"/>
        <v>25</v>
      </c>
      <c r="F416">
        <f t="shared" ca="1" si="178"/>
        <v>2</v>
      </c>
      <c r="G416" t="str">
        <v>D</v>
      </c>
      <c r="H416" t="str">
        <v>D</v>
      </c>
      <c r="I416" t="str">
        <f ca="1">IF($A416="","",IF(COUNTA($R$2:$W$2)=6,"WK "&amp;_xlfn.ISOWEEKNUM($R$2)))</f>
        <v>WK 19</v>
      </c>
      <c r="J416" t="str">
        <f ca="1">IF($A416="","",IF(COUNTA($AF$2:$AK$2)=6,"WK "&amp;_xlfn.ISOWEEKNUM($AF$2)))</f>
        <v>WK 21</v>
      </c>
      <c r="K416" s="20" t="str">
        <f t="shared" ca="1" si="179"/>
        <v>ON</v>
      </c>
      <c r="L416" s="20" t="str">
        <f t="shared" ca="1" si="179"/>
        <v>ON</v>
      </c>
      <c r="M416" s="1" t="str">
        <f t="shared" ca="1" si="180"/>
        <v>ON</v>
      </c>
      <c r="N416" s="1" t="str">
        <f t="shared" ca="1" si="181"/>
        <v>ON</v>
      </c>
      <c r="O416" s="1" t="str">
        <f t="shared" ca="1" si="182"/>
        <v>ON</v>
      </c>
      <c r="P416" s="1" t="str">
        <f t="shared" ca="1" si="183"/>
        <v>ON</v>
      </c>
      <c r="Q416" s="1"/>
      <c r="R416" s="20" t="str">
        <f t="shared" ca="1" si="184"/>
        <v>ON</v>
      </c>
      <c r="S416" s="20" t="str">
        <f t="shared" ca="1" si="184"/>
        <v>ON</v>
      </c>
      <c r="T416" s="1" t="str">
        <f t="shared" ca="1" si="185"/>
        <v>ON</v>
      </c>
      <c r="U416" s="1" t="str">
        <f t="shared" ca="1" si="186"/>
        <v>ON</v>
      </c>
      <c r="V416" s="1" t="str">
        <f t="shared" ca="1" si="187"/>
        <v>ON</v>
      </c>
      <c r="W416" s="1" t="str">
        <f t="shared" ca="1" si="188"/>
        <v>OFF</v>
      </c>
      <c r="X416" s="1"/>
      <c r="Y416" s="20" t="str">
        <f t="shared" ca="1" si="189"/>
        <v>ON</v>
      </c>
      <c r="Z416" s="20" t="str">
        <f t="shared" ca="1" si="189"/>
        <v>ON</v>
      </c>
      <c r="AA416" s="1" t="str">
        <f t="shared" ca="1" si="190"/>
        <v>ON</v>
      </c>
      <c r="AB416" s="1" t="str">
        <f t="shared" ca="1" si="191"/>
        <v>ON</v>
      </c>
      <c r="AC416" s="1" t="str">
        <f t="shared" ca="1" si="192"/>
        <v>ON</v>
      </c>
      <c r="AD416" s="1" t="str">
        <f t="shared" ca="1" si="193"/>
        <v>ON</v>
      </c>
      <c r="AE416" s="1"/>
      <c r="AF416" s="20" t="str">
        <f t="shared" ca="1" si="194"/>
        <v>ON</v>
      </c>
      <c r="AG416" s="20" t="str">
        <f t="shared" ca="1" si="194"/>
        <v>ON</v>
      </c>
      <c r="AH416" s="1" t="str">
        <f t="shared" ca="1" si="195"/>
        <v>ON</v>
      </c>
      <c r="AI416" s="1" t="str">
        <f t="shared" ca="1" si="196"/>
        <v>ON</v>
      </c>
      <c r="AJ416" s="1" t="str">
        <f t="shared" ca="1" si="197"/>
        <v>ON</v>
      </c>
      <c r="AK416" s="1" t="str">
        <f t="shared" ca="1" si="198"/>
        <v>OFF</v>
      </c>
      <c r="AL416" s="1"/>
      <c r="AM416" s="20" t="str">
        <f t="shared" si="199"/>
        <v>ON</v>
      </c>
      <c r="AN416" s="20" t="str">
        <f t="shared" si="199"/>
        <v>ON</v>
      </c>
      <c r="AO416" s="20" t="str">
        <f t="shared" si="200"/>
        <v>ON</v>
      </c>
    </row>
    <row r="417" spans="1:41">
      <c r="A417" t="str">
        <f t="shared" ca="1" si="174"/>
        <v>Lagos</v>
      </c>
      <c r="B417" t="str">
        <f t="shared" ca="1" si="175"/>
        <v>D</v>
      </c>
      <c r="C417" t="str">
        <f t="shared" ca="1" si="176"/>
        <v>C1</v>
      </c>
      <c r="D417" t="s">
        <v>7</v>
      </c>
      <c r="E417">
        <f t="shared" ca="1" si="177"/>
        <v>25</v>
      </c>
      <c r="F417">
        <f t="shared" ca="1" si="178"/>
        <v>2</v>
      </c>
      <c r="G417" t="str" cm="1">
        <f t="array" ref="G417:G420">IF($G$5:$G$8={"A";"B";"C";"D"},{"D";"C";"B";"A"},{"A";"B";"C";"D"})</f>
        <v>D</v>
      </c>
      <c r="H417" t="str" cm="1">
        <f t="array" ref="H417:H420">IF($H$5:$H$8={"A";"B";"C";"D"},{"D";"C";"B";"A"},{"A";"B";"C";"D"})</f>
        <v>D</v>
      </c>
      <c r="I417" t="str">
        <f ca="1">IF($A417="","",IF(COUNTA($K$2:$P$2)=6,"WK "&amp;_xlfn.ISOWEEKNUM($K$2)))</f>
        <v>WK 18</v>
      </c>
      <c r="J417" t="str">
        <f ca="1">IF($A417="","",IF(COUNTA($Y$2:$AD$2)=6,"WK "&amp;_xlfn.ISOWEEKNUM($Y$2)))</f>
        <v>WK 20</v>
      </c>
      <c r="K417" s="20" t="str">
        <f t="shared" ca="1" si="179"/>
        <v>ON</v>
      </c>
      <c r="L417" s="20" t="str">
        <f t="shared" ca="1" si="179"/>
        <v>ON</v>
      </c>
      <c r="M417" s="1" t="str">
        <f t="shared" ca="1" si="180"/>
        <v>ON</v>
      </c>
      <c r="N417" s="1" t="str">
        <f t="shared" ca="1" si="181"/>
        <v>ON</v>
      </c>
      <c r="O417" s="1" t="str">
        <f t="shared" ca="1" si="182"/>
        <v>ON</v>
      </c>
      <c r="P417" s="1" t="str">
        <f t="shared" ca="1" si="183"/>
        <v>OFF</v>
      </c>
      <c r="Q417" s="1"/>
      <c r="R417" s="20" t="str">
        <f t="shared" ca="1" si="184"/>
        <v>ON</v>
      </c>
      <c r="S417" s="20" t="str">
        <f t="shared" ca="1" si="184"/>
        <v>ON</v>
      </c>
      <c r="T417" s="1" t="str">
        <f t="shared" ca="1" si="185"/>
        <v>ON</v>
      </c>
      <c r="U417" s="1" t="str">
        <f t="shared" ca="1" si="186"/>
        <v>ON</v>
      </c>
      <c r="V417" s="1" t="str">
        <f t="shared" ca="1" si="187"/>
        <v>ON</v>
      </c>
      <c r="W417" s="1" t="str">
        <f t="shared" ca="1" si="188"/>
        <v>ON</v>
      </c>
      <c r="X417" s="1"/>
      <c r="Y417" s="20" t="str">
        <f t="shared" ca="1" si="189"/>
        <v>ON</v>
      </c>
      <c r="Z417" s="20" t="str">
        <f t="shared" ca="1" si="189"/>
        <v>ON</v>
      </c>
      <c r="AA417" s="1" t="str">
        <f t="shared" ca="1" si="190"/>
        <v>ON</v>
      </c>
      <c r="AB417" s="1" t="str">
        <f t="shared" ca="1" si="191"/>
        <v>ON</v>
      </c>
      <c r="AC417" s="1" t="str">
        <f t="shared" ca="1" si="192"/>
        <v>ON</v>
      </c>
      <c r="AD417" s="1" t="str">
        <f t="shared" ca="1" si="193"/>
        <v>OFF</v>
      </c>
      <c r="AE417" s="1"/>
      <c r="AF417" s="20" t="str">
        <f t="shared" ca="1" si="194"/>
        <v>ON</v>
      </c>
      <c r="AG417" s="20" t="str">
        <f t="shared" ca="1" si="194"/>
        <v>ON</v>
      </c>
      <c r="AH417" s="1" t="str">
        <f t="shared" ca="1" si="195"/>
        <v>ON</v>
      </c>
      <c r="AI417" s="1" t="str">
        <f t="shared" ca="1" si="196"/>
        <v>ON</v>
      </c>
      <c r="AJ417" s="1" t="str">
        <f t="shared" ca="1" si="197"/>
        <v>ON</v>
      </c>
      <c r="AK417" s="1" t="str">
        <f t="shared" ca="1" si="198"/>
        <v>ON</v>
      </c>
      <c r="AL417" s="1"/>
      <c r="AM417" s="20" t="str">
        <f t="shared" si="199"/>
        <v>ON</v>
      </c>
      <c r="AN417" s="20" t="str">
        <f t="shared" si="199"/>
        <v>ON</v>
      </c>
      <c r="AO417" s="20" t="str">
        <f t="shared" si="200"/>
        <v>ON</v>
      </c>
    </row>
    <row r="418" spans="1:41">
      <c r="A418" t="str">
        <f t="shared" ca="1" si="174"/>
        <v>Lagos</v>
      </c>
      <c r="B418" t="str">
        <f t="shared" ca="1" si="175"/>
        <v>E</v>
      </c>
      <c r="C418" t="str">
        <f t="shared" ca="1" si="176"/>
        <v>A1</v>
      </c>
      <c r="D418" t="s">
        <v>7</v>
      </c>
      <c r="E418">
        <f t="shared" ca="1" si="177"/>
        <v>25</v>
      </c>
      <c r="F418">
        <f t="shared" ca="1" si="178"/>
        <v>2</v>
      </c>
      <c r="G418" t="str">
        <v>C</v>
      </c>
      <c r="H418" t="str">
        <v>C</v>
      </c>
      <c r="I418" t="str">
        <f ca="1">IF($A418="","",IF(COUNTA($R$2:$W$2)=6,"WK "&amp;_xlfn.ISOWEEKNUM($R$2)))</f>
        <v>WK 19</v>
      </c>
      <c r="J418" t="str">
        <f ca="1">IF($A418="","",IF(COUNTA($AF$2:$AK$2)=6,"WK "&amp;_xlfn.ISOWEEKNUM($AF$2)))</f>
        <v>WK 21</v>
      </c>
      <c r="K418" s="20" t="str">
        <f t="shared" ca="1" si="179"/>
        <v>ON</v>
      </c>
      <c r="L418" s="20" t="str">
        <f t="shared" ca="1" si="179"/>
        <v>ON</v>
      </c>
      <c r="M418" s="1" t="str">
        <f t="shared" ca="1" si="180"/>
        <v>ON</v>
      </c>
      <c r="N418" s="1" t="str">
        <f t="shared" ca="1" si="181"/>
        <v>ON</v>
      </c>
      <c r="O418" s="1" t="str">
        <f t="shared" ca="1" si="182"/>
        <v>ON</v>
      </c>
      <c r="P418" s="1" t="str">
        <f t="shared" ca="1" si="183"/>
        <v>ON</v>
      </c>
      <c r="Q418" s="1"/>
      <c r="R418" s="20" t="str">
        <f t="shared" ca="1" si="184"/>
        <v>ON</v>
      </c>
      <c r="S418" s="20" t="str">
        <f t="shared" ca="1" si="184"/>
        <v>ON</v>
      </c>
      <c r="T418" s="1" t="str">
        <f t="shared" ca="1" si="185"/>
        <v>ON</v>
      </c>
      <c r="U418" s="1" t="str">
        <f t="shared" ca="1" si="186"/>
        <v>ON</v>
      </c>
      <c r="V418" s="1" t="str">
        <f t="shared" ca="1" si="187"/>
        <v>OFF</v>
      </c>
      <c r="W418" s="1" t="str">
        <f t="shared" ca="1" si="188"/>
        <v>ON</v>
      </c>
      <c r="X418" s="1"/>
      <c r="Y418" s="20" t="str">
        <f t="shared" ca="1" si="189"/>
        <v>ON</v>
      </c>
      <c r="Z418" s="20" t="str">
        <f t="shared" ca="1" si="189"/>
        <v>ON</v>
      </c>
      <c r="AA418" s="1" t="str">
        <f t="shared" ca="1" si="190"/>
        <v>ON</v>
      </c>
      <c r="AB418" s="1" t="str">
        <f t="shared" ca="1" si="191"/>
        <v>ON</v>
      </c>
      <c r="AC418" s="1" t="str">
        <f t="shared" ca="1" si="192"/>
        <v>ON</v>
      </c>
      <c r="AD418" s="1" t="str">
        <f t="shared" ca="1" si="193"/>
        <v>ON</v>
      </c>
      <c r="AE418" s="1"/>
      <c r="AF418" s="20" t="str">
        <f t="shared" ca="1" si="194"/>
        <v>ON</v>
      </c>
      <c r="AG418" s="20" t="str">
        <f t="shared" ca="1" si="194"/>
        <v>ON</v>
      </c>
      <c r="AH418" s="1" t="str">
        <f t="shared" ca="1" si="195"/>
        <v>ON</v>
      </c>
      <c r="AI418" s="1" t="str">
        <f t="shared" ca="1" si="196"/>
        <v>ON</v>
      </c>
      <c r="AJ418" s="1" t="str">
        <f t="shared" ca="1" si="197"/>
        <v>OFF</v>
      </c>
      <c r="AK418" s="1" t="str">
        <f t="shared" ca="1" si="198"/>
        <v>ON</v>
      </c>
      <c r="AL418" s="1"/>
      <c r="AM418" s="20" t="str">
        <f t="shared" si="199"/>
        <v>ON</v>
      </c>
      <c r="AN418" s="20" t="str">
        <f t="shared" si="199"/>
        <v>ON</v>
      </c>
      <c r="AO418" s="20" t="str">
        <f t="shared" si="200"/>
        <v>ON</v>
      </c>
    </row>
    <row r="419" spans="1:41">
      <c r="A419" t="str">
        <f t="shared" ca="1" si="174"/>
        <v>Ogun</v>
      </c>
      <c r="B419" t="str">
        <f t="shared" ca="1" si="175"/>
        <v>D</v>
      </c>
      <c r="C419" t="str">
        <f t="shared" ca="1" si="176"/>
        <v>C1</v>
      </c>
      <c r="D419" t="s">
        <v>4</v>
      </c>
      <c r="E419">
        <f t="shared" ca="1" si="177"/>
        <v>25</v>
      </c>
      <c r="F419">
        <f t="shared" ca="1" si="178"/>
        <v>2</v>
      </c>
      <c r="G419" t="str">
        <v>B</v>
      </c>
      <c r="H419" t="str">
        <v>B</v>
      </c>
      <c r="I419" t="str">
        <f ca="1">IF($A419="","",IF(COUNTA($K$2:$P$2)=6,"WK "&amp;_xlfn.ISOWEEKNUM($K$2)))</f>
        <v>WK 18</v>
      </c>
      <c r="J419" t="str">
        <f ca="1">IF($A419="","",IF(COUNTA($Y$2:$AD$2)=6,"WK "&amp;_xlfn.ISOWEEKNUM($Y$2)))</f>
        <v>WK 20</v>
      </c>
      <c r="K419" s="20" t="str">
        <f t="shared" ca="1" si="179"/>
        <v>ON</v>
      </c>
      <c r="L419" s="20" t="str">
        <f t="shared" ca="1" si="179"/>
        <v>ON</v>
      </c>
      <c r="M419" s="1" t="str">
        <f t="shared" ca="1" si="180"/>
        <v>ON</v>
      </c>
      <c r="N419" s="1" t="str">
        <f t="shared" ca="1" si="181"/>
        <v>OFF</v>
      </c>
      <c r="O419" s="1" t="str">
        <f t="shared" ca="1" si="182"/>
        <v>ON</v>
      </c>
      <c r="P419" s="1" t="str">
        <f t="shared" ca="1" si="183"/>
        <v>ON</v>
      </c>
      <c r="Q419" s="1"/>
      <c r="R419" s="20" t="str">
        <f t="shared" ca="1" si="184"/>
        <v>ON</v>
      </c>
      <c r="S419" s="20" t="str">
        <f t="shared" ca="1" si="184"/>
        <v>ON</v>
      </c>
      <c r="T419" s="1" t="str">
        <f t="shared" ca="1" si="185"/>
        <v>ON</v>
      </c>
      <c r="U419" s="1" t="str">
        <f t="shared" ca="1" si="186"/>
        <v>ON</v>
      </c>
      <c r="V419" s="1" t="str">
        <f t="shared" ca="1" si="187"/>
        <v>ON</v>
      </c>
      <c r="W419" s="1" t="str">
        <f t="shared" ca="1" si="188"/>
        <v>ON</v>
      </c>
      <c r="X419" s="1"/>
      <c r="Y419" s="20" t="str">
        <f t="shared" ca="1" si="189"/>
        <v>ON</v>
      </c>
      <c r="Z419" s="20" t="str">
        <f t="shared" ca="1" si="189"/>
        <v>ON</v>
      </c>
      <c r="AA419" s="1" t="str">
        <f t="shared" ca="1" si="190"/>
        <v>ON</v>
      </c>
      <c r="AB419" s="1" t="str">
        <f t="shared" ca="1" si="191"/>
        <v>OFF</v>
      </c>
      <c r="AC419" s="1" t="str">
        <f t="shared" ca="1" si="192"/>
        <v>ON</v>
      </c>
      <c r="AD419" s="1" t="str">
        <f t="shared" ca="1" si="193"/>
        <v>ON</v>
      </c>
      <c r="AE419" s="1"/>
      <c r="AF419" s="20" t="str">
        <f t="shared" ca="1" si="194"/>
        <v>ON</v>
      </c>
      <c r="AG419" s="20" t="str">
        <f t="shared" ca="1" si="194"/>
        <v>ON</v>
      </c>
      <c r="AH419" s="1" t="str">
        <f t="shared" ca="1" si="195"/>
        <v>ON</v>
      </c>
      <c r="AI419" s="1" t="str">
        <f t="shared" ca="1" si="196"/>
        <v>ON</v>
      </c>
      <c r="AJ419" s="1" t="str">
        <f t="shared" ca="1" si="197"/>
        <v>ON</v>
      </c>
      <c r="AK419" s="1" t="str">
        <f t="shared" ca="1" si="198"/>
        <v>ON</v>
      </c>
      <c r="AL419" s="1"/>
      <c r="AM419" s="20" t="str">
        <f t="shared" si="199"/>
        <v>ON</v>
      </c>
      <c r="AN419" s="20" t="str">
        <f t="shared" si="199"/>
        <v>ON</v>
      </c>
      <c r="AO419" s="20" t="str">
        <f t="shared" si="200"/>
        <v>ON</v>
      </c>
    </row>
    <row r="420" spans="1:41">
      <c r="A420" t="str">
        <f t="shared" ca="1" si="174"/>
        <v>Ogun</v>
      </c>
      <c r="B420" t="str">
        <f t="shared" ca="1" si="175"/>
        <v>B</v>
      </c>
      <c r="C420" t="str">
        <f t="shared" ca="1" si="176"/>
        <v>E1</v>
      </c>
      <c r="D420" t="s">
        <v>4</v>
      </c>
      <c r="E420">
        <f t="shared" ca="1" si="177"/>
        <v>25</v>
      </c>
      <c r="F420">
        <f t="shared" ca="1" si="178"/>
        <v>2</v>
      </c>
      <c r="G420" t="str">
        <v>A</v>
      </c>
      <c r="H420" t="str">
        <v>A</v>
      </c>
      <c r="I420" t="str">
        <f ca="1">IF($A420="","",IF(COUNTA($R$2:$W$2)=6,"WK "&amp;_xlfn.ISOWEEKNUM($R$2)))</f>
        <v>WK 19</v>
      </c>
      <c r="J420" t="str">
        <f ca="1">IF($A420="","",IF(COUNTA($AF$2:$AK$2)=6,"WK "&amp;_xlfn.ISOWEEKNUM($AF$2)))</f>
        <v>WK 21</v>
      </c>
      <c r="K420" s="20" t="str">
        <f t="shared" ca="1" si="179"/>
        <v>ON</v>
      </c>
      <c r="L420" s="20" t="str">
        <f t="shared" ca="1" si="179"/>
        <v>ON</v>
      </c>
      <c r="M420" s="1" t="str">
        <f t="shared" ca="1" si="180"/>
        <v>ON</v>
      </c>
      <c r="N420" s="1" t="str">
        <f t="shared" ca="1" si="181"/>
        <v>ON</v>
      </c>
      <c r="O420" s="1" t="str">
        <f t="shared" ca="1" si="182"/>
        <v>ON</v>
      </c>
      <c r="P420" s="1" t="str">
        <f t="shared" ca="1" si="183"/>
        <v>ON</v>
      </c>
      <c r="Q420" s="1"/>
      <c r="R420" s="20" t="str">
        <f t="shared" ca="1" si="184"/>
        <v>ON</v>
      </c>
      <c r="S420" s="20" t="str">
        <f t="shared" ca="1" si="184"/>
        <v>ON</v>
      </c>
      <c r="T420" s="1" t="str">
        <f t="shared" ca="1" si="185"/>
        <v>OFF</v>
      </c>
      <c r="U420" s="1" t="str">
        <f t="shared" ca="1" si="186"/>
        <v>ON</v>
      </c>
      <c r="V420" s="1" t="str">
        <f t="shared" ca="1" si="187"/>
        <v>ON</v>
      </c>
      <c r="W420" s="1" t="str">
        <f t="shared" ca="1" si="188"/>
        <v>ON</v>
      </c>
      <c r="X420" s="1"/>
      <c r="Y420" s="20" t="str">
        <f t="shared" ca="1" si="189"/>
        <v>ON</v>
      </c>
      <c r="Z420" s="20" t="str">
        <f t="shared" ca="1" si="189"/>
        <v>ON</v>
      </c>
      <c r="AA420" s="1" t="str">
        <f t="shared" ca="1" si="190"/>
        <v>ON</v>
      </c>
      <c r="AB420" s="1" t="str">
        <f t="shared" ca="1" si="191"/>
        <v>ON</v>
      </c>
      <c r="AC420" s="1" t="str">
        <f t="shared" ca="1" si="192"/>
        <v>ON</v>
      </c>
      <c r="AD420" s="1" t="str">
        <f t="shared" ca="1" si="193"/>
        <v>ON</v>
      </c>
      <c r="AE420" s="1"/>
      <c r="AF420" s="20" t="str">
        <f t="shared" ca="1" si="194"/>
        <v>ON</v>
      </c>
      <c r="AG420" s="20" t="str">
        <f t="shared" ca="1" si="194"/>
        <v>ON</v>
      </c>
      <c r="AH420" s="1" t="str">
        <f t="shared" ca="1" si="195"/>
        <v>OFF</v>
      </c>
      <c r="AI420" s="1" t="str">
        <f t="shared" ca="1" si="196"/>
        <v>ON</v>
      </c>
      <c r="AJ420" s="1" t="str">
        <f t="shared" ca="1" si="197"/>
        <v>ON</v>
      </c>
      <c r="AK420" s="1" t="str">
        <f t="shared" ca="1" si="198"/>
        <v>ON</v>
      </c>
      <c r="AL420" s="1"/>
      <c r="AM420" s="20" t="str">
        <f t="shared" si="199"/>
        <v>ON</v>
      </c>
      <c r="AN420" s="20" t="str">
        <f t="shared" si="199"/>
        <v>ON</v>
      </c>
      <c r="AO420" s="20" t="str">
        <f t="shared" si="200"/>
        <v>ON</v>
      </c>
    </row>
    <row r="421" spans="1:41">
      <c r="A421" t="str">
        <f t="shared" ca="1" si="174"/>
        <v>Oyo</v>
      </c>
      <c r="B421" t="str">
        <f t="shared" ca="1" si="175"/>
        <v>A</v>
      </c>
      <c r="C421" t="str">
        <f t="shared" ca="1" si="176"/>
        <v>D1</v>
      </c>
      <c r="D421" t="s">
        <v>4</v>
      </c>
      <c r="E421">
        <f t="shared" ca="1" si="177"/>
        <v>25</v>
      </c>
      <c r="F421">
        <f t="shared" ca="1" si="178"/>
        <v>2</v>
      </c>
      <c r="G421" t="str" cm="1">
        <f t="array" ref="G421:G424">Groups!$B$2:$B$5</f>
        <v>A</v>
      </c>
      <c r="H421" t="str" cm="1">
        <f t="array" ref="H421:H424">Groups!$B$2:$B$5</f>
        <v>A</v>
      </c>
      <c r="I421" t="str">
        <f ca="1">IF($A421="","",IF(COUNTA($K$2:$P$2)=6,"WK "&amp;_xlfn.ISOWEEKNUM($K$2)))</f>
        <v>WK 18</v>
      </c>
      <c r="J421" t="str">
        <f ca="1">IF($A421="","",IF(COUNTA($Y$2:$AD$2)=6,"WK "&amp;_xlfn.ISOWEEKNUM($Y$2)))</f>
        <v>WK 20</v>
      </c>
      <c r="K421" s="20" t="str">
        <f t="shared" ca="1" si="179"/>
        <v>ON</v>
      </c>
      <c r="L421" s="20" t="str">
        <f t="shared" ca="1" si="179"/>
        <v>ON</v>
      </c>
      <c r="M421" s="1" t="str">
        <f t="shared" ca="1" si="180"/>
        <v>OFF</v>
      </c>
      <c r="N421" s="1" t="str">
        <f t="shared" ca="1" si="181"/>
        <v>ON</v>
      </c>
      <c r="O421" s="1" t="str">
        <f t="shared" ca="1" si="182"/>
        <v>ON</v>
      </c>
      <c r="P421" s="1" t="str">
        <f t="shared" ca="1" si="183"/>
        <v>ON</v>
      </c>
      <c r="Q421" s="1"/>
      <c r="R421" s="20" t="str">
        <f t="shared" ca="1" si="184"/>
        <v>ON</v>
      </c>
      <c r="S421" s="20" t="str">
        <f t="shared" ca="1" si="184"/>
        <v>ON</v>
      </c>
      <c r="T421" s="1" t="str">
        <f t="shared" ca="1" si="185"/>
        <v>ON</v>
      </c>
      <c r="U421" s="1" t="str">
        <f t="shared" ca="1" si="186"/>
        <v>ON</v>
      </c>
      <c r="V421" s="1" t="str">
        <f t="shared" ca="1" si="187"/>
        <v>ON</v>
      </c>
      <c r="W421" s="1" t="str">
        <f t="shared" ca="1" si="188"/>
        <v>ON</v>
      </c>
      <c r="X421" s="1"/>
      <c r="Y421" s="20" t="str">
        <f t="shared" ca="1" si="189"/>
        <v>ON</v>
      </c>
      <c r="Z421" s="20" t="str">
        <f t="shared" ca="1" si="189"/>
        <v>ON</v>
      </c>
      <c r="AA421" s="1" t="str">
        <f t="shared" ca="1" si="190"/>
        <v>OFF</v>
      </c>
      <c r="AB421" s="1" t="str">
        <f t="shared" ca="1" si="191"/>
        <v>ON</v>
      </c>
      <c r="AC421" s="1" t="str">
        <f t="shared" ca="1" si="192"/>
        <v>ON</v>
      </c>
      <c r="AD421" s="1" t="str">
        <f t="shared" ca="1" si="193"/>
        <v>ON</v>
      </c>
      <c r="AE421" s="1"/>
      <c r="AF421" s="20" t="str">
        <f t="shared" ca="1" si="194"/>
        <v>ON</v>
      </c>
      <c r="AG421" s="20" t="str">
        <f t="shared" ca="1" si="194"/>
        <v>ON</v>
      </c>
      <c r="AH421" s="1" t="str">
        <f t="shared" ca="1" si="195"/>
        <v>ON</v>
      </c>
      <c r="AI421" s="1" t="str">
        <f t="shared" ca="1" si="196"/>
        <v>ON</v>
      </c>
      <c r="AJ421" s="1" t="str">
        <f t="shared" ca="1" si="197"/>
        <v>ON</v>
      </c>
      <c r="AK421" s="1" t="str">
        <f t="shared" ca="1" si="198"/>
        <v>ON</v>
      </c>
      <c r="AL421" s="1"/>
      <c r="AM421" s="20" t="str">
        <f t="shared" si="199"/>
        <v>ON</v>
      </c>
      <c r="AN421" s="20" t="str">
        <f t="shared" si="199"/>
        <v>ON</v>
      </c>
      <c r="AO421" s="20" t="str">
        <f t="shared" si="200"/>
        <v>ON</v>
      </c>
    </row>
    <row r="422" spans="1:41">
      <c r="A422" t="str">
        <f t="shared" ca="1" si="174"/>
        <v>Ogun</v>
      </c>
      <c r="B422" t="str">
        <f t="shared" ca="1" si="175"/>
        <v>A</v>
      </c>
      <c r="C422" t="str">
        <f t="shared" ca="1" si="176"/>
        <v>B1</v>
      </c>
      <c r="D422" t="s">
        <v>4</v>
      </c>
      <c r="E422">
        <f t="shared" ca="1" si="177"/>
        <v>25</v>
      </c>
      <c r="F422">
        <f t="shared" ca="1" si="178"/>
        <v>2</v>
      </c>
      <c r="G422" t="str">
        <v>B</v>
      </c>
      <c r="H422" t="str">
        <v>B</v>
      </c>
      <c r="I422" t="str">
        <f ca="1">IF($A422="","",IF(COUNTA($R$2:$W$2)=6,"WK "&amp;_xlfn.ISOWEEKNUM($R$2)))</f>
        <v>WK 19</v>
      </c>
      <c r="J422" t="str">
        <f ca="1">IF($A422="","",IF(COUNTA($AF$2:$AK$2)=6,"WK "&amp;_xlfn.ISOWEEKNUM($AF$2)))</f>
        <v>WK 21</v>
      </c>
      <c r="K422" s="20" t="str">
        <f t="shared" ref="K422:L450" ca="1" si="201">IF($A422="","",IF(COUNTA($K$2:$AO$2)-4,IF(OR(K$4="Mon",K$4="Tue"),$E$1,$D$1)))</f>
        <v>ON</v>
      </c>
      <c r="L422" s="20" t="str">
        <f t="shared" ca="1" si="201"/>
        <v>ON</v>
      </c>
      <c r="M422" s="1" t="str">
        <f t="shared" ca="1" si="180"/>
        <v>ON</v>
      </c>
      <c r="N422" s="1" t="str">
        <f t="shared" ca="1" si="181"/>
        <v>ON</v>
      </c>
      <c r="O422" s="1" t="str">
        <f t="shared" ca="1" si="182"/>
        <v>ON</v>
      </c>
      <c r="P422" s="1" t="str">
        <f t="shared" ca="1" si="183"/>
        <v>ON</v>
      </c>
      <c r="Q422" s="1"/>
      <c r="R422" s="20" t="str">
        <f t="shared" ref="R422:S450" ca="1" si="202">IF($A422="","",IF(COUNTA($K$2:$AO$2)-4,IF(OR(R$4="Mon",R$4="Tue"),$E$1,$D$1)))</f>
        <v>ON</v>
      </c>
      <c r="S422" s="20" t="str">
        <f t="shared" ca="1" si="202"/>
        <v>ON</v>
      </c>
      <c r="T422" s="1" t="str">
        <f t="shared" ca="1" si="185"/>
        <v>ON</v>
      </c>
      <c r="U422" s="1" t="str">
        <f t="shared" ca="1" si="186"/>
        <v>OFF</v>
      </c>
      <c r="V422" s="1" t="str">
        <f t="shared" ca="1" si="187"/>
        <v>ON</v>
      </c>
      <c r="W422" s="1" t="str">
        <f t="shared" ca="1" si="188"/>
        <v>ON</v>
      </c>
      <c r="X422" s="1"/>
      <c r="Y422" s="20" t="str">
        <f t="shared" ref="Y422:Z450" ca="1" si="203">IF($A422="","",IF(COUNTA($K$2:$AO$2)-4,IF(OR(Y$4="Mon",Y$4="Tue"),$E$1,$D$1)))</f>
        <v>ON</v>
      </c>
      <c r="Z422" s="20" t="str">
        <f t="shared" ca="1" si="203"/>
        <v>ON</v>
      </c>
      <c r="AA422" s="1" t="str">
        <f t="shared" ca="1" si="190"/>
        <v>ON</v>
      </c>
      <c r="AB422" s="1" t="str">
        <f t="shared" ca="1" si="191"/>
        <v>ON</v>
      </c>
      <c r="AC422" s="1" t="str">
        <f t="shared" ca="1" si="192"/>
        <v>ON</v>
      </c>
      <c r="AD422" s="1" t="str">
        <f t="shared" ca="1" si="193"/>
        <v>ON</v>
      </c>
      <c r="AE422" s="1"/>
      <c r="AF422" s="20" t="str">
        <f t="shared" ref="AF422:AG450" ca="1" si="204">IF($A422="","",IF(COUNTA($K$2:$AO$2)-4,IF(OR(AF$4="Mon",AF$4="Tue"),$E$1,$D$1)))</f>
        <v>ON</v>
      </c>
      <c r="AG422" s="20" t="str">
        <f t="shared" ca="1" si="204"/>
        <v>ON</v>
      </c>
      <c r="AH422" s="1" t="str">
        <f t="shared" ca="1" si="195"/>
        <v>ON</v>
      </c>
      <c r="AI422" s="1" t="str">
        <f t="shared" ca="1" si="196"/>
        <v>OFF</v>
      </c>
      <c r="AJ422" s="1" t="str">
        <f t="shared" ca="1" si="197"/>
        <v>ON</v>
      </c>
      <c r="AK422" s="1" t="str">
        <f t="shared" ca="1" si="198"/>
        <v>ON</v>
      </c>
      <c r="AL422" s="1"/>
      <c r="AM422" s="20" t="str">
        <f t="shared" ref="AM422:AN450" si="205">IF(COUNTA($K$2:$AO$2)-4,IF(OR(AM$4="Mon",AM$4="Tue"),$E$1,$D$1))</f>
        <v>ON</v>
      </c>
      <c r="AN422" s="20" t="str">
        <f t="shared" si="205"/>
        <v>ON</v>
      </c>
      <c r="AO422" s="20" t="str">
        <f t="shared" si="200"/>
        <v>ON</v>
      </c>
    </row>
    <row r="423" spans="1:41">
      <c r="A423" t="str">
        <f t="shared" ca="1" si="174"/>
        <v>Lagos</v>
      </c>
      <c r="B423" t="str">
        <f t="shared" ca="1" si="175"/>
        <v>C</v>
      </c>
      <c r="C423" t="str">
        <f t="shared" ca="1" si="176"/>
        <v>B1</v>
      </c>
      <c r="D423" t="s">
        <v>4</v>
      </c>
      <c r="E423">
        <f t="shared" ca="1" si="177"/>
        <v>25</v>
      </c>
      <c r="F423">
        <f t="shared" ca="1" si="178"/>
        <v>2</v>
      </c>
      <c r="G423" t="str">
        <v>C</v>
      </c>
      <c r="H423" t="str">
        <v>C</v>
      </c>
      <c r="I423" t="str">
        <f ca="1">IF($A423="","",IF(COUNTA($K$2:$P$2)=6,"WK "&amp;_xlfn.ISOWEEKNUM($K$2)))</f>
        <v>WK 18</v>
      </c>
      <c r="J423" t="str">
        <f ca="1">IF($A423="","",IF(COUNTA($Y$2:$AD$2)=6,"WK "&amp;_xlfn.ISOWEEKNUM($Y$2)))</f>
        <v>WK 20</v>
      </c>
      <c r="K423" s="20" t="str">
        <f t="shared" ca="1" si="201"/>
        <v>ON</v>
      </c>
      <c r="L423" s="20" t="str">
        <f t="shared" ca="1" si="201"/>
        <v>ON</v>
      </c>
      <c r="M423" s="1" t="str">
        <f t="shared" ca="1" si="180"/>
        <v>ON</v>
      </c>
      <c r="N423" s="1" t="str">
        <f t="shared" ca="1" si="181"/>
        <v>ON</v>
      </c>
      <c r="O423" s="1" t="str">
        <f t="shared" ca="1" si="182"/>
        <v>OFF</v>
      </c>
      <c r="P423" s="1" t="str">
        <f t="shared" ca="1" si="183"/>
        <v>ON</v>
      </c>
      <c r="Q423" s="1"/>
      <c r="R423" s="20" t="str">
        <f t="shared" ca="1" si="202"/>
        <v>ON</v>
      </c>
      <c r="S423" s="20" t="str">
        <f t="shared" ca="1" si="202"/>
        <v>ON</v>
      </c>
      <c r="T423" s="1" t="str">
        <f t="shared" ca="1" si="185"/>
        <v>ON</v>
      </c>
      <c r="U423" s="1" t="str">
        <f t="shared" ca="1" si="186"/>
        <v>ON</v>
      </c>
      <c r="V423" s="1" t="str">
        <f t="shared" ca="1" si="187"/>
        <v>ON</v>
      </c>
      <c r="W423" s="1" t="str">
        <f t="shared" ca="1" si="188"/>
        <v>ON</v>
      </c>
      <c r="X423" s="1"/>
      <c r="Y423" s="20" t="str">
        <f t="shared" ca="1" si="203"/>
        <v>ON</v>
      </c>
      <c r="Z423" s="20" t="str">
        <f t="shared" ca="1" si="203"/>
        <v>ON</v>
      </c>
      <c r="AA423" s="1" t="str">
        <f t="shared" ca="1" si="190"/>
        <v>ON</v>
      </c>
      <c r="AB423" s="1" t="str">
        <f t="shared" ca="1" si="191"/>
        <v>ON</v>
      </c>
      <c r="AC423" s="1" t="str">
        <f t="shared" ca="1" si="192"/>
        <v>OFF</v>
      </c>
      <c r="AD423" s="1" t="str">
        <f t="shared" ca="1" si="193"/>
        <v>ON</v>
      </c>
      <c r="AE423" s="1"/>
      <c r="AF423" s="20" t="str">
        <f t="shared" ca="1" si="204"/>
        <v>ON</v>
      </c>
      <c r="AG423" s="20" t="str">
        <f t="shared" ca="1" si="204"/>
        <v>ON</v>
      </c>
      <c r="AH423" s="1" t="str">
        <f t="shared" ca="1" si="195"/>
        <v>ON</v>
      </c>
      <c r="AI423" s="1" t="str">
        <f t="shared" ca="1" si="196"/>
        <v>ON</v>
      </c>
      <c r="AJ423" s="1" t="str">
        <f t="shared" ca="1" si="197"/>
        <v>ON</v>
      </c>
      <c r="AK423" s="1" t="str">
        <f t="shared" ca="1" si="198"/>
        <v>ON</v>
      </c>
      <c r="AL423" s="1"/>
      <c r="AM423" s="20" t="str">
        <f t="shared" si="205"/>
        <v>ON</v>
      </c>
      <c r="AN423" s="20" t="str">
        <f t="shared" si="205"/>
        <v>ON</v>
      </c>
      <c r="AO423" s="20" t="str">
        <f t="shared" si="200"/>
        <v>ON</v>
      </c>
    </row>
    <row r="424" spans="1:41">
      <c r="A424" t="str">
        <f t="shared" ca="1" si="174"/>
        <v>Ekiti</v>
      </c>
      <c r="B424" t="str">
        <f t="shared" ca="1" si="175"/>
        <v>B</v>
      </c>
      <c r="C424" t="str">
        <f t="shared" ca="1" si="176"/>
        <v>D1</v>
      </c>
      <c r="D424" t="s">
        <v>4</v>
      </c>
      <c r="E424">
        <f t="shared" ca="1" si="177"/>
        <v>25</v>
      </c>
      <c r="F424">
        <f t="shared" ca="1" si="178"/>
        <v>2</v>
      </c>
      <c r="G424" t="str">
        <v>D</v>
      </c>
      <c r="H424" t="str">
        <v>D</v>
      </c>
      <c r="I424" t="str">
        <f ca="1">IF($A424="","",IF(COUNTA($R$2:$W$2)=6,"WK "&amp;_xlfn.ISOWEEKNUM($R$2)))</f>
        <v>WK 19</v>
      </c>
      <c r="J424" t="str">
        <f ca="1">IF($A424="","",IF(COUNTA($AF$2:$AK$2)=6,"WK "&amp;_xlfn.ISOWEEKNUM($AF$2)))</f>
        <v>WK 21</v>
      </c>
      <c r="K424" s="20" t="str">
        <f t="shared" ca="1" si="201"/>
        <v>ON</v>
      </c>
      <c r="L424" s="20" t="str">
        <f t="shared" ca="1" si="201"/>
        <v>ON</v>
      </c>
      <c r="M424" s="1" t="str">
        <f t="shared" ca="1" si="180"/>
        <v>ON</v>
      </c>
      <c r="N424" s="1" t="str">
        <f t="shared" ca="1" si="181"/>
        <v>ON</v>
      </c>
      <c r="O424" s="1" t="str">
        <f t="shared" ca="1" si="182"/>
        <v>ON</v>
      </c>
      <c r="P424" s="1" t="str">
        <f t="shared" ca="1" si="183"/>
        <v>ON</v>
      </c>
      <c r="Q424" s="1"/>
      <c r="R424" s="20" t="str">
        <f t="shared" ca="1" si="202"/>
        <v>ON</v>
      </c>
      <c r="S424" s="20" t="str">
        <f t="shared" ca="1" si="202"/>
        <v>ON</v>
      </c>
      <c r="T424" s="1" t="str">
        <f t="shared" ca="1" si="185"/>
        <v>ON</v>
      </c>
      <c r="U424" s="1" t="str">
        <f t="shared" ca="1" si="186"/>
        <v>ON</v>
      </c>
      <c r="V424" s="1" t="str">
        <f t="shared" ca="1" si="187"/>
        <v>ON</v>
      </c>
      <c r="W424" s="1" t="str">
        <f t="shared" ca="1" si="188"/>
        <v>OFF</v>
      </c>
      <c r="X424" s="1"/>
      <c r="Y424" s="20" t="str">
        <f t="shared" ca="1" si="203"/>
        <v>ON</v>
      </c>
      <c r="Z424" s="20" t="str">
        <f t="shared" ca="1" si="203"/>
        <v>ON</v>
      </c>
      <c r="AA424" s="1" t="str">
        <f t="shared" ca="1" si="190"/>
        <v>ON</v>
      </c>
      <c r="AB424" s="1" t="str">
        <f t="shared" ca="1" si="191"/>
        <v>ON</v>
      </c>
      <c r="AC424" s="1" t="str">
        <f t="shared" ca="1" si="192"/>
        <v>ON</v>
      </c>
      <c r="AD424" s="1" t="str">
        <f t="shared" ca="1" si="193"/>
        <v>ON</v>
      </c>
      <c r="AE424" s="1"/>
      <c r="AF424" s="20" t="str">
        <f t="shared" ca="1" si="204"/>
        <v>ON</v>
      </c>
      <c r="AG424" s="20" t="str">
        <f t="shared" ca="1" si="204"/>
        <v>ON</v>
      </c>
      <c r="AH424" s="1" t="str">
        <f t="shared" ca="1" si="195"/>
        <v>ON</v>
      </c>
      <c r="AI424" s="1" t="str">
        <f t="shared" ca="1" si="196"/>
        <v>ON</v>
      </c>
      <c r="AJ424" s="1" t="str">
        <f t="shared" ca="1" si="197"/>
        <v>ON</v>
      </c>
      <c r="AK424" s="1" t="str">
        <f t="shared" ca="1" si="198"/>
        <v>OFF</v>
      </c>
      <c r="AL424" s="1"/>
      <c r="AM424" s="20" t="str">
        <f t="shared" si="205"/>
        <v>ON</v>
      </c>
      <c r="AN424" s="20" t="str">
        <f t="shared" si="205"/>
        <v>ON</v>
      </c>
      <c r="AO424" s="20" t="str">
        <f t="shared" si="200"/>
        <v>ON</v>
      </c>
    </row>
    <row r="425" spans="1:41">
      <c r="A425" t="str">
        <f t="shared" ca="1" si="174"/>
        <v>Ekiti</v>
      </c>
      <c r="B425" t="str">
        <f t="shared" ca="1" si="175"/>
        <v>A</v>
      </c>
      <c r="C425" t="str">
        <f t="shared" ca="1" si="176"/>
        <v>A1</v>
      </c>
      <c r="D425" t="s">
        <v>8</v>
      </c>
      <c r="E425">
        <f t="shared" ca="1" si="177"/>
        <v>25</v>
      </c>
      <c r="F425">
        <f t="shared" ca="1" si="178"/>
        <v>2</v>
      </c>
      <c r="G425" t="str" cm="1">
        <f t="array" ref="G425:G428">IF($G$5:$G$8={"A";"B";"C";"D"},{"D";"C";"B";"A"},{"A";"B";"C";"D"})</f>
        <v>D</v>
      </c>
      <c r="H425" t="str" cm="1">
        <f t="array" ref="H425:H428">IF($H$5:$H$8={"A";"B";"C";"D"},{"D";"C";"B";"A"},{"A";"B";"C";"D"})</f>
        <v>D</v>
      </c>
      <c r="I425" t="str">
        <f ca="1">IF($A425="","",IF(COUNTA($K$2:$P$2)=6,"WK "&amp;_xlfn.ISOWEEKNUM($K$2)))</f>
        <v>WK 18</v>
      </c>
      <c r="J425" t="str">
        <f ca="1">IF($A425="","",IF(COUNTA($Y$2:$AD$2)=6,"WK "&amp;_xlfn.ISOWEEKNUM($Y$2)))</f>
        <v>WK 20</v>
      </c>
      <c r="K425" s="20" t="str">
        <f t="shared" ca="1" si="201"/>
        <v>ON</v>
      </c>
      <c r="L425" s="20" t="str">
        <f t="shared" ca="1" si="201"/>
        <v>ON</v>
      </c>
      <c r="M425" s="1" t="str">
        <f t="shared" ca="1" si="180"/>
        <v>ON</v>
      </c>
      <c r="N425" s="1" t="str">
        <f t="shared" ca="1" si="181"/>
        <v>ON</v>
      </c>
      <c r="O425" s="1" t="str">
        <f t="shared" ca="1" si="182"/>
        <v>ON</v>
      </c>
      <c r="P425" s="1" t="str">
        <f t="shared" ca="1" si="183"/>
        <v>OFF</v>
      </c>
      <c r="Q425" s="1"/>
      <c r="R425" s="20" t="str">
        <f t="shared" ca="1" si="202"/>
        <v>ON</v>
      </c>
      <c r="S425" s="20" t="str">
        <f t="shared" ca="1" si="202"/>
        <v>ON</v>
      </c>
      <c r="T425" s="1" t="str">
        <f t="shared" ca="1" si="185"/>
        <v>ON</v>
      </c>
      <c r="U425" s="1" t="str">
        <f t="shared" ca="1" si="186"/>
        <v>ON</v>
      </c>
      <c r="V425" s="1" t="str">
        <f t="shared" ca="1" si="187"/>
        <v>ON</v>
      </c>
      <c r="W425" s="1" t="str">
        <f t="shared" ca="1" si="188"/>
        <v>ON</v>
      </c>
      <c r="X425" s="1"/>
      <c r="Y425" s="20" t="str">
        <f t="shared" ca="1" si="203"/>
        <v>ON</v>
      </c>
      <c r="Z425" s="20" t="str">
        <f t="shared" ca="1" si="203"/>
        <v>ON</v>
      </c>
      <c r="AA425" s="1" t="str">
        <f t="shared" ca="1" si="190"/>
        <v>ON</v>
      </c>
      <c r="AB425" s="1" t="str">
        <f t="shared" ca="1" si="191"/>
        <v>ON</v>
      </c>
      <c r="AC425" s="1" t="str">
        <f t="shared" ca="1" si="192"/>
        <v>ON</v>
      </c>
      <c r="AD425" s="1" t="str">
        <f t="shared" ca="1" si="193"/>
        <v>OFF</v>
      </c>
      <c r="AE425" s="1"/>
      <c r="AF425" s="20" t="str">
        <f t="shared" ca="1" si="204"/>
        <v>ON</v>
      </c>
      <c r="AG425" s="20" t="str">
        <f t="shared" ca="1" si="204"/>
        <v>ON</v>
      </c>
      <c r="AH425" s="1" t="str">
        <f t="shared" ca="1" si="195"/>
        <v>ON</v>
      </c>
      <c r="AI425" s="1" t="str">
        <f t="shared" ca="1" si="196"/>
        <v>ON</v>
      </c>
      <c r="AJ425" s="1" t="str">
        <f t="shared" ca="1" si="197"/>
        <v>ON</v>
      </c>
      <c r="AK425" s="1" t="str">
        <f t="shared" ca="1" si="198"/>
        <v>ON</v>
      </c>
      <c r="AL425" s="1"/>
      <c r="AM425" s="20" t="str">
        <f t="shared" si="205"/>
        <v>ON</v>
      </c>
      <c r="AN425" s="20" t="str">
        <f t="shared" si="205"/>
        <v>ON</v>
      </c>
      <c r="AO425" s="20" t="str">
        <f t="shared" si="200"/>
        <v>ON</v>
      </c>
    </row>
    <row r="426" spans="1:41">
      <c r="A426" t="str">
        <f t="shared" ca="1" si="174"/>
        <v>Lagos</v>
      </c>
      <c r="B426" t="str">
        <f t="shared" ca="1" si="175"/>
        <v>E</v>
      </c>
      <c r="C426" t="str">
        <f t="shared" ca="1" si="176"/>
        <v>C1</v>
      </c>
      <c r="D426" t="s">
        <v>8</v>
      </c>
      <c r="E426">
        <f t="shared" ca="1" si="177"/>
        <v>25</v>
      </c>
      <c r="F426">
        <f t="shared" ca="1" si="178"/>
        <v>2</v>
      </c>
      <c r="G426" t="str">
        <v>C</v>
      </c>
      <c r="H426" t="str">
        <v>C</v>
      </c>
      <c r="I426" t="str">
        <f ca="1">IF($A426="","",IF(COUNTA($R$2:$W$2)=6,"WK "&amp;_xlfn.ISOWEEKNUM($R$2)))</f>
        <v>WK 19</v>
      </c>
      <c r="J426" t="str">
        <f ca="1">IF($A426="","",IF(COUNTA($AF$2:$AK$2)=6,"WK "&amp;_xlfn.ISOWEEKNUM($AF$2)))</f>
        <v>WK 21</v>
      </c>
      <c r="K426" s="20" t="str">
        <f t="shared" ca="1" si="201"/>
        <v>ON</v>
      </c>
      <c r="L426" s="20" t="str">
        <f t="shared" ca="1" si="201"/>
        <v>ON</v>
      </c>
      <c r="M426" s="1" t="str">
        <f t="shared" ca="1" si="180"/>
        <v>ON</v>
      </c>
      <c r="N426" s="1" t="str">
        <f t="shared" ca="1" si="181"/>
        <v>ON</v>
      </c>
      <c r="O426" s="1" t="str">
        <f t="shared" ca="1" si="182"/>
        <v>ON</v>
      </c>
      <c r="P426" s="1" t="str">
        <f t="shared" ca="1" si="183"/>
        <v>ON</v>
      </c>
      <c r="Q426" s="1"/>
      <c r="R426" s="20" t="str">
        <f t="shared" ca="1" si="202"/>
        <v>ON</v>
      </c>
      <c r="S426" s="20" t="str">
        <f t="shared" ca="1" si="202"/>
        <v>ON</v>
      </c>
      <c r="T426" s="1" t="str">
        <f t="shared" ca="1" si="185"/>
        <v>ON</v>
      </c>
      <c r="U426" s="1" t="str">
        <f t="shared" ca="1" si="186"/>
        <v>ON</v>
      </c>
      <c r="V426" s="1" t="str">
        <f t="shared" ca="1" si="187"/>
        <v>OFF</v>
      </c>
      <c r="W426" s="1" t="str">
        <f t="shared" ca="1" si="188"/>
        <v>ON</v>
      </c>
      <c r="X426" s="1"/>
      <c r="Y426" s="20" t="str">
        <f t="shared" ca="1" si="203"/>
        <v>ON</v>
      </c>
      <c r="Z426" s="20" t="str">
        <f t="shared" ca="1" si="203"/>
        <v>ON</v>
      </c>
      <c r="AA426" s="1" t="str">
        <f t="shared" ca="1" si="190"/>
        <v>ON</v>
      </c>
      <c r="AB426" s="1" t="str">
        <f t="shared" ca="1" si="191"/>
        <v>ON</v>
      </c>
      <c r="AC426" s="1" t="str">
        <f t="shared" ca="1" si="192"/>
        <v>ON</v>
      </c>
      <c r="AD426" s="1" t="str">
        <f t="shared" ca="1" si="193"/>
        <v>ON</v>
      </c>
      <c r="AE426" s="1"/>
      <c r="AF426" s="20" t="str">
        <f t="shared" ca="1" si="204"/>
        <v>ON</v>
      </c>
      <c r="AG426" s="20" t="str">
        <f t="shared" ca="1" si="204"/>
        <v>ON</v>
      </c>
      <c r="AH426" s="1" t="str">
        <f t="shared" ca="1" si="195"/>
        <v>ON</v>
      </c>
      <c r="AI426" s="1" t="str">
        <f t="shared" ca="1" si="196"/>
        <v>ON</v>
      </c>
      <c r="AJ426" s="1" t="str">
        <f t="shared" ca="1" si="197"/>
        <v>OFF</v>
      </c>
      <c r="AK426" s="1" t="str">
        <f t="shared" ca="1" si="198"/>
        <v>ON</v>
      </c>
      <c r="AL426" s="1"/>
      <c r="AM426" s="20" t="str">
        <f t="shared" si="205"/>
        <v>ON</v>
      </c>
      <c r="AN426" s="20" t="str">
        <f t="shared" si="205"/>
        <v>ON</v>
      </c>
      <c r="AO426" s="20" t="str">
        <f t="shared" si="200"/>
        <v>ON</v>
      </c>
    </row>
    <row r="427" spans="1:41">
      <c r="A427" t="str">
        <f t="shared" ca="1" si="174"/>
        <v>Ondo</v>
      </c>
      <c r="B427" t="str">
        <f t="shared" ca="1" si="175"/>
        <v>B</v>
      </c>
      <c r="C427" t="str">
        <f t="shared" ca="1" si="176"/>
        <v>A1</v>
      </c>
      <c r="D427" t="s">
        <v>8</v>
      </c>
      <c r="E427">
        <f t="shared" ca="1" si="177"/>
        <v>25</v>
      </c>
      <c r="F427">
        <f t="shared" ca="1" si="178"/>
        <v>2</v>
      </c>
      <c r="G427" t="str">
        <v>B</v>
      </c>
      <c r="H427" t="str">
        <v>B</v>
      </c>
      <c r="I427" t="str">
        <f ca="1">IF($A427="","",IF(COUNTA($K$2:$P$2)=6,"WK "&amp;_xlfn.ISOWEEKNUM($K$2)))</f>
        <v>WK 18</v>
      </c>
      <c r="J427" t="str">
        <f ca="1">IF($A427="","",IF(COUNTA($Y$2:$AD$2)=6,"WK "&amp;_xlfn.ISOWEEKNUM($Y$2)))</f>
        <v>WK 20</v>
      </c>
      <c r="K427" s="20" t="str">
        <f t="shared" ca="1" si="201"/>
        <v>ON</v>
      </c>
      <c r="L427" s="20" t="str">
        <f t="shared" ca="1" si="201"/>
        <v>ON</v>
      </c>
      <c r="M427" s="1" t="str">
        <f t="shared" ca="1" si="180"/>
        <v>ON</v>
      </c>
      <c r="N427" s="1" t="str">
        <f t="shared" ca="1" si="181"/>
        <v>OFF</v>
      </c>
      <c r="O427" s="1" t="str">
        <f t="shared" ca="1" si="182"/>
        <v>ON</v>
      </c>
      <c r="P427" s="1" t="str">
        <f t="shared" ca="1" si="183"/>
        <v>ON</v>
      </c>
      <c r="Q427" s="1"/>
      <c r="R427" s="20" t="str">
        <f t="shared" ca="1" si="202"/>
        <v>ON</v>
      </c>
      <c r="S427" s="20" t="str">
        <f t="shared" ca="1" si="202"/>
        <v>ON</v>
      </c>
      <c r="T427" s="1" t="str">
        <f t="shared" ca="1" si="185"/>
        <v>ON</v>
      </c>
      <c r="U427" s="1" t="str">
        <f t="shared" ca="1" si="186"/>
        <v>ON</v>
      </c>
      <c r="V427" s="1" t="str">
        <f t="shared" ca="1" si="187"/>
        <v>ON</v>
      </c>
      <c r="W427" s="1" t="str">
        <f t="shared" ca="1" si="188"/>
        <v>ON</v>
      </c>
      <c r="X427" s="1"/>
      <c r="Y427" s="20" t="str">
        <f t="shared" ca="1" si="203"/>
        <v>ON</v>
      </c>
      <c r="Z427" s="20" t="str">
        <f t="shared" ca="1" si="203"/>
        <v>ON</v>
      </c>
      <c r="AA427" s="1" t="str">
        <f t="shared" ca="1" si="190"/>
        <v>ON</v>
      </c>
      <c r="AB427" s="1" t="str">
        <f t="shared" ca="1" si="191"/>
        <v>OFF</v>
      </c>
      <c r="AC427" s="1" t="str">
        <f t="shared" ca="1" si="192"/>
        <v>ON</v>
      </c>
      <c r="AD427" s="1" t="str">
        <f t="shared" ca="1" si="193"/>
        <v>ON</v>
      </c>
      <c r="AE427" s="1"/>
      <c r="AF427" s="20" t="str">
        <f t="shared" ca="1" si="204"/>
        <v>ON</v>
      </c>
      <c r="AG427" s="20" t="str">
        <f t="shared" ca="1" si="204"/>
        <v>ON</v>
      </c>
      <c r="AH427" s="1" t="str">
        <f t="shared" ca="1" si="195"/>
        <v>ON</v>
      </c>
      <c r="AI427" s="1" t="str">
        <f t="shared" ca="1" si="196"/>
        <v>ON</v>
      </c>
      <c r="AJ427" s="1" t="str">
        <f t="shared" ca="1" si="197"/>
        <v>ON</v>
      </c>
      <c r="AK427" s="1" t="str">
        <f t="shared" ca="1" si="198"/>
        <v>ON</v>
      </c>
      <c r="AL427" s="1"/>
      <c r="AM427" s="20" t="str">
        <f t="shared" si="205"/>
        <v>ON</v>
      </c>
      <c r="AN427" s="20" t="str">
        <f t="shared" si="205"/>
        <v>ON</v>
      </c>
      <c r="AO427" s="20" t="str">
        <f t="shared" si="200"/>
        <v>ON</v>
      </c>
    </row>
    <row r="428" spans="1:41">
      <c r="A428" t="str">
        <f t="shared" ca="1" si="174"/>
        <v>Ekiti</v>
      </c>
      <c r="B428" t="str">
        <f t="shared" ca="1" si="175"/>
        <v>D</v>
      </c>
      <c r="C428" t="str">
        <f t="shared" ca="1" si="176"/>
        <v>A1</v>
      </c>
      <c r="D428" t="s">
        <v>6</v>
      </c>
      <c r="E428">
        <f t="shared" ca="1" si="177"/>
        <v>25</v>
      </c>
      <c r="F428">
        <f t="shared" ca="1" si="178"/>
        <v>2</v>
      </c>
      <c r="G428" t="str">
        <v>A</v>
      </c>
      <c r="H428" t="str">
        <v>A</v>
      </c>
      <c r="I428" t="str">
        <f ca="1">IF($A428="","",IF(COUNTA($R$2:$W$2)=6,"WK "&amp;_xlfn.ISOWEEKNUM($R$2)))</f>
        <v>WK 19</v>
      </c>
      <c r="J428" t="str">
        <f ca="1">IF($A428="","",IF(COUNTA($AF$2:$AK$2)=6,"WK "&amp;_xlfn.ISOWEEKNUM($AF$2)))</f>
        <v>WK 21</v>
      </c>
      <c r="K428" s="20" t="str">
        <f t="shared" ca="1" si="201"/>
        <v>ON</v>
      </c>
      <c r="L428" s="20" t="str">
        <f t="shared" ca="1" si="201"/>
        <v>ON</v>
      </c>
      <c r="M428" s="1" t="str">
        <f t="shared" ca="1" si="180"/>
        <v>ON</v>
      </c>
      <c r="N428" s="1" t="str">
        <f t="shared" ca="1" si="181"/>
        <v>ON</v>
      </c>
      <c r="O428" s="1" t="str">
        <f t="shared" ca="1" si="182"/>
        <v>ON</v>
      </c>
      <c r="P428" s="1" t="str">
        <f t="shared" ca="1" si="183"/>
        <v>ON</v>
      </c>
      <c r="Q428" s="1"/>
      <c r="R428" s="20" t="str">
        <f t="shared" ca="1" si="202"/>
        <v>ON</v>
      </c>
      <c r="S428" s="20" t="str">
        <f t="shared" ca="1" si="202"/>
        <v>ON</v>
      </c>
      <c r="T428" s="1" t="str">
        <f t="shared" ca="1" si="185"/>
        <v>OFF</v>
      </c>
      <c r="U428" s="1" t="str">
        <f t="shared" ca="1" si="186"/>
        <v>ON</v>
      </c>
      <c r="V428" s="1" t="str">
        <f t="shared" ca="1" si="187"/>
        <v>ON</v>
      </c>
      <c r="W428" s="1" t="str">
        <f t="shared" ca="1" si="188"/>
        <v>ON</v>
      </c>
      <c r="X428" s="1"/>
      <c r="Y428" s="20" t="str">
        <f t="shared" ca="1" si="203"/>
        <v>ON</v>
      </c>
      <c r="Z428" s="20" t="str">
        <f t="shared" ca="1" si="203"/>
        <v>ON</v>
      </c>
      <c r="AA428" s="1" t="str">
        <f t="shared" ca="1" si="190"/>
        <v>ON</v>
      </c>
      <c r="AB428" s="1" t="str">
        <f t="shared" ca="1" si="191"/>
        <v>ON</v>
      </c>
      <c r="AC428" s="1" t="str">
        <f t="shared" ca="1" si="192"/>
        <v>ON</v>
      </c>
      <c r="AD428" s="1" t="str">
        <f t="shared" ca="1" si="193"/>
        <v>ON</v>
      </c>
      <c r="AE428" s="1"/>
      <c r="AF428" s="20" t="str">
        <f t="shared" ca="1" si="204"/>
        <v>ON</v>
      </c>
      <c r="AG428" s="20" t="str">
        <f t="shared" ca="1" si="204"/>
        <v>ON</v>
      </c>
      <c r="AH428" s="1" t="str">
        <f t="shared" ca="1" si="195"/>
        <v>OFF</v>
      </c>
      <c r="AI428" s="1" t="str">
        <f t="shared" ca="1" si="196"/>
        <v>ON</v>
      </c>
      <c r="AJ428" s="1" t="str">
        <f t="shared" ca="1" si="197"/>
        <v>ON</v>
      </c>
      <c r="AK428" s="1" t="str">
        <f t="shared" ca="1" si="198"/>
        <v>ON</v>
      </c>
      <c r="AL428" s="1"/>
      <c r="AM428" s="20" t="str">
        <f t="shared" si="205"/>
        <v>ON</v>
      </c>
      <c r="AN428" s="20" t="str">
        <f t="shared" si="205"/>
        <v>ON</v>
      </c>
      <c r="AO428" s="20" t="str">
        <f t="shared" si="200"/>
        <v>ON</v>
      </c>
    </row>
    <row r="429" spans="1:41">
      <c r="A429" t="str">
        <f t="shared" ca="1" si="174"/>
        <v>Oyo</v>
      </c>
      <c r="B429" t="str">
        <f t="shared" ca="1" si="175"/>
        <v>D</v>
      </c>
      <c r="C429" t="str">
        <f t="shared" ca="1" si="176"/>
        <v>B1</v>
      </c>
      <c r="D429" s="5" t="s">
        <v>7</v>
      </c>
      <c r="E429">
        <f t="shared" ca="1" si="177"/>
        <v>25</v>
      </c>
      <c r="F429">
        <f t="shared" ca="1" si="178"/>
        <v>2</v>
      </c>
      <c r="G429" t="str" cm="1">
        <f t="array" ref="G429:G432">Groups!$B$2:$B$5</f>
        <v>A</v>
      </c>
      <c r="H429" t="str" cm="1">
        <f t="array" ref="H429:H432">Groups!$B$2:$B$5</f>
        <v>A</v>
      </c>
      <c r="I429" t="str">
        <f ca="1">IF($A429="","",IF(COUNTA($K$2:$P$2)=6,"WK "&amp;_xlfn.ISOWEEKNUM($K$2)))</f>
        <v>WK 18</v>
      </c>
      <c r="J429" t="str">
        <f ca="1">IF($A429="","",IF(COUNTA($Y$2:$AD$2)=6,"WK "&amp;_xlfn.ISOWEEKNUM($Y$2)))</f>
        <v>WK 20</v>
      </c>
      <c r="K429" s="20" t="str">
        <f t="shared" ca="1" si="201"/>
        <v>ON</v>
      </c>
      <c r="L429" s="20" t="str">
        <f t="shared" ca="1" si="201"/>
        <v>ON</v>
      </c>
      <c r="M429" s="1" t="str">
        <f t="shared" ca="1" si="180"/>
        <v>OFF</v>
      </c>
      <c r="N429" s="1" t="str">
        <f t="shared" ca="1" si="181"/>
        <v>ON</v>
      </c>
      <c r="O429" s="1" t="str">
        <f t="shared" ca="1" si="182"/>
        <v>ON</v>
      </c>
      <c r="P429" s="1" t="str">
        <f t="shared" ca="1" si="183"/>
        <v>ON</v>
      </c>
      <c r="Q429" s="1"/>
      <c r="R429" s="20" t="str">
        <f t="shared" ca="1" si="202"/>
        <v>ON</v>
      </c>
      <c r="S429" s="20" t="str">
        <f t="shared" ca="1" si="202"/>
        <v>ON</v>
      </c>
      <c r="T429" s="1" t="str">
        <f t="shared" ca="1" si="185"/>
        <v>ON</v>
      </c>
      <c r="U429" s="1" t="str">
        <f t="shared" ca="1" si="186"/>
        <v>ON</v>
      </c>
      <c r="V429" s="1" t="str">
        <f t="shared" ca="1" si="187"/>
        <v>ON</v>
      </c>
      <c r="W429" s="1" t="str">
        <f t="shared" ca="1" si="188"/>
        <v>ON</v>
      </c>
      <c r="X429" s="1"/>
      <c r="Y429" s="20" t="str">
        <f t="shared" ca="1" si="203"/>
        <v>ON</v>
      </c>
      <c r="Z429" s="20" t="str">
        <f t="shared" ca="1" si="203"/>
        <v>ON</v>
      </c>
      <c r="AA429" s="1" t="str">
        <f t="shared" ca="1" si="190"/>
        <v>OFF</v>
      </c>
      <c r="AB429" s="1" t="str">
        <f t="shared" ca="1" si="191"/>
        <v>ON</v>
      </c>
      <c r="AC429" s="1" t="str">
        <f t="shared" ca="1" si="192"/>
        <v>ON</v>
      </c>
      <c r="AD429" s="1" t="str">
        <f t="shared" ca="1" si="193"/>
        <v>ON</v>
      </c>
      <c r="AE429" s="1"/>
      <c r="AF429" s="20" t="str">
        <f t="shared" ca="1" si="204"/>
        <v>ON</v>
      </c>
      <c r="AG429" s="20" t="str">
        <f t="shared" ca="1" si="204"/>
        <v>ON</v>
      </c>
      <c r="AH429" s="1" t="str">
        <f t="shared" ca="1" si="195"/>
        <v>ON</v>
      </c>
      <c r="AI429" s="1" t="str">
        <f t="shared" ca="1" si="196"/>
        <v>ON</v>
      </c>
      <c r="AJ429" s="1" t="str">
        <f t="shared" ca="1" si="197"/>
        <v>ON</v>
      </c>
      <c r="AK429" s="1" t="str">
        <f t="shared" ca="1" si="198"/>
        <v>ON</v>
      </c>
      <c r="AL429" s="1"/>
      <c r="AM429" s="20" t="str">
        <f t="shared" si="205"/>
        <v>ON</v>
      </c>
      <c r="AN429" s="20" t="str">
        <f t="shared" si="205"/>
        <v>ON</v>
      </c>
      <c r="AO429" s="20" t="str">
        <f t="shared" si="200"/>
        <v>ON</v>
      </c>
    </row>
    <row r="430" spans="1:41">
      <c r="A430" t="str">
        <f t="shared" ca="1" si="174"/>
        <v>Ekiti</v>
      </c>
      <c r="B430" t="str">
        <f t="shared" ca="1" si="175"/>
        <v>D</v>
      </c>
      <c r="C430" t="str">
        <f t="shared" ca="1" si="176"/>
        <v>C1</v>
      </c>
      <c r="D430" s="5" t="s">
        <v>7</v>
      </c>
      <c r="E430">
        <f t="shared" ca="1" si="177"/>
        <v>25</v>
      </c>
      <c r="F430">
        <f t="shared" ca="1" si="178"/>
        <v>2</v>
      </c>
      <c r="G430" t="str">
        <v>B</v>
      </c>
      <c r="H430" t="str">
        <v>B</v>
      </c>
      <c r="I430" t="str">
        <f ca="1">IF($A430="","",IF(COUNTA($R$2:$W$2)=6,"WK "&amp;_xlfn.ISOWEEKNUM($R$2)))</f>
        <v>WK 19</v>
      </c>
      <c r="J430" t="str">
        <f ca="1">IF($A430="","",IF(COUNTA($AF$2:$AK$2)=6,"WK "&amp;_xlfn.ISOWEEKNUM($AF$2)))</f>
        <v>WK 21</v>
      </c>
      <c r="K430" s="20" t="str">
        <f t="shared" ca="1" si="201"/>
        <v>ON</v>
      </c>
      <c r="L430" s="20" t="str">
        <f t="shared" ca="1" si="201"/>
        <v>ON</v>
      </c>
      <c r="M430" s="1" t="str">
        <f t="shared" ca="1" si="180"/>
        <v>ON</v>
      </c>
      <c r="N430" s="1" t="str">
        <f t="shared" ca="1" si="181"/>
        <v>ON</v>
      </c>
      <c r="O430" s="1" t="str">
        <f t="shared" ca="1" si="182"/>
        <v>ON</v>
      </c>
      <c r="P430" s="1" t="str">
        <f t="shared" ca="1" si="183"/>
        <v>ON</v>
      </c>
      <c r="Q430" s="1"/>
      <c r="R430" s="20" t="str">
        <f t="shared" ca="1" si="202"/>
        <v>ON</v>
      </c>
      <c r="S430" s="20" t="str">
        <f t="shared" ca="1" si="202"/>
        <v>ON</v>
      </c>
      <c r="T430" s="1" t="str">
        <f t="shared" ca="1" si="185"/>
        <v>ON</v>
      </c>
      <c r="U430" s="1" t="str">
        <f t="shared" ca="1" si="186"/>
        <v>OFF</v>
      </c>
      <c r="V430" s="1" t="str">
        <f t="shared" ca="1" si="187"/>
        <v>ON</v>
      </c>
      <c r="W430" s="1" t="str">
        <f t="shared" ca="1" si="188"/>
        <v>ON</v>
      </c>
      <c r="X430" s="1"/>
      <c r="Y430" s="20" t="str">
        <f t="shared" ca="1" si="203"/>
        <v>ON</v>
      </c>
      <c r="Z430" s="20" t="str">
        <f t="shared" ca="1" si="203"/>
        <v>ON</v>
      </c>
      <c r="AA430" s="1" t="str">
        <f t="shared" ca="1" si="190"/>
        <v>ON</v>
      </c>
      <c r="AB430" s="1" t="str">
        <f t="shared" ca="1" si="191"/>
        <v>ON</v>
      </c>
      <c r="AC430" s="1" t="str">
        <f t="shared" ca="1" si="192"/>
        <v>ON</v>
      </c>
      <c r="AD430" s="1" t="str">
        <f t="shared" ca="1" si="193"/>
        <v>ON</v>
      </c>
      <c r="AE430" s="1"/>
      <c r="AF430" s="20" t="str">
        <f t="shared" ca="1" si="204"/>
        <v>ON</v>
      </c>
      <c r="AG430" s="20" t="str">
        <f t="shared" ca="1" si="204"/>
        <v>ON</v>
      </c>
      <c r="AH430" s="1" t="str">
        <f t="shared" ca="1" si="195"/>
        <v>ON</v>
      </c>
      <c r="AI430" s="1" t="str">
        <f t="shared" ca="1" si="196"/>
        <v>OFF</v>
      </c>
      <c r="AJ430" s="1" t="str">
        <f t="shared" ca="1" si="197"/>
        <v>ON</v>
      </c>
      <c r="AK430" s="1" t="str">
        <f t="shared" ca="1" si="198"/>
        <v>ON</v>
      </c>
      <c r="AL430" s="1"/>
      <c r="AM430" s="20" t="str">
        <f t="shared" si="205"/>
        <v>ON</v>
      </c>
      <c r="AN430" s="20" t="str">
        <f t="shared" si="205"/>
        <v>ON</v>
      </c>
      <c r="AO430" s="20" t="str">
        <f t="shared" si="200"/>
        <v>ON</v>
      </c>
    </row>
    <row r="431" spans="1:41">
      <c r="A431" t="str">
        <f t="shared" ca="1" si="174"/>
        <v>Lagos</v>
      </c>
      <c r="B431" t="str">
        <f t="shared" ca="1" si="175"/>
        <v>A</v>
      </c>
      <c r="C431" t="str">
        <f t="shared" ca="1" si="176"/>
        <v>A1</v>
      </c>
      <c r="D431" s="5" t="s">
        <v>7</v>
      </c>
      <c r="E431">
        <f t="shared" ca="1" si="177"/>
        <v>25</v>
      </c>
      <c r="F431">
        <f t="shared" ca="1" si="178"/>
        <v>2</v>
      </c>
      <c r="G431" t="str">
        <v>C</v>
      </c>
      <c r="H431" t="str">
        <v>C</v>
      </c>
      <c r="I431" t="str">
        <f ca="1">IF($A431="","",IF(COUNTA($K$2:$P$2)=6,"WK "&amp;_xlfn.ISOWEEKNUM($K$2)))</f>
        <v>WK 18</v>
      </c>
      <c r="J431" t="str">
        <f ca="1">IF($A431="","",IF(COUNTA($Y$2:$AD$2)=6,"WK "&amp;_xlfn.ISOWEEKNUM($Y$2)))</f>
        <v>WK 20</v>
      </c>
      <c r="K431" s="20" t="str">
        <f t="shared" ca="1" si="201"/>
        <v>ON</v>
      </c>
      <c r="L431" s="20" t="str">
        <f t="shared" ca="1" si="201"/>
        <v>ON</v>
      </c>
      <c r="M431" s="1" t="str">
        <f t="shared" ca="1" si="180"/>
        <v>ON</v>
      </c>
      <c r="N431" s="1" t="str">
        <f t="shared" ca="1" si="181"/>
        <v>ON</v>
      </c>
      <c r="O431" s="1" t="str">
        <f t="shared" ca="1" si="182"/>
        <v>OFF</v>
      </c>
      <c r="P431" s="1" t="str">
        <f t="shared" ca="1" si="183"/>
        <v>ON</v>
      </c>
      <c r="Q431" s="1"/>
      <c r="R431" s="20" t="str">
        <f t="shared" ca="1" si="202"/>
        <v>ON</v>
      </c>
      <c r="S431" s="20" t="str">
        <f t="shared" ca="1" si="202"/>
        <v>ON</v>
      </c>
      <c r="T431" s="1" t="str">
        <f t="shared" ca="1" si="185"/>
        <v>ON</v>
      </c>
      <c r="U431" s="1" t="str">
        <f t="shared" ca="1" si="186"/>
        <v>ON</v>
      </c>
      <c r="V431" s="1" t="str">
        <f t="shared" ca="1" si="187"/>
        <v>ON</v>
      </c>
      <c r="W431" s="1" t="str">
        <f t="shared" ca="1" si="188"/>
        <v>ON</v>
      </c>
      <c r="X431" s="1"/>
      <c r="Y431" s="20" t="str">
        <f t="shared" ca="1" si="203"/>
        <v>ON</v>
      </c>
      <c r="Z431" s="20" t="str">
        <f t="shared" ca="1" si="203"/>
        <v>ON</v>
      </c>
      <c r="AA431" s="1" t="str">
        <f t="shared" ca="1" si="190"/>
        <v>ON</v>
      </c>
      <c r="AB431" s="1" t="str">
        <f t="shared" ca="1" si="191"/>
        <v>ON</v>
      </c>
      <c r="AC431" s="1" t="str">
        <f t="shared" ca="1" si="192"/>
        <v>OFF</v>
      </c>
      <c r="AD431" s="1" t="str">
        <f t="shared" ca="1" si="193"/>
        <v>ON</v>
      </c>
      <c r="AE431" s="1"/>
      <c r="AF431" s="20" t="str">
        <f t="shared" ca="1" si="204"/>
        <v>ON</v>
      </c>
      <c r="AG431" s="20" t="str">
        <f t="shared" ca="1" si="204"/>
        <v>ON</v>
      </c>
      <c r="AH431" s="1" t="str">
        <f t="shared" ca="1" si="195"/>
        <v>ON</v>
      </c>
      <c r="AI431" s="1" t="str">
        <f t="shared" ca="1" si="196"/>
        <v>ON</v>
      </c>
      <c r="AJ431" s="1" t="str">
        <f t="shared" ca="1" si="197"/>
        <v>ON</v>
      </c>
      <c r="AK431" s="1" t="str">
        <f t="shared" ca="1" si="198"/>
        <v>ON</v>
      </c>
      <c r="AL431" s="1"/>
      <c r="AM431" s="20" t="str">
        <f t="shared" si="205"/>
        <v>ON</v>
      </c>
      <c r="AN431" s="20" t="str">
        <f t="shared" si="205"/>
        <v>ON</v>
      </c>
      <c r="AO431" s="20" t="str">
        <f t="shared" si="200"/>
        <v>ON</v>
      </c>
    </row>
    <row r="432" spans="1:41">
      <c r="A432" t="str">
        <f t="shared" ca="1" si="174"/>
        <v>Ekiti</v>
      </c>
      <c r="B432" t="str">
        <f t="shared" ca="1" si="175"/>
        <v>D</v>
      </c>
      <c r="C432" t="str">
        <f t="shared" ca="1" si="176"/>
        <v>D1</v>
      </c>
      <c r="D432" s="5" t="s">
        <v>7</v>
      </c>
      <c r="E432">
        <f t="shared" ca="1" si="177"/>
        <v>25</v>
      </c>
      <c r="F432">
        <f t="shared" ca="1" si="178"/>
        <v>2</v>
      </c>
      <c r="G432" t="str">
        <v>D</v>
      </c>
      <c r="H432" t="str">
        <v>D</v>
      </c>
      <c r="I432" t="str">
        <f ca="1">IF($A432="","",IF(COUNTA($R$2:$W$2)=6,"WK "&amp;_xlfn.ISOWEEKNUM($R$2)))</f>
        <v>WK 19</v>
      </c>
      <c r="J432" t="str">
        <f ca="1">IF($A432="","",IF(COUNTA($AF$2:$AK$2)=6,"WK "&amp;_xlfn.ISOWEEKNUM($AF$2)))</f>
        <v>WK 21</v>
      </c>
      <c r="K432" s="20" t="str">
        <f t="shared" ca="1" si="201"/>
        <v>ON</v>
      </c>
      <c r="L432" s="20" t="str">
        <f t="shared" ca="1" si="201"/>
        <v>ON</v>
      </c>
      <c r="M432" s="1" t="str">
        <f t="shared" ca="1" si="180"/>
        <v>ON</v>
      </c>
      <c r="N432" s="1" t="str">
        <f t="shared" ca="1" si="181"/>
        <v>ON</v>
      </c>
      <c r="O432" s="1" t="str">
        <f t="shared" ca="1" si="182"/>
        <v>ON</v>
      </c>
      <c r="P432" s="1" t="str">
        <f t="shared" ca="1" si="183"/>
        <v>ON</v>
      </c>
      <c r="Q432" s="1"/>
      <c r="R432" s="20" t="str">
        <f t="shared" ca="1" si="202"/>
        <v>ON</v>
      </c>
      <c r="S432" s="20" t="str">
        <f t="shared" ca="1" si="202"/>
        <v>ON</v>
      </c>
      <c r="T432" s="1" t="str">
        <f t="shared" ca="1" si="185"/>
        <v>ON</v>
      </c>
      <c r="U432" s="1" t="str">
        <f t="shared" ca="1" si="186"/>
        <v>ON</v>
      </c>
      <c r="V432" s="1" t="str">
        <f t="shared" ca="1" si="187"/>
        <v>ON</v>
      </c>
      <c r="W432" s="1" t="str">
        <f t="shared" ca="1" si="188"/>
        <v>OFF</v>
      </c>
      <c r="X432" s="1"/>
      <c r="Y432" s="20" t="str">
        <f t="shared" ca="1" si="203"/>
        <v>ON</v>
      </c>
      <c r="Z432" s="20" t="str">
        <f t="shared" ca="1" si="203"/>
        <v>ON</v>
      </c>
      <c r="AA432" s="1" t="str">
        <f t="shared" ca="1" si="190"/>
        <v>ON</v>
      </c>
      <c r="AB432" s="1" t="str">
        <f t="shared" ca="1" si="191"/>
        <v>ON</v>
      </c>
      <c r="AC432" s="1" t="str">
        <f t="shared" ca="1" si="192"/>
        <v>ON</v>
      </c>
      <c r="AD432" s="1" t="str">
        <f t="shared" ca="1" si="193"/>
        <v>ON</v>
      </c>
      <c r="AE432" s="1"/>
      <c r="AF432" s="20" t="str">
        <f t="shared" ca="1" si="204"/>
        <v>ON</v>
      </c>
      <c r="AG432" s="20" t="str">
        <f t="shared" ca="1" si="204"/>
        <v>ON</v>
      </c>
      <c r="AH432" s="1" t="str">
        <f t="shared" ca="1" si="195"/>
        <v>ON</v>
      </c>
      <c r="AI432" s="1" t="str">
        <f t="shared" ca="1" si="196"/>
        <v>ON</v>
      </c>
      <c r="AJ432" s="1" t="str">
        <f t="shared" ca="1" si="197"/>
        <v>ON</v>
      </c>
      <c r="AK432" s="1" t="str">
        <f t="shared" ca="1" si="198"/>
        <v>OFF</v>
      </c>
      <c r="AL432" s="1"/>
      <c r="AM432" s="20" t="str">
        <f t="shared" si="205"/>
        <v>ON</v>
      </c>
      <c r="AN432" s="20" t="str">
        <f t="shared" si="205"/>
        <v>ON</v>
      </c>
      <c r="AO432" s="20" t="str">
        <f t="shared" si="200"/>
        <v>ON</v>
      </c>
    </row>
    <row r="433" spans="1:41">
      <c r="A433" t="str">
        <f t="shared" ca="1" si="174"/>
        <v>Lagos</v>
      </c>
      <c r="B433" t="str">
        <f t="shared" ca="1" si="175"/>
        <v>E</v>
      </c>
      <c r="C433" t="str">
        <f t="shared" ca="1" si="176"/>
        <v>B1</v>
      </c>
      <c r="D433" s="5" t="s">
        <v>7</v>
      </c>
      <c r="E433">
        <f t="shared" ca="1" si="177"/>
        <v>25</v>
      </c>
      <c r="F433">
        <f t="shared" ca="1" si="178"/>
        <v>2</v>
      </c>
      <c r="G433" t="str" cm="1">
        <f t="array" ref="G433:G436">IF($G$5:$G$8={"A";"B";"C";"D"},{"D";"C";"B";"A"},{"A";"B";"C";"D"})</f>
        <v>D</v>
      </c>
      <c r="H433" t="str" cm="1">
        <f t="array" ref="H433:H436">IF($H$5:$H$8={"A";"B";"C";"D"},{"D";"C";"B";"A"},{"A";"B";"C";"D"})</f>
        <v>D</v>
      </c>
      <c r="I433" t="str">
        <f ca="1">IF($A433="","",IF(COUNTA($K$2:$P$2)=6,"WK "&amp;_xlfn.ISOWEEKNUM($K$2)))</f>
        <v>WK 18</v>
      </c>
      <c r="J433" t="str">
        <f ca="1">IF($A433="","",IF(COUNTA($Y$2:$AD$2)=6,"WK "&amp;_xlfn.ISOWEEKNUM($Y$2)))</f>
        <v>WK 20</v>
      </c>
      <c r="K433" s="20" t="str">
        <f t="shared" ca="1" si="201"/>
        <v>ON</v>
      </c>
      <c r="L433" s="20" t="str">
        <f t="shared" ca="1" si="201"/>
        <v>ON</v>
      </c>
      <c r="M433" s="1" t="str">
        <f t="shared" ca="1" si="180"/>
        <v>ON</v>
      </c>
      <c r="N433" s="1" t="str">
        <f t="shared" ca="1" si="181"/>
        <v>ON</v>
      </c>
      <c r="O433" s="1" t="str">
        <f t="shared" ca="1" si="182"/>
        <v>ON</v>
      </c>
      <c r="P433" s="1" t="str">
        <f t="shared" ca="1" si="183"/>
        <v>OFF</v>
      </c>
      <c r="Q433" s="1"/>
      <c r="R433" s="20" t="str">
        <f t="shared" ca="1" si="202"/>
        <v>ON</v>
      </c>
      <c r="S433" s="20" t="str">
        <f t="shared" ca="1" si="202"/>
        <v>ON</v>
      </c>
      <c r="T433" s="1" t="str">
        <f t="shared" ca="1" si="185"/>
        <v>ON</v>
      </c>
      <c r="U433" s="1" t="str">
        <f t="shared" ca="1" si="186"/>
        <v>ON</v>
      </c>
      <c r="V433" s="1" t="str">
        <f t="shared" ca="1" si="187"/>
        <v>ON</v>
      </c>
      <c r="W433" s="1" t="str">
        <f t="shared" ca="1" si="188"/>
        <v>ON</v>
      </c>
      <c r="X433" s="1"/>
      <c r="Y433" s="20" t="str">
        <f t="shared" ca="1" si="203"/>
        <v>ON</v>
      </c>
      <c r="Z433" s="20" t="str">
        <f t="shared" ca="1" si="203"/>
        <v>ON</v>
      </c>
      <c r="AA433" s="1" t="str">
        <f t="shared" ca="1" si="190"/>
        <v>ON</v>
      </c>
      <c r="AB433" s="1" t="str">
        <f t="shared" ca="1" si="191"/>
        <v>ON</v>
      </c>
      <c r="AC433" s="1" t="str">
        <f t="shared" ca="1" si="192"/>
        <v>ON</v>
      </c>
      <c r="AD433" s="1" t="str">
        <f t="shared" ca="1" si="193"/>
        <v>OFF</v>
      </c>
      <c r="AE433" s="1"/>
      <c r="AF433" s="20" t="str">
        <f t="shared" ca="1" si="204"/>
        <v>ON</v>
      </c>
      <c r="AG433" s="20" t="str">
        <f t="shared" ca="1" si="204"/>
        <v>ON</v>
      </c>
      <c r="AH433" s="1" t="str">
        <f t="shared" ca="1" si="195"/>
        <v>ON</v>
      </c>
      <c r="AI433" s="1" t="str">
        <f t="shared" ca="1" si="196"/>
        <v>ON</v>
      </c>
      <c r="AJ433" s="1" t="str">
        <f t="shared" ca="1" si="197"/>
        <v>ON</v>
      </c>
      <c r="AK433" s="1" t="str">
        <f t="shared" ca="1" si="198"/>
        <v>ON</v>
      </c>
      <c r="AL433" s="1"/>
      <c r="AM433" s="20" t="str">
        <f t="shared" si="205"/>
        <v>ON</v>
      </c>
      <c r="AN433" s="20" t="str">
        <f t="shared" si="205"/>
        <v>ON</v>
      </c>
      <c r="AO433" s="20" t="str">
        <f t="shared" si="200"/>
        <v>ON</v>
      </c>
    </row>
    <row r="434" spans="1:41">
      <c r="A434" t="str">
        <f t="shared" ca="1" si="174"/>
        <v>Lagos</v>
      </c>
      <c r="B434" t="str">
        <f t="shared" ca="1" si="175"/>
        <v>D</v>
      </c>
      <c r="C434" t="str">
        <f t="shared" ca="1" si="176"/>
        <v>A1</v>
      </c>
      <c r="D434" s="5" t="s">
        <v>7</v>
      </c>
      <c r="E434">
        <f t="shared" ca="1" si="177"/>
        <v>25</v>
      </c>
      <c r="F434">
        <f t="shared" ca="1" si="178"/>
        <v>2</v>
      </c>
      <c r="G434" t="str">
        <v>C</v>
      </c>
      <c r="H434" t="str">
        <v>C</v>
      </c>
      <c r="I434" t="str">
        <f ca="1">IF($A434="","",IF(COUNTA($R$2:$W$2)=6,"WK "&amp;_xlfn.ISOWEEKNUM($R$2)))</f>
        <v>WK 19</v>
      </c>
      <c r="J434" t="str">
        <f ca="1">IF($A434="","",IF(COUNTA($AF$2:$AK$2)=6,"WK "&amp;_xlfn.ISOWEEKNUM($AF$2)))</f>
        <v>WK 21</v>
      </c>
      <c r="K434" s="20" t="str">
        <f t="shared" ca="1" si="201"/>
        <v>ON</v>
      </c>
      <c r="L434" s="20" t="str">
        <f t="shared" ca="1" si="201"/>
        <v>ON</v>
      </c>
      <c r="M434" s="1" t="str">
        <f t="shared" ca="1" si="180"/>
        <v>ON</v>
      </c>
      <c r="N434" s="1" t="str">
        <f t="shared" ca="1" si="181"/>
        <v>ON</v>
      </c>
      <c r="O434" s="1" t="str">
        <f t="shared" ca="1" si="182"/>
        <v>ON</v>
      </c>
      <c r="P434" s="1" t="str">
        <f t="shared" ca="1" si="183"/>
        <v>ON</v>
      </c>
      <c r="Q434" s="1"/>
      <c r="R434" s="20" t="str">
        <f t="shared" ca="1" si="202"/>
        <v>ON</v>
      </c>
      <c r="S434" s="20" t="str">
        <f t="shared" ca="1" si="202"/>
        <v>ON</v>
      </c>
      <c r="T434" s="1" t="str">
        <f t="shared" ca="1" si="185"/>
        <v>ON</v>
      </c>
      <c r="U434" s="1" t="str">
        <f t="shared" ca="1" si="186"/>
        <v>ON</v>
      </c>
      <c r="V434" s="1" t="str">
        <f t="shared" ca="1" si="187"/>
        <v>OFF</v>
      </c>
      <c r="W434" s="1" t="str">
        <f t="shared" ca="1" si="188"/>
        <v>ON</v>
      </c>
      <c r="X434" s="1"/>
      <c r="Y434" s="20" t="str">
        <f t="shared" ca="1" si="203"/>
        <v>ON</v>
      </c>
      <c r="Z434" s="20" t="str">
        <f t="shared" ca="1" si="203"/>
        <v>ON</v>
      </c>
      <c r="AA434" s="1" t="str">
        <f t="shared" ca="1" si="190"/>
        <v>ON</v>
      </c>
      <c r="AB434" s="1" t="str">
        <f t="shared" ca="1" si="191"/>
        <v>ON</v>
      </c>
      <c r="AC434" s="1" t="str">
        <f t="shared" ca="1" si="192"/>
        <v>ON</v>
      </c>
      <c r="AD434" s="1" t="str">
        <f t="shared" ca="1" si="193"/>
        <v>ON</v>
      </c>
      <c r="AE434" s="1"/>
      <c r="AF434" s="20" t="str">
        <f t="shared" ca="1" si="204"/>
        <v>ON</v>
      </c>
      <c r="AG434" s="20" t="str">
        <f t="shared" ca="1" si="204"/>
        <v>ON</v>
      </c>
      <c r="AH434" s="1" t="str">
        <f t="shared" ca="1" si="195"/>
        <v>ON</v>
      </c>
      <c r="AI434" s="1" t="str">
        <f t="shared" ca="1" si="196"/>
        <v>ON</v>
      </c>
      <c r="AJ434" s="1" t="str">
        <f t="shared" ca="1" si="197"/>
        <v>OFF</v>
      </c>
      <c r="AK434" s="1" t="str">
        <f t="shared" ca="1" si="198"/>
        <v>ON</v>
      </c>
      <c r="AL434" s="1"/>
      <c r="AM434" s="20" t="str">
        <f t="shared" si="205"/>
        <v>ON</v>
      </c>
      <c r="AN434" s="20" t="str">
        <f t="shared" si="205"/>
        <v>ON</v>
      </c>
      <c r="AO434" s="20" t="str">
        <f t="shared" si="200"/>
        <v>ON</v>
      </c>
    </row>
    <row r="435" spans="1:41">
      <c r="A435" t="str">
        <f t="shared" ca="1" si="174"/>
        <v>Ondo</v>
      </c>
      <c r="B435" t="str">
        <f t="shared" ca="1" si="175"/>
        <v>C</v>
      </c>
      <c r="C435" t="str">
        <f t="shared" ca="1" si="176"/>
        <v>A1</v>
      </c>
      <c r="D435" s="5" t="s">
        <v>7</v>
      </c>
      <c r="E435">
        <f t="shared" ca="1" si="177"/>
        <v>25</v>
      </c>
      <c r="F435">
        <f t="shared" ca="1" si="178"/>
        <v>2</v>
      </c>
      <c r="G435" t="str">
        <v>B</v>
      </c>
      <c r="H435" t="str">
        <v>B</v>
      </c>
      <c r="I435" t="str">
        <f ca="1">IF($A435="","",IF(COUNTA($K$2:$P$2)=6,"WK "&amp;_xlfn.ISOWEEKNUM($K$2)))</f>
        <v>WK 18</v>
      </c>
      <c r="J435" t="str">
        <f ca="1">IF($A435="","",IF(COUNTA($Y$2:$AD$2)=6,"WK "&amp;_xlfn.ISOWEEKNUM($Y$2)))</f>
        <v>WK 20</v>
      </c>
      <c r="K435" s="20" t="str">
        <f t="shared" ca="1" si="201"/>
        <v>ON</v>
      </c>
      <c r="L435" s="20" t="str">
        <f t="shared" ca="1" si="201"/>
        <v>ON</v>
      </c>
      <c r="M435" s="1" t="str">
        <f t="shared" ca="1" si="180"/>
        <v>ON</v>
      </c>
      <c r="N435" s="1" t="str">
        <f t="shared" ca="1" si="181"/>
        <v>OFF</v>
      </c>
      <c r="O435" s="1" t="str">
        <f t="shared" ca="1" si="182"/>
        <v>ON</v>
      </c>
      <c r="P435" s="1" t="str">
        <f t="shared" ca="1" si="183"/>
        <v>ON</v>
      </c>
      <c r="Q435" s="1"/>
      <c r="R435" s="20" t="str">
        <f t="shared" ca="1" si="202"/>
        <v>ON</v>
      </c>
      <c r="S435" s="20" t="str">
        <f t="shared" ca="1" si="202"/>
        <v>ON</v>
      </c>
      <c r="T435" s="1" t="str">
        <f t="shared" ca="1" si="185"/>
        <v>ON</v>
      </c>
      <c r="U435" s="1" t="str">
        <f t="shared" ca="1" si="186"/>
        <v>ON</v>
      </c>
      <c r="V435" s="1" t="str">
        <f t="shared" ca="1" si="187"/>
        <v>ON</v>
      </c>
      <c r="W435" s="1" t="str">
        <f t="shared" ca="1" si="188"/>
        <v>ON</v>
      </c>
      <c r="X435" s="1"/>
      <c r="Y435" s="20" t="str">
        <f t="shared" ca="1" si="203"/>
        <v>ON</v>
      </c>
      <c r="Z435" s="20" t="str">
        <f t="shared" ca="1" si="203"/>
        <v>ON</v>
      </c>
      <c r="AA435" s="1" t="str">
        <f t="shared" ca="1" si="190"/>
        <v>ON</v>
      </c>
      <c r="AB435" s="1" t="str">
        <f t="shared" ca="1" si="191"/>
        <v>OFF</v>
      </c>
      <c r="AC435" s="1" t="str">
        <f t="shared" ca="1" si="192"/>
        <v>ON</v>
      </c>
      <c r="AD435" s="1" t="str">
        <f t="shared" ca="1" si="193"/>
        <v>ON</v>
      </c>
      <c r="AE435" s="1"/>
      <c r="AF435" s="20" t="str">
        <f t="shared" ca="1" si="204"/>
        <v>ON</v>
      </c>
      <c r="AG435" s="20" t="str">
        <f t="shared" ca="1" si="204"/>
        <v>ON</v>
      </c>
      <c r="AH435" s="1" t="str">
        <f t="shared" ca="1" si="195"/>
        <v>ON</v>
      </c>
      <c r="AI435" s="1" t="str">
        <f t="shared" ca="1" si="196"/>
        <v>ON</v>
      </c>
      <c r="AJ435" s="1" t="str">
        <f t="shared" ca="1" si="197"/>
        <v>ON</v>
      </c>
      <c r="AK435" s="1" t="str">
        <f t="shared" ca="1" si="198"/>
        <v>ON</v>
      </c>
      <c r="AL435" s="1"/>
      <c r="AM435" s="20" t="str">
        <f t="shared" si="205"/>
        <v>ON</v>
      </c>
      <c r="AN435" s="20" t="str">
        <f t="shared" si="205"/>
        <v>ON</v>
      </c>
      <c r="AO435" s="20" t="str">
        <f t="shared" si="200"/>
        <v>ON</v>
      </c>
    </row>
    <row r="436" spans="1:41">
      <c r="A436" t="str">
        <f t="shared" ca="1" si="174"/>
        <v>Ogun</v>
      </c>
      <c r="B436" t="str">
        <f t="shared" ca="1" si="175"/>
        <v>D</v>
      </c>
      <c r="C436" t="str">
        <f t="shared" ca="1" si="176"/>
        <v>E1</v>
      </c>
      <c r="D436" s="5" t="s">
        <v>4</v>
      </c>
      <c r="E436">
        <f t="shared" ca="1" si="177"/>
        <v>25</v>
      </c>
      <c r="F436">
        <f t="shared" ca="1" si="178"/>
        <v>2</v>
      </c>
      <c r="G436" t="str">
        <v>A</v>
      </c>
      <c r="H436" t="str">
        <v>A</v>
      </c>
      <c r="I436" t="str">
        <f ca="1">IF($A436="","",IF(COUNTA($R$2:$W$2)=6,"WK "&amp;_xlfn.ISOWEEKNUM($R$2)))</f>
        <v>WK 19</v>
      </c>
      <c r="J436" t="str">
        <f ca="1">IF($A436="","",IF(COUNTA($AF$2:$AK$2)=6,"WK "&amp;_xlfn.ISOWEEKNUM($AF$2)))</f>
        <v>WK 21</v>
      </c>
      <c r="K436" s="20" t="str">
        <f t="shared" ca="1" si="201"/>
        <v>ON</v>
      </c>
      <c r="L436" s="20" t="str">
        <f t="shared" ca="1" si="201"/>
        <v>ON</v>
      </c>
      <c r="M436" s="1" t="str">
        <f t="shared" ca="1" si="180"/>
        <v>ON</v>
      </c>
      <c r="N436" s="1" t="str">
        <f t="shared" ca="1" si="181"/>
        <v>ON</v>
      </c>
      <c r="O436" s="1" t="str">
        <f t="shared" ca="1" si="182"/>
        <v>ON</v>
      </c>
      <c r="P436" s="1" t="str">
        <f t="shared" ca="1" si="183"/>
        <v>ON</v>
      </c>
      <c r="Q436" s="1"/>
      <c r="R436" s="20" t="str">
        <f t="shared" ca="1" si="202"/>
        <v>ON</v>
      </c>
      <c r="S436" s="20" t="str">
        <f t="shared" ca="1" si="202"/>
        <v>ON</v>
      </c>
      <c r="T436" s="1" t="str">
        <f t="shared" ca="1" si="185"/>
        <v>OFF</v>
      </c>
      <c r="U436" s="1" t="str">
        <f t="shared" ca="1" si="186"/>
        <v>ON</v>
      </c>
      <c r="V436" s="1" t="str">
        <f t="shared" ca="1" si="187"/>
        <v>ON</v>
      </c>
      <c r="W436" s="1" t="str">
        <f t="shared" ca="1" si="188"/>
        <v>ON</v>
      </c>
      <c r="X436" s="1"/>
      <c r="Y436" s="20" t="str">
        <f t="shared" ca="1" si="203"/>
        <v>ON</v>
      </c>
      <c r="Z436" s="20" t="str">
        <f t="shared" ca="1" si="203"/>
        <v>ON</v>
      </c>
      <c r="AA436" s="1" t="str">
        <f t="shared" ca="1" si="190"/>
        <v>ON</v>
      </c>
      <c r="AB436" s="1" t="str">
        <f t="shared" ca="1" si="191"/>
        <v>ON</v>
      </c>
      <c r="AC436" s="1" t="str">
        <f t="shared" ca="1" si="192"/>
        <v>ON</v>
      </c>
      <c r="AD436" s="1" t="str">
        <f t="shared" ca="1" si="193"/>
        <v>ON</v>
      </c>
      <c r="AE436" s="1"/>
      <c r="AF436" s="20" t="str">
        <f t="shared" ca="1" si="204"/>
        <v>ON</v>
      </c>
      <c r="AG436" s="20" t="str">
        <f t="shared" ca="1" si="204"/>
        <v>ON</v>
      </c>
      <c r="AH436" s="1" t="str">
        <f t="shared" ca="1" si="195"/>
        <v>OFF</v>
      </c>
      <c r="AI436" s="1" t="str">
        <f t="shared" ca="1" si="196"/>
        <v>ON</v>
      </c>
      <c r="AJ436" s="1" t="str">
        <f t="shared" ca="1" si="197"/>
        <v>ON</v>
      </c>
      <c r="AK436" s="1" t="str">
        <f t="shared" ca="1" si="198"/>
        <v>ON</v>
      </c>
      <c r="AL436" s="1"/>
      <c r="AM436" s="20" t="str">
        <f t="shared" si="205"/>
        <v>ON</v>
      </c>
      <c r="AN436" s="20" t="str">
        <f t="shared" si="205"/>
        <v>ON</v>
      </c>
      <c r="AO436" s="20" t="str">
        <f t="shared" si="200"/>
        <v>ON</v>
      </c>
    </row>
    <row r="437" spans="1:41">
      <c r="A437" t="str">
        <f t="shared" ca="1" si="174"/>
        <v>Oyo</v>
      </c>
      <c r="B437" t="str">
        <f t="shared" ca="1" si="175"/>
        <v>C</v>
      </c>
      <c r="C437" t="str">
        <f t="shared" ca="1" si="176"/>
        <v>D1</v>
      </c>
      <c r="D437" t="s">
        <v>7</v>
      </c>
      <c r="E437">
        <f t="shared" ca="1" si="177"/>
        <v>25</v>
      </c>
      <c r="F437">
        <f t="shared" ca="1" si="178"/>
        <v>2</v>
      </c>
      <c r="G437" t="str" cm="1">
        <f t="array" ref="G437:G440">Groups!$B$2:$B$5</f>
        <v>A</v>
      </c>
      <c r="H437" t="str" cm="1">
        <f t="array" ref="H437:H440">Groups!$B$2:$B$5</f>
        <v>A</v>
      </c>
      <c r="I437" t="str">
        <f ca="1">IF($A437="","",IF(COUNTA($K$2:$P$2)=6,"WK "&amp;_xlfn.ISOWEEKNUM($K$2)))</f>
        <v>WK 18</v>
      </c>
      <c r="J437" t="str">
        <f ca="1">IF($A437="","",IF(COUNTA($Y$2:$AD$2)=6,"WK "&amp;_xlfn.ISOWEEKNUM($Y$2)))</f>
        <v>WK 20</v>
      </c>
      <c r="K437" s="20" t="str">
        <f t="shared" ca="1" si="201"/>
        <v>ON</v>
      </c>
      <c r="L437" s="20" t="str">
        <f t="shared" ca="1" si="201"/>
        <v>ON</v>
      </c>
      <c r="M437" s="1" t="str">
        <f t="shared" ca="1" si="180"/>
        <v>OFF</v>
      </c>
      <c r="N437" s="1" t="str">
        <f t="shared" ca="1" si="181"/>
        <v>ON</v>
      </c>
      <c r="O437" s="1" t="str">
        <f t="shared" ca="1" si="182"/>
        <v>ON</v>
      </c>
      <c r="P437" s="1" t="str">
        <f t="shared" ca="1" si="183"/>
        <v>ON</v>
      </c>
      <c r="Q437" s="1"/>
      <c r="R437" s="20" t="str">
        <f t="shared" ca="1" si="202"/>
        <v>ON</v>
      </c>
      <c r="S437" s="20" t="str">
        <f t="shared" ca="1" si="202"/>
        <v>ON</v>
      </c>
      <c r="T437" s="1" t="str">
        <f t="shared" ca="1" si="185"/>
        <v>ON</v>
      </c>
      <c r="U437" s="1" t="str">
        <f t="shared" ca="1" si="186"/>
        <v>ON</v>
      </c>
      <c r="V437" s="1" t="str">
        <f t="shared" ca="1" si="187"/>
        <v>ON</v>
      </c>
      <c r="W437" s="1" t="str">
        <f t="shared" ca="1" si="188"/>
        <v>ON</v>
      </c>
      <c r="X437" s="1"/>
      <c r="Y437" s="20" t="str">
        <f t="shared" ca="1" si="203"/>
        <v>ON</v>
      </c>
      <c r="Z437" s="20" t="str">
        <f t="shared" ca="1" si="203"/>
        <v>ON</v>
      </c>
      <c r="AA437" s="1" t="str">
        <f t="shared" ca="1" si="190"/>
        <v>OFF</v>
      </c>
      <c r="AB437" s="1" t="str">
        <f t="shared" ca="1" si="191"/>
        <v>ON</v>
      </c>
      <c r="AC437" s="1" t="str">
        <f t="shared" ca="1" si="192"/>
        <v>ON</v>
      </c>
      <c r="AD437" s="1" t="str">
        <f t="shared" ca="1" si="193"/>
        <v>ON</v>
      </c>
      <c r="AE437" s="1"/>
      <c r="AF437" s="20" t="str">
        <f t="shared" ca="1" si="204"/>
        <v>ON</v>
      </c>
      <c r="AG437" s="20" t="str">
        <f t="shared" ca="1" si="204"/>
        <v>ON</v>
      </c>
      <c r="AH437" s="1" t="str">
        <f t="shared" ca="1" si="195"/>
        <v>ON</v>
      </c>
      <c r="AI437" s="1" t="str">
        <f t="shared" ca="1" si="196"/>
        <v>ON</v>
      </c>
      <c r="AJ437" s="1" t="str">
        <f t="shared" ca="1" si="197"/>
        <v>ON</v>
      </c>
      <c r="AK437" s="1" t="str">
        <f t="shared" ca="1" si="198"/>
        <v>ON</v>
      </c>
      <c r="AL437" s="1"/>
      <c r="AM437" s="20" t="str">
        <f t="shared" si="205"/>
        <v>ON</v>
      </c>
      <c r="AN437" s="20" t="str">
        <f t="shared" si="205"/>
        <v>ON</v>
      </c>
      <c r="AO437" s="20" t="str">
        <f t="shared" si="200"/>
        <v>ON</v>
      </c>
    </row>
    <row r="438" spans="1:41">
      <c r="A438" t="str">
        <f t="shared" ca="1" si="174"/>
        <v>Lagos</v>
      </c>
      <c r="B438" t="str">
        <f t="shared" ca="1" si="175"/>
        <v>B</v>
      </c>
      <c r="C438" t="str">
        <f t="shared" ca="1" si="176"/>
        <v>A1</v>
      </c>
      <c r="D438" t="s">
        <v>7</v>
      </c>
      <c r="E438">
        <f t="shared" ca="1" si="177"/>
        <v>25</v>
      </c>
      <c r="F438">
        <f t="shared" ca="1" si="178"/>
        <v>2</v>
      </c>
      <c r="G438" t="str">
        <v>B</v>
      </c>
      <c r="H438" t="str">
        <v>B</v>
      </c>
      <c r="I438" t="str">
        <f ca="1">IF($A438="","",IF(COUNTA($R$2:$W$2)=6,"WK "&amp;_xlfn.ISOWEEKNUM($R$2)))</f>
        <v>WK 19</v>
      </c>
      <c r="J438" t="str">
        <f ca="1">IF($A438="","",IF(COUNTA($AF$2:$AK$2)=6,"WK "&amp;_xlfn.ISOWEEKNUM($AF$2)))</f>
        <v>WK 21</v>
      </c>
      <c r="K438" s="20" t="str">
        <f t="shared" ca="1" si="201"/>
        <v>ON</v>
      </c>
      <c r="L438" s="20" t="str">
        <f t="shared" ca="1" si="201"/>
        <v>ON</v>
      </c>
      <c r="M438" s="1" t="str">
        <f t="shared" ca="1" si="180"/>
        <v>ON</v>
      </c>
      <c r="N438" s="1" t="str">
        <f t="shared" ca="1" si="181"/>
        <v>ON</v>
      </c>
      <c r="O438" s="1" t="str">
        <f t="shared" ca="1" si="182"/>
        <v>ON</v>
      </c>
      <c r="P438" s="1" t="str">
        <f t="shared" ca="1" si="183"/>
        <v>ON</v>
      </c>
      <c r="Q438" s="1"/>
      <c r="R438" s="20" t="str">
        <f t="shared" ca="1" si="202"/>
        <v>ON</v>
      </c>
      <c r="S438" s="20" t="str">
        <f t="shared" ca="1" si="202"/>
        <v>ON</v>
      </c>
      <c r="T438" s="1" t="str">
        <f t="shared" ca="1" si="185"/>
        <v>ON</v>
      </c>
      <c r="U438" s="1" t="str">
        <f t="shared" ca="1" si="186"/>
        <v>OFF</v>
      </c>
      <c r="V438" s="1" t="str">
        <f t="shared" ca="1" si="187"/>
        <v>ON</v>
      </c>
      <c r="W438" s="1" t="str">
        <f t="shared" ca="1" si="188"/>
        <v>ON</v>
      </c>
      <c r="X438" s="1"/>
      <c r="Y438" s="20" t="str">
        <f t="shared" ca="1" si="203"/>
        <v>ON</v>
      </c>
      <c r="Z438" s="20" t="str">
        <f t="shared" ca="1" si="203"/>
        <v>ON</v>
      </c>
      <c r="AA438" s="1" t="str">
        <f t="shared" ca="1" si="190"/>
        <v>ON</v>
      </c>
      <c r="AB438" s="1" t="str">
        <f t="shared" ca="1" si="191"/>
        <v>ON</v>
      </c>
      <c r="AC438" s="1" t="str">
        <f t="shared" ca="1" si="192"/>
        <v>ON</v>
      </c>
      <c r="AD438" s="1" t="str">
        <f t="shared" ca="1" si="193"/>
        <v>ON</v>
      </c>
      <c r="AE438" s="1"/>
      <c r="AF438" s="20" t="str">
        <f t="shared" ca="1" si="204"/>
        <v>ON</v>
      </c>
      <c r="AG438" s="20" t="str">
        <f t="shared" ca="1" si="204"/>
        <v>ON</v>
      </c>
      <c r="AH438" s="1" t="str">
        <f t="shared" ca="1" si="195"/>
        <v>ON</v>
      </c>
      <c r="AI438" s="1" t="str">
        <f t="shared" ca="1" si="196"/>
        <v>OFF</v>
      </c>
      <c r="AJ438" s="1" t="str">
        <f t="shared" ca="1" si="197"/>
        <v>ON</v>
      </c>
      <c r="AK438" s="1" t="str">
        <f t="shared" ca="1" si="198"/>
        <v>ON</v>
      </c>
      <c r="AL438" s="1"/>
      <c r="AM438" s="20" t="str">
        <f t="shared" si="205"/>
        <v>ON</v>
      </c>
      <c r="AN438" s="20" t="str">
        <f t="shared" si="205"/>
        <v>ON</v>
      </c>
      <c r="AO438" s="20" t="str">
        <f t="shared" si="200"/>
        <v>ON</v>
      </c>
    </row>
    <row r="439" spans="1:41">
      <c r="A439" t="str">
        <f t="shared" ca="1" si="174"/>
        <v>Oyo</v>
      </c>
      <c r="B439" t="str">
        <f t="shared" ca="1" si="175"/>
        <v>B</v>
      </c>
      <c r="C439" t="str">
        <f t="shared" ca="1" si="176"/>
        <v>D1</v>
      </c>
      <c r="D439" t="s">
        <v>4</v>
      </c>
      <c r="E439">
        <f t="shared" ca="1" si="177"/>
        <v>25</v>
      </c>
      <c r="F439">
        <f t="shared" ca="1" si="178"/>
        <v>2</v>
      </c>
      <c r="G439" t="str">
        <v>C</v>
      </c>
      <c r="H439" t="str">
        <v>C</v>
      </c>
      <c r="I439" t="str">
        <f ca="1">IF($A439="","",IF(COUNTA($K$2:$P$2)=6,"WK "&amp;_xlfn.ISOWEEKNUM($K$2)))</f>
        <v>WK 18</v>
      </c>
      <c r="J439" t="str">
        <f ca="1">IF($A439="","",IF(COUNTA($Y$2:$AD$2)=6,"WK "&amp;_xlfn.ISOWEEKNUM($Y$2)))</f>
        <v>WK 20</v>
      </c>
      <c r="K439" s="20" t="str">
        <f t="shared" ca="1" si="201"/>
        <v>ON</v>
      </c>
      <c r="L439" s="20" t="str">
        <f t="shared" ca="1" si="201"/>
        <v>ON</v>
      </c>
      <c r="M439" s="1" t="str">
        <f t="shared" ca="1" si="180"/>
        <v>ON</v>
      </c>
      <c r="N439" s="1" t="str">
        <f t="shared" ca="1" si="181"/>
        <v>ON</v>
      </c>
      <c r="O439" s="1" t="str">
        <f t="shared" ca="1" si="182"/>
        <v>OFF</v>
      </c>
      <c r="P439" s="1" t="str">
        <f t="shared" ca="1" si="183"/>
        <v>ON</v>
      </c>
      <c r="Q439" s="1"/>
      <c r="R439" s="20" t="str">
        <f t="shared" ca="1" si="202"/>
        <v>ON</v>
      </c>
      <c r="S439" s="20" t="str">
        <f t="shared" ca="1" si="202"/>
        <v>ON</v>
      </c>
      <c r="T439" s="1" t="str">
        <f t="shared" ca="1" si="185"/>
        <v>ON</v>
      </c>
      <c r="U439" s="1" t="str">
        <f t="shared" ca="1" si="186"/>
        <v>ON</v>
      </c>
      <c r="V439" s="1" t="str">
        <f t="shared" ca="1" si="187"/>
        <v>ON</v>
      </c>
      <c r="W439" s="1" t="str">
        <f t="shared" ca="1" si="188"/>
        <v>ON</v>
      </c>
      <c r="X439" s="1"/>
      <c r="Y439" s="20" t="str">
        <f t="shared" ca="1" si="203"/>
        <v>ON</v>
      </c>
      <c r="Z439" s="20" t="str">
        <f t="shared" ca="1" si="203"/>
        <v>ON</v>
      </c>
      <c r="AA439" s="1" t="str">
        <f t="shared" ca="1" si="190"/>
        <v>ON</v>
      </c>
      <c r="AB439" s="1" t="str">
        <f t="shared" ca="1" si="191"/>
        <v>ON</v>
      </c>
      <c r="AC439" s="1" t="str">
        <f t="shared" ca="1" si="192"/>
        <v>OFF</v>
      </c>
      <c r="AD439" s="1" t="str">
        <f t="shared" ca="1" si="193"/>
        <v>ON</v>
      </c>
      <c r="AE439" s="1"/>
      <c r="AF439" s="20" t="str">
        <f t="shared" ca="1" si="204"/>
        <v>ON</v>
      </c>
      <c r="AG439" s="20" t="str">
        <f t="shared" ca="1" si="204"/>
        <v>ON</v>
      </c>
      <c r="AH439" s="1" t="str">
        <f t="shared" ca="1" si="195"/>
        <v>ON</v>
      </c>
      <c r="AI439" s="1" t="str">
        <f t="shared" ca="1" si="196"/>
        <v>ON</v>
      </c>
      <c r="AJ439" s="1" t="str">
        <f t="shared" ca="1" si="197"/>
        <v>ON</v>
      </c>
      <c r="AK439" s="1" t="str">
        <f t="shared" ca="1" si="198"/>
        <v>ON</v>
      </c>
      <c r="AL439" s="1"/>
      <c r="AM439" s="20" t="str">
        <f t="shared" si="205"/>
        <v>ON</v>
      </c>
      <c r="AN439" s="20" t="str">
        <f t="shared" si="205"/>
        <v>ON</v>
      </c>
      <c r="AO439" s="20" t="str">
        <f t="shared" si="200"/>
        <v>ON</v>
      </c>
    </row>
    <row r="440" spans="1:41">
      <c r="A440" t="str">
        <f t="shared" ca="1" si="174"/>
        <v>Oyo</v>
      </c>
      <c r="B440" t="str">
        <f t="shared" ca="1" si="175"/>
        <v>E</v>
      </c>
      <c r="C440" t="str">
        <f t="shared" ca="1" si="176"/>
        <v>B1</v>
      </c>
      <c r="D440" t="s">
        <v>4</v>
      </c>
      <c r="E440">
        <f t="shared" ca="1" si="177"/>
        <v>25</v>
      </c>
      <c r="F440">
        <f t="shared" ca="1" si="178"/>
        <v>2</v>
      </c>
      <c r="G440" t="str">
        <v>D</v>
      </c>
      <c r="H440" t="str">
        <v>D</v>
      </c>
      <c r="I440" t="str">
        <f ca="1">IF($A440="","",IF(COUNTA($R$2:$W$2)=6,"WK "&amp;_xlfn.ISOWEEKNUM($R$2)))</f>
        <v>WK 19</v>
      </c>
      <c r="J440" t="str">
        <f ca="1">IF($A440="","",IF(COUNTA($AF$2:$AK$2)=6,"WK "&amp;_xlfn.ISOWEEKNUM($AF$2)))</f>
        <v>WK 21</v>
      </c>
      <c r="K440" s="20" t="str">
        <f t="shared" ca="1" si="201"/>
        <v>ON</v>
      </c>
      <c r="L440" s="20" t="str">
        <f t="shared" ca="1" si="201"/>
        <v>ON</v>
      </c>
      <c r="M440" s="1" t="str">
        <f t="shared" ca="1" si="180"/>
        <v>ON</v>
      </c>
      <c r="N440" s="1" t="str">
        <f t="shared" ca="1" si="181"/>
        <v>ON</v>
      </c>
      <c r="O440" s="1" t="str">
        <f t="shared" ca="1" si="182"/>
        <v>ON</v>
      </c>
      <c r="P440" s="1" t="str">
        <f t="shared" ca="1" si="183"/>
        <v>ON</v>
      </c>
      <c r="Q440" s="1"/>
      <c r="R440" s="20" t="str">
        <f t="shared" ca="1" si="202"/>
        <v>ON</v>
      </c>
      <c r="S440" s="20" t="str">
        <f t="shared" ca="1" si="202"/>
        <v>ON</v>
      </c>
      <c r="T440" s="1" t="str">
        <f t="shared" ca="1" si="185"/>
        <v>ON</v>
      </c>
      <c r="U440" s="1" t="str">
        <f t="shared" ca="1" si="186"/>
        <v>ON</v>
      </c>
      <c r="V440" s="1" t="str">
        <f t="shared" ca="1" si="187"/>
        <v>ON</v>
      </c>
      <c r="W440" s="1" t="str">
        <f t="shared" ca="1" si="188"/>
        <v>OFF</v>
      </c>
      <c r="X440" s="1"/>
      <c r="Y440" s="20" t="str">
        <f t="shared" ca="1" si="203"/>
        <v>ON</v>
      </c>
      <c r="Z440" s="20" t="str">
        <f t="shared" ca="1" si="203"/>
        <v>ON</v>
      </c>
      <c r="AA440" s="1" t="str">
        <f t="shared" ca="1" si="190"/>
        <v>ON</v>
      </c>
      <c r="AB440" s="1" t="str">
        <f t="shared" ca="1" si="191"/>
        <v>ON</v>
      </c>
      <c r="AC440" s="1" t="str">
        <f t="shared" ca="1" si="192"/>
        <v>ON</v>
      </c>
      <c r="AD440" s="1" t="str">
        <f t="shared" ca="1" si="193"/>
        <v>ON</v>
      </c>
      <c r="AE440" s="1"/>
      <c r="AF440" s="20" t="str">
        <f t="shared" ca="1" si="204"/>
        <v>ON</v>
      </c>
      <c r="AG440" s="20" t="str">
        <f t="shared" ca="1" si="204"/>
        <v>ON</v>
      </c>
      <c r="AH440" s="1" t="str">
        <f t="shared" ca="1" si="195"/>
        <v>ON</v>
      </c>
      <c r="AI440" s="1" t="str">
        <f t="shared" ca="1" si="196"/>
        <v>ON</v>
      </c>
      <c r="AJ440" s="1" t="str">
        <f t="shared" ca="1" si="197"/>
        <v>ON</v>
      </c>
      <c r="AK440" s="1" t="str">
        <f t="shared" ca="1" si="198"/>
        <v>OFF</v>
      </c>
      <c r="AL440" s="1"/>
      <c r="AM440" s="20" t="str">
        <f t="shared" si="205"/>
        <v>ON</v>
      </c>
      <c r="AN440" s="20" t="str">
        <f t="shared" si="205"/>
        <v>ON</v>
      </c>
      <c r="AO440" s="20" t="str">
        <f t="shared" si="200"/>
        <v>ON</v>
      </c>
    </row>
    <row r="441" spans="1:41">
      <c r="A441" t="str">
        <f t="shared" ca="1" si="174"/>
        <v>Ekiti</v>
      </c>
      <c r="B441" t="str">
        <f t="shared" ca="1" si="175"/>
        <v>A</v>
      </c>
      <c r="C441" t="str">
        <f t="shared" ca="1" si="176"/>
        <v>C1</v>
      </c>
      <c r="D441" t="s">
        <v>4</v>
      </c>
      <c r="E441">
        <f t="shared" ca="1" si="177"/>
        <v>25</v>
      </c>
      <c r="F441">
        <f t="shared" ca="1" si="178"/>
        <v>2</v>
      </c>
      <c r="G441" t="str" cm="1">
        <f t="array" ref="G441:G444">IF($G$5:$G$8={"A";"B";"C";"D"},{"D";"C";"B";"A"},{"A";"B";"C";"D"})</f>
        <v>D</v>
      </c>
      <c r="H441" t="str" cm="1">
        <f t="array" ref="H441:H444">IF($H$5:$H$8={"A";"B";"C";"D"},{"D";"C";"B";"A"},{"A";"B";"C";"D"})</f>
        <v>D</v>
      </c>
      <c r="I441" t="str">
        <f ca="1">IF($A441="","",IF(COUNTA($K$2:$P$2)=6,"WK "&amp;_xlfn.ISOWEEKNUM($K$2)))</f>
        <v>WK 18</v>
      </c>
      <c r="J441" t="str">
        <f ca="1">IF($A441="","",IF(COUNTA($Y$2:$AD$2)=6,"WK "&amp;_xlfn.ISOWEEKNUM($Y$2)))</f>
        <v>WK 20</v>
      </c>
      <c r="K441" s="20" t="str">
        <f t="shared" ca="1" si="201"/>
        <v>ON</v>
      </c>
      <c r="L441" s="20" t="str">
        <f t="shared" ca="1" si="201"/>
        <v>ON</v>
      </c>
      <c r="M441" s="1" t="str">
        <f t="shared" ca="1" si="180"/>
        <v>ON</v>
      </c>
      <c r="N441" s="1" t="str">
        <f t="shared" ca="1" si="181"/>
        <v>ON</v>
      </c>
      <c r="O441" s="1" t="str">
        <f t="shared" ca="1" si="182"/>
        <v>ON</v>
      </c>
      <c r="P441" s="1" t="str">
        <f t="shared" ca="1" si="183"/>
        <v>OFF</v>
      </c>
      <c r="Q441" s="1"/>
      <c r="R441" s="20" t="str">
        <f t="shared" ca="1" si="202"/>
        <v>ON</v>
      </c>
      <c r="S441" s="20" t="str">
        <f t="shared" ca="1" si="202"/>
        <v>ON</v>
      </c>
      <c r="T441" s="1" t="str">
        <f t="shared" ca="1" si="185"/>
        <v>ON</v>
      </c>
      <c r="U441" s="1" t="str">
        <f t="shared" ca="1" si="186"/>
        <v>ON</v>
      </c>
      <c r="V441" s="1" t="str">
        <f t="shared" ca="1" si="187"/>
        <v>ON</v>
      </c>
      <c r="W441" s="1" t="str">
        <f t="shared" ca="1" si="188"/>
        <v>ON</v>
      </c>
      <c r="X441" s="1"/>
      <c r="Y441" s="20" t="str">
        <f t="shared" ca="1" si="203"/>
        <v>ON</v>
      </c>
      <c r="Z441" s="20" t="str">
        <f t="shared" ca="1" si="203"/>
        <v>ON</v>
      </c>
      <c r="AA441" s="1" t="str">
        <f t="shared" ca="1" si="190"/>
        <v>ON</v>
      </c>
      <c r="AB441" s="1" t="str">
        <f t="shared" ca="1" si="191"/>
        <v>ON</v>
      </c>
      <c r="AC441" s="1" t="str">
        <f t="shared" ca="1" si="192"/>
        <v>ON</v>
      </c>
      <c r="AD441" s="1" t="str">
        <f t="shared" ca="1" si="193"/>
        <v>OFF</v>
      </c>
      <c r="AE441" s="1"/>
      <c r="AF441" s="20" t="str">
        <f t="shared" ca="1" si="204"/>
        <v>ON</v>
      </c>
      <c r="AG441" s="20" t="str">
        <f t="shared" ca="1" si="204"/>
        <v>ON</v>
      </c>
      <c r="AH441" s="1" t="str">
        <f t="shared" ca="1" si="195"/>
        <v>ON</v>
      </c>
      <c r="AI441" s="1" t="str">
        <f t="shared" ca="1" si="196"/>
        <v>ON</v>
      </c>
      <c r="AJ441" s="1" t="str">
        <f t="shared" ca="1" si="197"/>
        <v>ON</v>
      </c>
      <c r="AK441" s="1" t="str">
        <f t="shared" ca="1" si="198"/>
        <v>ON</v>
      </c>
      <c r="AL441" s="1"/>
      <c r="AM441" s="20" t="str">
        <f t="shared" si="205"/>
        <v>ON</v>
      </c>
      <c r="AN441" s="20" t="str">
        <f t="shared" si="205"/>
        <v>ON</v>
      </c>
      <c r="AO441" s="20" t="str">
        <f t="shared" si="200"/>
        <v>ON</v>
      </c>
    </row>
    <row r="442" spans="1:41">
      <c r="A442" t="str">
        <f t="shared" ca="1" si="174"/>
        <v>Ogun</v>
      </c>
      <c r="B442" t="str">
        <f t="shared" ca="1" si="175"/>
        <v>E</v>
      </c>
      <c r="C442" t="str">
        <f t="shared" ca="1" si="176"/>
        <v>D1</v>
      </c>
      <c r="D442" t="s">
        <v>5</v>
      </c>
      <c r="E442">
        <f t="shared" ca="1" si="177"/>
        <v>25</v>
      </c>
      <c r="F442">
        <f t="shared" ca="1" si="178"/>
        <v>2</v>
      </c>
      <c r="G442" t="str">
        <v>C</v>
      </c>
      <c r="H442" t="str">
        <v>C</v>
      </c>
      <c r="I442" t="str">
        <f ca="1">IF($A442="","",IF(COUNTA($R$2:$W$2)=6,"WK "&amp;_xlfn.ISOWEEKNUM($R$2)))</f>
        <v>WK 19</v>
      </c>
      <c r="J442" t="str">
        <f ca="1">IF($A442="","",IF(COUNTA($AF$2:$AK$2)=6,"WK "&amp;_xlfn.ISOWEEKNUM($AF$2)))</f>
        <v>WK 21</v>
      </c>
      <c r="K442" s="20" t="str">
        <f t="shared" ca="1" si="201"/>
        <v>ON</v>
      </c>
      <c r="L442" s="20" t="str">
        <f t="shared" ca="1" si="201"/>
        <v>ON</v>
      </c>
      <c r="M442" s="1" t="str">
        <f t="shared" ca="1" si="180"/>
        <v>ON</v>
      </c>
      <c r="N442" s="1" t="str">
        <f t="shared" ca="1" si="181"/>
        <v>ON</v>
      </c>
      <c r="O442" s="1" t="str">
        <f t="shared" ca="1" si="182"/>
        <v>ON</v>
      </c>
      <c r="P442" s="1" t="str">
        <f t="shared" ca="1" si="183"/>
        <v>ON</v>
      </c>
      <c r="Q442" s="1"/>
      <c r="R442" s="20" t="str">
        <f t="shared" ca="1" si="202"/>
        <v>ON</v>
      </c>
      <c r="S442" s="20" t="str">
        <f t="shared" ca="1" si="202"/>
        <v>ON</v>
      </c>
      <c r="T442" s="1" t="str">
        <f t="shared" ca="1" si="185"/>
        <v>ON</v>
      </c>
      <c r="U442" s="1" t="str">
        <f t="shared" ca="1" si="186"/>
        <v>ON</v>
      </c>
      <c r="V442" s="1" t="str">
        <f t="shared" ca="1" si="187"/>
        <v>OFF</v>
      </c>
      <c r="W442" s="1" t="str">
        <f t="shared" ca="1" si="188"/>
        <v>ON</v>
      </c>
      <c r="X442" s="1"/>
      <c r="Y442" s="20" t="str">
        <f t="shared" ca="1" si="203"/>
        <v>ON</v>
      </c>
      <c r="Z442" s="20" t="str">
        <f t="shared" ca="1" si="203"/>
        <v>ON</v>
      </c>
      <c r="AA442" s="1" t="str">
        <f t="shared" ca="1" si="190"/>
        <v>ON</v>
      </c>
      <c r="AB442" s="1" t="str">
        <f t="shared" ca="1" si="191"/>
        <v>ON</v>
      </c>
      <c r="AC442" s="1" t="str">
        <f t="shared" ca="1" si="192"/>
        <v>ON</v>
      </c>
      <c r="AD442" s="1" t="str">
        <f t="shared" ca="1" si="193"/>
        <v>ON</v>
      </c>
      <c r="AE442" s="1"/>
      <c r="AF442" s="20" t="str">
        <f t="shared" ca="1" si="204"/>
        <v>ON</v>
      </c>
      <c r="AG442" s="20" t="str">
        <f t="shared" ca="1" si="204"/>
        <v>ON</v>
      </c>
      <c r="AH442" s="1" t="str">
        <f t="shared" ca="1" si="195"/>
        <v>ON</v>
      </c>
      <c r="AI442" s="1" t="str">
        <f t="shared" ca="1" si="196"/>
        <v>ON</v>
      </c>
      <c r="AJ442" s="1" t="str">
        <f t="shared" ca="1" si="197"/>
        <v>OFF</v>
      </c>
      <c r="AK442" s="1" t="str">
        <f t="shared" ca="1" si="198"/>
        <v>ON</v>
      </c>
      <c r="AL442" s="1"/>
      <c r="AM442" s="20" t="str">
        <f t="shared" si="205"/>
        <v>ON</v>
      </c>
      <c r="AN442" s="20" t="str">
        <f t="shared" si="205"/>
        <v>ON</v>
      </c>
      <c r="AO442" s="20" t="str">
        <f t="shared" si="200"/>
        <v>ON</v>
      </c>
    </row>
    <row r="443" spans="1:41">
      <c r="A443" t="str">
        <f t="shared" ca="1" si="174"/>
        <v>Oyo</v>
      </c>
      <c r="B443" t="str">
        <f t="shared" ca="1" si="175"/>
        <v>D</v>
      </c>
      <c r="C443" t="str">
        <f t="shared" ca="1" si="176"/>
        <v>B1</v>
      </c>
      <c r="D443" t="s">
        <v>5</v>
      </c>
      <c r="E443">
        <f t="shared" ca="1" si="177"/>
        <v>25</v>
      </c>
      <c r="F443">
        <f t="shared" ca="1" si="178"/>
        <v>2</v>
      </c>
      <c r="G443" t="str">
        <v>B</v>
      </c>
      <c r="H443" t="str">
        <v>B</v>
      </c>
      <c r="I443" t="str">
        <f ca="1">IF($A443="","",IF(COUNTA($K$2:$P$2)=6,"WK "&amp;_xlfn.ISOWEEKNUM($K$2)))</f>
        <v>WK 18</v>
      </c>
      <c r="J443" t="str">
        <f ca="1">IF($A443="","",IF(COUNTA($Y$2:$AD$2)=6,"WK "&amp;_xlfn.ISOWEEKNUM($Y$2)))</f>
        <v>WK 20</v>
      </c>
      <c r="K443" s="20" t="str">
        <f t="shared" ca="1" si="201"/>
        <v>ON</v>
      </c>
      <c r="L443" s="20" t="str">
        <f t="shared" ca="1" si="201"/>
        <v>ON</v>
      </c>
      <c r="M443" s="1" t="str">
        <f t="shared" ca="1" si="180"/>
        <v>ON</v>
      </c>
      <c r="N443" s="1" t="str">
        <f t="shared" ca="1" si="181"/>
        <v>OFF</v>
      </c>
      <c r="O443" s="1" t="str">
        <f t="shared" ca="1" si="182"/>
        <v>ON</v>
      </c>
      <c r="P443" s="1" t="str">
        <f t="shared" ca="1" si="183"/>
        <v>ON</v>
      </c>
      <c r="Q443" s="1"/>
      <c r="R443" s="20" t="str">
        <f t="shared" ca="1" si="202"/>
        <v>ON</v>
      </c>
      <c r="S443" s="20" t="str">
        <f t="shared" ca="1" si="202"/>
        <v>ON</v>
      </c>
      <c r="T443" s="1" t="str">
        <f t="shared" ca="1" si="185"/>
        <v>ON</v>
      </c>
      <c r="U443" s="1" t="str">
        <f t="shared" ca="1" si="186"/>
        <v>ON</v>
      </c>
      <c r="V443" s="1" t="str">
        <f t="shared" ca="1" si="187"/>
        <v>ON</v>
      </c>
      <c r="W443" s="1" t="str">
        <f t="shared" ca="1" si="188"/>
        <v>ON</v>
      </c>
      <c r="X443" s="1"/>
      <c r="Y443" s="20" t="str">
        <f t="shared" ca="1" si="203"/>
        <v>ON</v>
      </c>
      <c r="Z443" s="20" t="str">
        <f t="shared" ca="1" si="203"/>
        <v>ON</v>
      </c>
      <c r="AA443" s="1" t="str">
        <f t="shared" ca="1" si="190"/>
        <v>ON</v>
      </c>
      <c r="AB443" s="1" t="str">
        <f t="shared" ca="1" si="191"/>
        <v>OFF</v>
      </c>
      <c r="AC443" s="1" t="str">
        <f t="shared" ca="1" si="192"/>
        <v>ON</v>
      </c>
      <c r="AD443" s="1" t="str">
        <f t="shared" ca="1" si="193"/>
        <v>ON</v>
      </c>
      <c r="AE443" s="1"/>
      <c r="AF443" s="20" t="str">
        <f t="shared" ca="1" si="204"/>
        <v>ON</v>
      </c>
      <c r="AG443" s="20" t="str">
        <f t="shared" ca="1" si="204"/>
        <v>ON</v>
      </c>
      <c r="AH443" s="1" t="str">
        <f t="shared" ca="1" si="195"/>
        <v>ON</v>
      </c>
      <c r="AI443" s="1" t="str">
        <f t="shared" ca="1" si="196"/>
        <v>ON</v>
      </c>
      <c r="AJ443" s="1" t="str">
        <f t="shared" ca="1" si="197"/>
        <v>ON</v>
      </c>
      <c r="AK443" s="1" t="str">
        <f t="shared" ca="1" si="198"/>
        <v>ON</v>
      </c>
      <c r="AL443" s="1"/>
      <c r="AM443" s="20" t="str">
        <f t="shared" si="205"/>
        <v>ON</v>
      </c>
      <c r="AN443" s="20" t="str">
        <f t="shared" si="205"/>
        <v>ON</v>
      </c>
      <c r="AO443" s="20" t="str">
        <f t="shared" si="200"/>
        <v>ON</v>
      </c>
    </row>
    <row r="444" spans="1:41">
      <c r="A444" t="str">
        <f t="shared" ca="1" si="174"/>
        <v>Ondo</v>
      </c>
      <c r="B444" t="str">
        <f t="shared" ca="1" si="175"/>
        <v>D</v>
      </c>
      <c r="C444" t="str">
        <f t="shared" ca="1" si="176"/>
        <v>A1</v>
      </c>
      <c r="D444" t="s">
        <v>5</v>
      </c>
      <c r="E444">
        <f t="shared" ca="1" si="177"/>
        <v>25</v>
      </c>
      <c r="F444">
        <f t="shared" ca="1" si="178"/>
        <v>2</v>
      </c>
      <c r="G444" t="str">
        <v>A</v>
      </c>
      <c r="H444" t="str">
        <v>A</v>
      </c>
      <c r="I444" t="str">
        <f ca="1">IF($A444="","",IF(COUNTA($R$2:$W$2)=6,"WK "&amp;_xlfn.ISOWEEKNUM($R$2)))</f>
        <v>WK 19</v>
      </c>
      <c r="J444" t="str">
        <f ca="1">IF($A444="","",IF(COUNTA($AF$2:$AK$2)=6,"WK "&amp;_xlfn.ISOWEEKNUM($AF$2)))</f>
        <v>WK 21</v>
      </c>
      <c r="K444" s="20" t="str">
        <f t="shared" ca="1" si="201"/>
        <v>ON</v>
      </c>
      <c r="L444" s="20" t="str">
        <f t="shared" ca="1" si="201"/>
        <v>ON</v>
      </c>
      <c r="M444" s="1" t="str">
        <f t="shared" ca="1" si="180"/>
        <v>ON</v>
      </c>
      <c r="N444" s="1" t="str">
        <f t="shared" ca="1" si="181"/>
        <v>ON</v>
      </c>
      <c r="O444" s="1" t="str">
        <f t="shared" ca="1" si="182"/>
        <v>ON</v>
      </c>
      <c r="P444" s="1" t="str">
        <f t="shared" ca="1" si="183"/>
        <v>ON</v>
      </c>
      <c r="Q444" s="1"/>
      <c r="R444" s="20" t="str">
        <f t="shared" ca="1" si="202"/>
        <v>ON</v>
      </c>
      <c r="S444" s="20" t="str">
        <f t="shared" ca="1" si="202"/>
        <v>ON</v>
      </c>
      <c r="T444" s="1" t="str">
        <f t="shared" ca="1" si="185"/>
        <v>OFF</v>
      </c>
      <c r="U444" s="1" t="str">
        <f t="shared" ca="1" si="186"/>
        <v>ON</v>
      </c>
      <c r="V444" s="1" t="str">
        <f t="shared" ca="1" si="187"/>
        <v>ON</v>
      </c>
      <c r="W444" s="1" t="str">
        <f t="shared" ca="1" si="188"/>
        <v>ON</v>
      </c>
      <c r="X444" s="1"/>
      <c r="Y444" s="20" t="str">
        <f t="shared" ca="1" si="203"/>
        <v>ON</v>
      </c>
      <c r="Z444" s="20" t="str">
        <f t="shared" ca="1" si="203"/>
        <v>ON</v>
      </c>
      <c r="AA444" s="1" t="str">
        <f t="shared" ca="1" si="190"/>
        <v>ON</v>
      </c>
      <c r="AB444" s="1" t="str">
        <f t="shared" ca="1" si="191"/>
        <v>ON</v>
      </c>
      <c r="AC444" s="1" t="str">
        <f t="shared" ca="1" si="192"/>
        <v>ON</v>
      </c>
      <c r="AD444" s="1" t="str">
        <f t="shared" ca="1" si="193"/>
        <v>ON</v>
      </c>
      <c r="AE444" s="1"/>
      <c r="AF444" s="20" t="str">
        <f t="shared" ca="1" si="204"/>
        <v>ON</v>
      </c>
      <c r="AG444" s="20" t="str">
        <f t="shared" ca="1" si="204"/>
        <v>ON</v>
      </c>
      <c r="AH444" s="1" t="str">
        <f t="shared" ca="1" si="195"/>
        <v>OFF</v>
      </c>
      <c r="AI444" s="1" t="str">
        <f t="shared" ca="1" si="196"/>
        <v>ON</v>
      </c>
      <c r="AJ444" s="1" t="str">
        <f t="shared" ca="1" si="197"/>
        <v>ON</v>
      </c>
      <c r="AK444" s="1" t="str">
        <f t="shared" ca="1" si="198"/>
        <v>ON</v>
      </c>
      <c r="AL444" s="1"/>
      <c r="AM444" s="20" t="str">
        <f t="shared" si="205"/>
        <v>ON</v>
      </c>
      <c r="AN444" s="20" t="str">
        <f t="shared" si="205"/>
        <v>ON</v>
      </c>
      <c r="AO444" s="20" t="str">
        <f t="shared" si="200"/>
        <v>ON</v>
      </c>
    </row>
    <row r="445" spans="1:41">
      <c r="A445" t="str">
        <f t="shared" ca="1" si="174"/>
        <v>Ekiti</v>
      </c>
      <c r="B445" t="str">
        <f t="shared" ca="1" si="175"/>
        <v>C</v>
      </c>
      <c r="C445" t="str">
        <f t="shared" ca="1" si="176"/>
        <v>E1</v>
      </c>
      <c r="D445" t="s">
        <v>5</v>
      </c>
      <c r="E445">
        <f t="shared" ca="1" si="177"/>
        <v>25</v>
      </c>
      <c r="F445">
        <f t="shared" ca="1" si="178"/>
        <v>2</v>
      </c>
      <c r="G445" t="str" cm="1">
        <f t="array" ref="G445:G448">Groups!$B$2:$B$5</f>
        <v>A</v>
      </c>
      <c r="H445" t="str" cm="1">
        <f t="array" ref="H445:H448">Groups!$B$2:$B$5</f>
        <v>A</v>
      </c>
      <c r="I445" t="str">
        <f ca="1">IF($A445="","",IF(COUNTA($K$2:$P$2)=6,"WK "&amp;_xlfn.ISOWEEKNUM($K$2)))</f>
        <v>WK 18</v>
      </c>
      <c r="J445" t="str">
        <f ca="1">IF($A445="","",IF(COUNTA($Y$2:$AD$2)=6,"WK "&amp;_xlfn.ISOWEEKNUM($Y$2)))</f>
        <v>WK 20</v>
      </c>
      <c r="K445" s="20" t="str">
        <f t="shared" ca="1" si="201"/>
        <v>ON</v>
      </c>
      <c r="L445" s="20" t="str">
        <f t="shared" ca="1" si="201"/>
        <v>ON</v>
      </c>
      <c r="M445" s="1" t="str">
        <f t="shared" ca="1" si="180"/>
        <v>OFF</v>
      </c>
      <c r="N445" s="1" t="str">
        <f t="shared" ca="1" si="181"/>
        <v>ON</v>
      </c>
      <c r="O445" s="1" t="str">
        <f t="shared" ca="1" si="182"/>
        <v>ON</v>
      </c>
      <c r="P445" s="1" t="str">
        <f t="shared" ca="1" si="183"/>
        <v>ON</v>
      </c>
      <c r="Q445" s="1"/>
      <c r="R445" s="20" t="str">
        <f t="shared" ca="1" si="202"/>
        <v>ON</v>
      </c>
      <c r="S445" s="20" t="str">
        <f t="shared" ca="1" si="202"/>
        <v>ON</v>
      </c>
      <c r="T445" s="1" t="str">
        <f t="shared" ca="1" si="185"/>
        <v>ON</v>
      </c>
      <c r="U445" s="1" t="str">
        <f t="shared" ca="1" si="186"/>
        <v>ON</v>
      </c>
      <c r="V445" s="1" t="str">
        <f t="shared" ca="1" si="187"/>
        <v>ON</v>
      </c>
      <c r="W445" s="1" t="str">
        <f t="shared" ca="1" si="188"/>
        <v>ON</v>
      </c>
      <c r="X445" s="1"/>
      <c r="Y445" s="20" t="str">
        <f t="shared" ca="1" si="203"/>
        <v>ON</v>
      </c>
      <c r="Z445" s="20" t="str">
        <f t="shared" ca="1" si="203"/>
        <v>ON</v>
      </c>
      <c r="AA445" s="1" t="str">
        <f t="shared" ca="1" si="190"/>
        <v>OFF</v>
      </c>
      <c r="AB445" s="1" t="str">
        <f t="shared" ca="1" si="191"/>
        <v>ON</v>
      </c>
      <c r="AC445" s="1" t="str">
        <f t="shared" ca="1" si="192"/>
        <v>ON</v>
      </c>
      <c r="AD445" s="1" t="str">
        <f t="shared" ca="1" si="193"/>
        <v>ON</v>
      </c>
      <c r="AE445" s="1"/>
      <c r="AF445" s="20" t="str">
        <f t="shared" ca="1" si="204"/>
        <v>ON</v>
      </c>
      <c r="AG445" s="20" t="str">
        <f t="shared" ca="1" si="204"/>
        <v>ON</v>
      </c>
      <c r="AH445" s="1" t="str">
        <f t="shared" ca="1" si="195"/>
        <v>ON</v>
      </c>
      <c r="AI445" s="1" t="str">
        <f t="shared" ca="1" si="196"/>
        <v>ON</v>
      </c>
      <c r="AJ445" s="1" t="str">
        <f t="shared" ca="1" si="197"/>
        <v>ON</v>
      </c>
      <c r="AK445" s="1" t="str">
        <f t="shared" ca="1" si="198"/>
        <v>ON</v>
      </c>
      <c r="AL445" s="1"/>
      <c r="AM445" s="20" t="str">
        <f t="shared" si="205"/>
        <v>ON</v>
      </c>
      <c r="AN445" s="20" t="str">
        <f t="shared" si="205"/>
        <v>ON</v>
      </c>
      <c r="AO445" s="20" t="str">
        <f t="shared" si="200"/>
        <v>ON</v>
      </c>
    </row>
    <row r="446" spans="1:41">
      <c r="A446" t="str">
        <f t="shared" ca="1" si="174"/>
        <v>Ondo</v>
      </c>
      <c r="B446" t="str">
        <f t="shared" ca="1" si="175"/>
        <v>C</v>
      </c>
      <c r="C446" t="str">
        <f t="shared" ca="1" si="176"/>
        <v>B1</v>
      </c>
      <c r="D446" t="s">
        <v>5</v>
      </c>
      <c r="E446">
        <f t="shared" ca="1" si="177"/>
        <v>25</v>
      </c>
      <c r="F446">
        <f t="shared" ca="1" si="178"/>
        <v>2</v>
      </c>
      <c r="G446" t="str">
        <v>B</v>
      </c>
      <c r="H446" t="str">
        <v>B</v>
      </c>
      <c r="I446" t="str">
        <f ca="1">IF($A446="","",IF(COUNTA($R$2:$W$2)=6,"WK "&amp;_xlfn.ISOWEEKNUM($R$2)))</f>
        <v>WK 19</v>
      </c>
      <c r="J446" t="str">
        <f ca="1">IF($A446="","",IF(COUNTA($AF$2:$AK$2)=6,"WK "&amp;_xlfn.ISOWEEKNUM($AF$2)))</f>
        <v>WK 21</v>
      </c>
      <c r="K446" s="20" t="str">
        <f t="shared" ca="1" si="201"/>
        <v>ON</v>
      </c>
      <c r="L446" s="20" t="str">
        <f t="shared" ca="1" si="201"/>
        <v>ON</v>
      </c>
      <c r="M446" s="1" t="str">
        <f t="shared" ca="1" si="180"/>
        <v>ON</v>
      </c>
      <c r="N446" s="1" t="str">
        <f t="shared" ca="1" si="181"/>
        <v>ON</v>
      </c>
      <c r="O446" s="1" t="str">
        <f t="shared" ca="1" si="182"/>
        <v>ON</v>
      </c>
      <c r="P446" s="1" t="str">
        <f t="shared" ca="1" si="183"/>
        <v>ON</v>
      </c>
      <c r="Q446" s="1"/>
      <c r="R446" s="20" t="str">
        <f t="shared" ca="1" si="202"/>
        <v>ON</v>
      </c>
      <c r="S446" s="20" t="str">
        <f t="shared" ca="1" si="202"/>
        <v>ON</v>
      </c>
      <c r="T446" s="1" t="str">
        <f t="shared" ca="1" si="185"/>
        <v>ON</v>
      </c>
      <c r="U446" s="1" t="str">
        <f t="shared" ca="1" si="186"/>
        <v>OFF</v>
      </c>
      <c r="V446" s="1" t="str">
        <f t="shared" ca="1" si="187"/>
        <v>ON</v>
      </c>
      <c r="W446" s="1" t="str">
        <f t="shared" ca="1" si="188"/>
        <v>ON</v>
      </c>
      <c r="X446" s="1"/>
      <c r="Y446" s="20" t="str">
        <f t="shared" ca="1" si="203"/>
        <v>ON</v>
      </c>
      <c r="Z446" s="20" t="str">
        <f t="shared" ca="1" si="203"/>
        <v>ON</v>
      </c>
      <c r="AA446" s="1" t="str">
        <f t="shared" ca="1" si="190"/>
        <v>ON</v>
      </c>
      <c r="AB446" s="1" t="str">
        <f t="shared" ca="1" si="191"/>
        <v>ON</v>
      </c>
      <c r="AC446" s="1" t="str">
        <f t="shared" ca="1" si="192"/>
        <v>ON</v>
      </c>
      <c r="AD446" s="1" t="str">
        <f t="shared" ca="1" si="193"/>
        <v>ON</v>
      </c>
      <c r="AE446" s="1"/>
      <c r="AF446" s="20" t="str">
        <f t="shared" ca="1" si="204"/>
        <v>ON</v>
      </c>
      <c r="AG446" s="20" t="str">
        <f t="shared" ca="1" si="204"/>
        <v>ON</v>
      </c>
      <c r="AH446" s="1" t="str">
        <f t="shared" ca="1" si="195"/>
        <v>ON</v>
      </c>
      <c r="AI446" s="1" t="str">
        <f t="shared" ca="1" si="196"/>
        <v>OFF</v>
      </c>
      <c r="AJ446" s="1" t="str">
        <f t="shared" ca="1" si="197"/>
        <v>ON</v>
      </c>
      <c r="AK446" s="1" t="str">
        <f t="shared" ca="1" si="198"/>
        <v>ON</v>
      </c>
      <c r="AL446" s="1"/>
      <c r="AM446" s="20" t="str">
        <f t="shared" si="205"/>
        <v>ON</v>
      </c>
      <c r="AN446" s="20" t="str">
        <f t="shared" si="205"/>
        <v>ON</v>
      </c>
      <c r="AO446" s="20" t="str">
        <f t="shared" si="200"/>
        <v>ON</v>
      </c>
    </row>
    <row r="447" spans="1:41">
      <c r="A447" t="str">
        <f t="shared" ca="1" si="174"/>
        <v>Ogun</v>
      </c>
      <c r="B447" t="str">
        <f t="shared" ca="1" si="175"/>
        <v>C</v>
      </c>
      <c r="C447" t="str">
        <f t="shared" ca="1" si="176"/>
        <v>A1</v>
      </c>
      <c r="D447" t="s">
        <v>5</v>
      </c>
      <c r="E447">
        <f t="shared" ca="1" si="177"/>
        <v>25</v>
      </c>
      <c r="F447">
        <f t="shared" ca="1" si="178"/>
        <v>2</v>
      </c>
      <c r="G447" t="str">
        <v>C</v>
      </c>
      <c r="H447" t="str">
        <v>C</v>
      </c>
      <c r="I447" t="str">
        <f ca="1">IF($A447="","",IF(COUNTA($K$2:$P$2)=6,"WK "&amp;_xlfn.ISOWEEKNUM($K$2)))</f>
        <v>WK 18</v>
      </c>
      <c r="J447" t="str">
        <f ca="1">IF($A447="","",IF(COUNTA($Y$2:$AD$2)=6,"WK "&amp;_xlfn.ISOWEEKNUM($Y$2)))</f>
        <v>WK 20</v>
      </c>
      <c r="K447" s="20" t="str">
        <f t="shared" ca="1" si="201"/>
        <v>ON</v>
      </c>
      <c r="L447" s="20" t="str">
        <f t="shared" ca="1" si="201"/>
        <v>ON</v>
      </c>
      <c r="M447" s="1" t="str">
        <f t="shared" ca="1" si="180"/>
        <v>ON</v>
      </c>
      <c r="N447" s="1" t="str">
        <f t="shared" ca="1" si="181"/>
        <v>ON</v>
      </c>
      <c r="O447" s="1" t="str">
        <f t="shared" ca="1" si="182"/>
        <v>OFF</v>
      </c>
      <c r="P447" s="1" t="str">
        <f t="shared" ca="1" si="183"/>
        <v>ON</v>
      </c>
      <c r="Q447" s="1"/>
      <c r="R447" s="20" t="str">
        <f t="shared" ca="1" si="202"/>
        <v>ON</v>
      </c>
      <c r="S447" s="20" t="str">
        <f t="shared" ca="1" si="202"/>
        <v>ON</v>
      </c>
      <c r="T447" s="1" t="str">
        <f t="shared" ca="1" si="185"/>
        <v>ON</v>
      </c>
      <c r="U447" s="1" t="str">
        <f t="shared" ca="1" si="186"/>
        <v>ON</v>
      </c>
      <c r="V447" s="1" t="str">
        <f t="shared" ca="1" si="187"/>
        <v>ON</v>
      </c>
      <c r="W447" s="1" t="str">
        <f t="shared" ca="1" si="188"/>
        <v>ON</v>
      </c>
      <c r="X447" s="1"/>
      <c r="Y447" s="20" t="str">
        <f t="shared" ca="1" si="203"/>
        <v>ON</v>
      </c>
      <c r="Z447" s="20" t="str">
        <f t="shared" ca="1" si="203"/>
        <v>ON</v>
      </c>
      <c r="AA447" s="1" t="str">
        <f t="shared" ca="1" si="190"/>
        <v>ON</v>
      </c>
      <c r="AB447" s="1" t="str">
        <f t="shared" ca="1" si="191"/>
        <v>ON</v>
      </c>
      <c r="AC447" s="1" t="str">
        <f t="shared" ca="1" si="192"/>
        <v>OFF</v>
      </c>
      <c r="AD447" s="1" t="str">
        <f t="shared" ca="1" si="193"/>
        <v>ON</v>
      </c>
      <c r="AE447" s="1"/>
      <c r="AF447" s="20" t="str">
        <f t="shared" ca="1" si="204"/>
        <v>ON</v>
      </c>
      <c r="AG447" s="20" t="str">
        <f t="shared" ca="1" si="204"/>
        <v>ON</v>
      </c>
      <c r="AH447" s="1" t="str">
        <f t="shared" ca="1" si="195"/>
        <v>ON</v>
      </c>
      <c r="AI447" s="1" t="str">
        <f t="shared" ca="1" si="196"/>
        <v>ON</v>
      </c>
      <c r="AJ447" s="1" t="str">
        <f t="shared" ca="1" si="197"/>
        <v>ON</v>
      </c>
      <c r="AK447" s="1" t="str">
        <f t="shared" ca="1" si="198"/>
        <v>ON</v>
      </c>
      <c r="AL447" s="1"/>
      <c r="AM447" s="20" t="str">
        <f t="shared" si="205"/>
        <v>ON</v>
      </c>
      <c r="AN447" s="20" t="str">
        <f t="shared" si="205"/>
        <v>ON</v>
      </c>
      <c r="AO447" s="20" t="str">
        <f t="shared" si="200"/>
        <v>ON</v>
      </c>
    </row>
    <row r="448" spans="1:41">
      <c r="A448" t="str">
        <f t="shared" ca="1" si="174"/>
        <v>Lagos</v>
      </c>
      <c r="B448" t="str">
        <f t="shared" ca="1" si="175"/>
        <v>D</v>
      </c>
      <c r="C448" t="str">
        <f t="shared" ca="1" si="176"/>
        <v>B1</v>
      </c>
      <c r="D448" t="s">
        <v>8</v>
      </c>
      <c r="E448">
        <f t="shared" ca="1" si="177"/>
        <v>25</v>
      </c>
      <c r="F448">
        <f t="shared" ca="1" si="178"/>
        <v>2</v>
      </c>
      <c r="G448" t="str">
        <v>D</v>
      </c>
      <c r="H448" t="str">
        <v>D</v>
      </c>
      <c r="I448" t="str">
        <f ca="1">IF($A448="","",IF(COUNTA($R$2:$W$2)=6,"WK "&amp;_xlfn.ISOWEEKNUM($R$2)))</f>
        <v>WK 19</v>
      </c>
      <c r="J448" t="str">
        <f ca="1">IF($A448="","",IF(COUNTA($AF$2:$AK$2)=6,"WK "&amp;_xlfn.ISOWEEKNUM($AF$2)))</f>
        <v>WK 21</v>
      </c>
      <c r="K448" s="20" t="str">
        <f t="shared" ca="1" si="201"/>
        <v>ON</v>
      </c>
      <c r="L448" s="20" t="str">
        <f t="shared" ca="1" si="201"/>
        <v>ON</v>
      </c>
      <c r="M448" s="1" t="str">
        <f t="shared" ca="1" si="180"/>
        <v>ON</v>
      </c>
      <c r="N448" s="1" t="str">
        <f t="shared" ca="1" si="181"/>
        <v>ON</v>
      </c>
      <c r="O448" s="1" t="str">
        <f t="shared" ca="1" si="182"/>
        <v>ON</v>
      </c>
      <c r="P448" s="1" t="str">
        <f t="shared" ca="1" si="183"/>
        <v>ON</v>
      </c>
      <c r="Q448" s="1"/>
      <c r="R448" s="20" t="str">
        <f t="shared" ca="1" si="202"/>
        <v>ON</v>
      </c>
      <c r="S448" s="20" t="str">
        <f t="shared" ca="1" si="202"/>
        <v>ON</v>
      </c>
      <c r="T448" s="1" t="str">
        <f t="shared" ca="1" si="185"/>
        <v>ON</v>
      </c>
      <c r="U448" s="1" t="str">
        <f t="shared" ca="1" si="186"/>
        <v>ON</v>
      </c>
      <c r="V448" s="1" t="str">
        <f t="shared" ca="1" si="187"/>
        <v>ON</v>
      </c>
      <c r="W448" s="1" t="str">
        <f t="shared" ca="1" si="188"/>
        <v>OFF</v>
      </c>
      <c r="X448" s="1"/>
      <c r="Y448" s="20" t="str">
        <f t="shared" ca="1" si="203"/>
        <v>ON</v>
      </c>
      <c r="Z448" s="20" t="str">
        <f t="shared" ca="1" si="203"/>
        <v>ON</v>
      </c>
      <c r="AA448" s="1" t="str">
        <f t="shared" ca="1" si="190"/>
        <v>ON</v>
      </c>
      <c r="AB448" s="1" t="str">
        <f t="shared" ca="1" si="191"/>
        <v>ON</v>
      </c>
      <c r="AC448" s="1" t="str">
        <f t="shared" ca="1" si="192"/>
        <v>ON</v>
      </c>
      <c r="AD448" s="1" t="str">
        <f t="shared" ca="1" si="193"/>
        <v>ON</v>
      </c>
      <c r="AE448" s="1"/>
      <c r="AF448" s="20" t="str">
        <f t="shared" ca="1" si="204"/>
        <v>ON</v>
      </c>
      <c r="AG448" s="20" t="str">
        <f t="shared" ca="1" si="204"/>
        <v>ON</v>
      </c>
      <c r="AH448" s="1" t="str">
        <f t="shared" ca="1" si="195"/>
        <v>ON</v>
      </c>
      <c r="AI448" s="1" t="str">
        <f t="shared" ca="1" si="196"/>
        <v>ON</v>
      </c>
      <c r="AJ448" s="1" t="str">
        <f t="shared" ca="1" si="197"/>
        <v>ON</v>
      </c>
      <c r="AK448" s="1" t="str">
        <f t="shared" ca="1" si="198"/>
        <v>OFF</v>
      </c>
      <c r="AL448" s="1"/>
      <c r="AM448" s="20" t="str">
        <f t="shared" si="205"/>
        <v>ON</v>
      </c>
      <c r="AN448" s="20" t="str">
        <f t="shared" si="205"/>
        <v>ON</v>
      </c>
      <c r="AO448" s="20" t="str">
        <f t="shared" si="200"/>
        <v>ON</v>
      </c>
    </row>
    <row r="449" spans="1:41">
      <c r="A449" t="str">
        <f t="shared" ca="1" si="174"/>
        <v>Ekiti</v>
      </c>
      <c r="B449" t="str">
        <f t="shared" ca="1" si="175"/>
        <v>E</v>
      </c>
      <c r="C449" t="str">
        <f t="shared" ca="1" si="176"/>
        <v>D1</v>
      </c>
      <c r="D449" t="s">
        <v>8</v>
      </c>
      <c r="E449">
        <f t="shared" ca="1" si="177"/>
        <v>25</v>
      </c>
      <c r="F449">
        <f t="shared" ca="1" si="178"/>
        <v>2</v>
      </c>
      <c r="G449" t="str" cm="1">
        <f t="array" ref="G449:G452">IF($G$5:$G$8={"A";"B";"C";"D"},{"D";"C";"B";"A"},{"A";"B";"C";"D"})</f>
        <v>D</v>
      </c>
      <c r="H449" t="str" cm="1">
        <f t="array" ref="H449:H452">IF($H$5:$H$8={"A";"B";"C";"D"},{"D";"C";"B";"A"},{"A";"B";"C";"D"})</f>
        <v>D</v>
      </c>
      <c r="I449" t="str">
        <f ca="1">IF($A449="","",IF(COUNTA($K$2:$P$2)=6,"WK "&amp;_xlfn.ISOWEEKNUM($K$2)))</f>
        <v>WK 18</v>
      </c>
      <c r="J449" t="str">
        <f ca="1">IF($A449="","",IF(COUNTA($Y$2:$AD$2)=6,"WK "&amp;_xlfn.ISOWEEKNUM($Y$2)))</f>
        <v>WK 20</v>
      </c>
      <c r="K449" s="20" t="str">
        <f t="shared" ca="1" si="201"/>
        <v>ON</v>
      </c>
      <c r="L449" s="20" t="str">
        <f t="shared" ca="1" si="201"/>
        <v>ON</v>
      </c>
      <c r="M449" s="1" t="str">
        <f t="shared" ca="1" si="180"/>
        <v>ON</v>
      </c>
      <c r="N449" s="1" t="str">
        <f t="shared" ca="1" si="181"/>
        <v>ON</v>
      </c>
      <c r="O449" s="1" t="str">
        <f t="shared" ca="1" si="182"/>
        <v>ON</v>
      </c>
      <c r="P449" s="1" t="str">
        <f t="shared" ca="1" si="183"/>
        <v>OFF</v>
      </c>
      <c r="Q449" s="1"/>
      <c r="R449" s="20" t="str">
        <f t="shared" ca="1" si="202"/>
        <v>ON</v>
      </c>
      <c r="S449" s="20" t="str">
        <f t="shared" ca="1" si="202"/>
        <v>ON</v>
      </c>
      <c r="T449" s="1" t="str">
        <f t="shared" ca="1" si="185"/>
        <v>ON</v>
      </c>
      <c r="U449" s="1" t="str">
        <f t="shared" ca="1" si="186"/>
        <v>ON</v>
      </c>
      <c r="V449" s="1" t="str">
        <f t="shared" ca="1" si="187"/>
        <v>ON</v>
      </c>
      <c r="W449" s="1" t="str">
        <f t="shared" ca="1" si="188"/>
        <v>ON</v>
      </c>
      <c r="X449" s="1"/>
      <c r="Y449" s="20" t="str">
        <f t="shared" ca="1" si="203"/>
        <v>ON</v>
      </c>
      <c r="Z449" s="20" t="str">
        <f t="shared" ca="1" si="203"/>
        <v>ON</v>
      </c>
      <c r="AA449" s="1" t="str">
        <f t="shared" ca="1" si="190"/>
        <v>ON</v>
      </c>
      <c r="AB449" s="1" t="str">
        <f t="shared" ca="1" si="191"/>
        <v>ON</v>
      </c>
      <c r="AC449" s="1" t="str">
        <f t="shared" ca="1" si="192"/>
        <v>ON</v>
      </c>
      <c r="AD449" s="1" t="str">
        <f t="shared" ca="1" si="193"/>
        <v>OFF</v>
      </c>
      <c r="AE449" s="1"/>
      <c r="AF449" s="20" t="str">
        <f t="shared" ca="1" si="204"/>
        <v>ON</v>
      </c>
      <c r="AG449" s="20" t="str">
        <f t="shared" ca="1" si="204"/>
        <v>ON</v>
      </c>
      <c r="AH449" s="1" t="str">
        <f t="shared" ca="1" si="195"/>
        <v>ON</v>
      </c>
      <c r="AI449" s="1" t="str">
        <f t="shared" ca="1" si="196"/>
        <v>ON</v>
      </c>
      <c r="AJ449" s="1" t="str">
        <f t="shared" ca="1" si="197"/>
        <v>ON</v>
      </c>
      <c r="AK449" s="1" t="str">
        <f t="shared" ca="1" si="198"/>
        <v>ON</v>
      </c>
      <c r="AL449" s="1"/>
      <c r="AM449" s="20" t="str">
        <f t="shared" si="205"/>
        <v>ON</v>
      </c>
      <c r="AN449" s="20" t="str">
        <f t="shared" si="205"/>
        <v>ON</v>
      </c>
      <c r="AO449" s="20" t="str">
        <f t="shared" si="200"/>
        <v>ON</v>
      </c>
    </row>
    <row r="450" spans="1:41">
      <c r="A450" t="str">
        <f t="shared" ca="1" si="174"/>
        <v>Ekiti</v>
      </c>
      <c r="B450" t="str">
        <f t="shared" ca="1" si="175"/>
        <v>E</v>
      </c>
      <c r="C450" t="str">
        <f t="shared" ca="1" si="176"/>
        <v>E1</v>
      </c>
      <c r="D450" t="s">
        <v>8</v>
      </c>
      <c r="E450">
        <f t="shared" ca="1" si="177"/>
        <v>25</v>
      </c>
      <c r="F450">
        <f t="shared" ca="1" si="178"/>
        <v>2</v>
      </c>
      <c r="G450" t="str">
        <v>C</v>
      </c>
      <c r="H450" t="str">
        <v>C</v>
      </c>
      <c r="I450" t="str">
        <f ca="1">IF($A450="","",IF(COUNTA($R$2:$W$2)=6,"WK "&amp;_xlfn.ISOWEEKNUM($R$2)))</f>
        <v>WK 19</v>
      </c>
      <c r="J450" t="str">
        <f ca="1">IF($A450="","",IF(COUNTA($AF$2:$AK$2)=6,"WK "&amp;_xlfn.ISOWEEKNUM($AF$2)))</f>
        <v>WK 21</v>
      </c>
      <c r="K450" s="20" t="str">
        <f t="shared" ca="1" si="201"/>
        <v>ON</v>
      </c>
      <c r="L450" s="20" t="str">
        <f t="shared" ca="1" si="201"/>
        <v>ON</v>
      </c>
      <c r="M450" s="1" t="str">
        <f t="shared" ca="1" si="180"/>
        <v>ON</v>
      </c>
      <c r="N450" s="1" t="str">
        <f t="shared" ca="1" si="181"/>
        <v>ON</v>
      </c>
      <c r="O450" s="1" t="str">
        <f t="shared" ca="1" si="182"/>
        <v>ON</v>
      </c>
      <c r="P450" s="1" t="str">
        <f t="shared" ca="1" si="183"/>
        <v>ON</v>
      </c>
      <c r="Q450" s="21"/>
      <c r="R450" s="20" t="str">
        <f t="shared" ca="1" si="202"/>
        <v>ON</v>
      </c>
      <c r="S450" s="20" t="str">
        <f t="shared" ca="1" si="202"/>
        <v>ON</v>
      </c>
      <c r="T450" s="1" t="str">
        <f t="shared" ca="1" si="185"/>
        <v>ON</v>
      </c>
      <c r="U450" s="1" t="str">
        <f t="shared" ca="1" si="186"/>
        <v>ON</v>
      </c>
      <c r="V450" s="1" t="str">
        <f t="shared" ca="1" si="187"/>
        <v>OFF</v>
      </c>
      <c r="W450" s="1" t="str">
        <f t="shared" ca="1" si="188"/>
        <v>ON</v>
      </c>
      <c r="X450" s="21"/>
      <c r="Y450" s="20" t="str">
        <f t="shared" ca="1" si="203"/>
        <v>ON</v>
      </c>
      <c r="Z450" s="20" t="str">
        <f t="shared" ca="1" si="203"/>
        <v>ON</v>
      </c>
      <c r="AA450" s="1" t="str">
        <f t="shared" ca="1" si="190"/>
        <v>ON</v>
      </c>
      <c r="AB450" s="1" t="str">
        <f t="shared" ca="1" si="191"/>
        <v>ON</v>
      </c>
      <c r="AC450" s="1" t="str">
        <f t="shared" ca="1" si="192"/>
        <v>ON</v>
      </c>
      <c r="AD450" s="1" t="str">
        <f t="shared" ca="1" si="193"/>
        <v>ON</v>
      </c>
      <c r="AE450" s="21"/>
      <c r="AF450" s="20" t="str">
        <f t="shared" ca="1" si="204"/>
        <v>ON</v>
      </c>
      <c r="AG450" s="20" t="str">
        <f t="shared" ca="1" si="204"/>
        <v>ON</v>
      </c>
      <c r="AH450" s="1" t="str">
        <f t="shared" ca="1" si="195"/>
        <v>ON</v>
      </c>
      <c r="AI450" s="1" t="str">
        <f t="shared" ca="1" si="196"/>
        <v>ON</v>
      </c>
      <c r="AJ450" s="1" t="str">
        <f t="shared" ca="1" si="197"/>
        <v>OFF</v>
      </c>
      <c r="AK450" s="1" t="str">
        <f t="shared" ca="1" si="198"/>
        <v>ON</v>
      </c>
      <c r="AL450" s="21"/>
      <c r="AM450" s="20" t="str">
        <f t="shared" si="205"/>
        <v>ON</v>
      </c>
      <c r="AN450" s="20" t="str">
        <f t="shared" si="205"/>
        <v>ON</v>
      </c>
      <c r="AO450" s="20" t="str">
        <f t="shared" si="200"/>
        <v>ON</v>
      </c>
    </row>
    <row r="451" spans="1:41">
      <c r="G451" t="str">
        <v>B</v>
      </c>
      <c r="H451" t="str">
        <v>B</v>
      </c>
      <c r="I451" t="str">
        <f t="shared" ref="I451" si="206">IF(COUNTA($K$2:$P$2)=6,"WK "&amp;_xlfn.ISOWEEKNUM($K$2),_xlfn.ISOWEEKNUM($R$2))</f>
        <v>WK 18</v>
      </c>
      <c r="J451" t="str">
        <f t="shared" ref="J451" si="207">IF(COUNTA($Y$2:$AD$2)=6,"WK "&amp;_xlfn.ISOWEEKNUM($Y$2))</f>
        <v>WK 20</v>
      </c>
    </row>
    <row r="452" spans="1:41">
      <c r="G452" t="str">
        <v>A</v>
      </c>
      <c r="H452" t="str">
        <v>A</v>
      </c>
      <c r="I452" t="str">
        <f t="shared" ref="I452" si="208">IF(COUNTA($R$2:$W$2)=6,"WK "&amp;_xlfn.ISOWEEKNUM($R$2))</f>
        <v>WK 19</v>
      </c>
      <c r="J452" t="str">
        <f t="shared" ref="J452" si="209">IF(COUNTA($AF$2:$AK$2)=6,"WK "&amp;_xlfn.ISOWEEKNUM($AF$2))</f>
        <v>WK 21</v>
      </c>
    </row>
  </sheetData>
  <sheetProtection sheet="1" objects="1" scenarios="1"/>
  <autoFilter ref="A4:AM450" xr:uid="{0B9F31E2-B6E2-4440-AA7A-073336779329}"/>
  <mergeCells count="6">
    <mergeCell ref="AM3:AO3"/>
    <mergeCell ref="I4:J4"/>
    <mergeCell ref="K3:P3"/>
    <mergeCell ref="R3:W3"/>
    <mergeCell ref="Y3:AD3"/>
    <mergeCell ref="AF3:AK3"/>
  </mergeCells>
  <conditionalFormatting sqref="C2:D2 D1:E1">
    <cfRule type="containsText" dxfId="7" priority="8" operator="containsText" text="On">
      <formula>NOT(ISERROR(SEARCH("On",C1)))</formula>
    </cfRule>
  </conditionalFormatting>
  <conditionalFormatting sqref="C2:D2 D1:E1">
    <cfRule type="containsText" dxfId="6" priority="7" operator="containsText" text="Off">
      <formula>NOT(ISERROR(SEARCH("Off",C1)))</formula>
    </cfRule>
  </conditionalFormatting>
  <conditionalFormatting sqref="K5:AK450">
    <cfRule type="containsText" dxfId="5" priority="5" operator="containsText" text="Off">
      <formula>NOT(ISERROR(SEARCH("Off",K5)))</formula>
    </cfRule>
    <cfRule type="containsText" dxfId="4" priority="6" operator="containsText" text="On">
      <formula>NOT(ISERROR(SEARCH("On",K5)))</formula>
    </cfRule>
  </conditionalFormatting>
  <conditionalFormatting sqref="AL5:AL450">
    <cfRule type="containsText" dxfId="3" priority="3" operator="containsText" text="Off">
      <formula>NOT(ISERROR(SEARCH("Off",AL5)))</formula>
    </cfRule>
    <cfRule type="containsText" dxfId="2" priority="4" operator="containsText" text="On">
      <formula>NOT(ISERROR(SEARCH("On",AL5)))</formula>
    </cfRule>
  </conditionalFormatting>
  <conditionalFormatting sqref="AM5:AO450">
    <cfRule type="containsText" dxfId="1" priority="1" operator="containsText" text="Off">
      <formula>NOT(ISERROR(SEARCH("Off",AM5)))</formula>
    </cfRule>
    <cfRule type="containsText" dxfId="0" priority="2" operator="containsText" text="On">
      <formula>NOT(ISERROR(SEARCH("On",AM5)))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Full Automated Hybrid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ALERZO</dc:creator>
  <cp:lastModifiedBy>ALERZO</cp:lastModifiedBy>
  <dcterms:created xsi:type="dcterms:W3CDTF">2022-10-15T10:15:05Z</dcterms:created>
  <dcterms:modified xsi:type="dcterms:W3CDTF">2023-05-19T12:52:53Z</dcterms:modified>
</cp:coreProperties>
</file>