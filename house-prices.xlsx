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defaultThemeVersion="166925"/>
  <mc:AlternateContent xmlns:mc="http://schemas.openxmlformats.org/markup-compatibility/2006">
    <mc:Choice Requires="x15">
      <x15ac:absPath xmlns:x15ac="http://schemas.microsoft.com/office/spreadsheetml/2010/11/ac" url="C:\Users\ALERZO\Desktop\"/>
    </mc:Choice>
  </mc:AlternateContent>
  <xr:revisionPtr revIDLastSave="0" documentId="13_ncr:1_{7E943A64-1304-43F9-B149-290511814298}" xr6:coauthVersionLast="47" xr6:coauthVersionMax="47" xr10:uidLastSave="{00000000-0000-0000-0000-000000000000}"/>
  <bookViews>
    <workbookView xWindow="-108" yWindow="-108" windowWidth="23256" windowHeight="12456" xr2:uid="{00000000-000D-0000-FFFF-FFFF00000000}"/>
  </bookViews>
  <sheets>
    <sheet name="Dashboard" sheetId="3" r:id="rId1"/>
    <sheet name="Geo Name by Ave. Price" sheetId="2" state="hidden" r:id="rId2"/>
    <sheet name="Yearly Shares by Geo Name" sheetId="4" state="hidden" r:id="rId3"/>
    <sheet name="house-prices" sheetId="1" state="hidden" r:id="rId4"/>
  </sheets>
  <definedNames>
    <definedName name="_xlnm._FilterDatabase" localSheetId="3" hidden="1">'house-prices'!$A$1:$R$97</definedName>
    <definedName name="_xlchart.v2.0" hidden="1">'Geo Name by Ave. Price'!$A$16:$E$16</definedName>
    <definedName name="_xlchart.v2.1" hidden="1">'Geo Name by Ave. Price'!$A$17:$E$17</definedName>
    <definedName name="_xlchart.v2.2" hidden="1">'Geo Name by Ave. Price'!$A$19:$E$19</definedName>
    <definedName name="_xlchart.v2.3" hidden="1">'Geo Name by Ave. Price'!$A$20:$E$20</definedName>
    <definedName name="_xlchart.v2.4" hidden="1">'Geo Name by Ave. Price'!$A$22:$E$22</definedName>
    <definedName name="_xlchart.v2.5" hidden="1">'Geo Name by Ave. Price'!$A$23:$E$23</definedName>
    <definedName name="Slicer_GeoEntityName">#N/A</definedName>
    <definedName name="Slicer_GeoName">#N/A</definedName>
    <definedName name="Slicer_Normal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 i="3" l="1"/>
  <c r="N19" i="3" s="1"/>
  <c r="K19" i="3"/>
  <c r="M19" i="3" s="1"/>
  <c r="J21" i="3"/>
  <c r="J22" i="3"/>
  <c r="J23" i="3"/>
  <c r="J24" i="3"/>
  <c r="J25" i="3"/>
  <c r="J26" i="3"/>
  <c r="J27" i="3"/>
  <c r="J20" i="3"/>
  <c r="E1" i="3"/>
  <c r="B1" i="3"/>
  <c r="B23" i="2"/>
  <c r="C23" i="2"/>
  <c r="D23" i="2"/>
  <c r="E23" i="2"/>
  <c r="A23" i="2"/>
  <c r="B20" i="2"/>
  <c r="C20" i="2"/>
  <c r="D20" i="2"/>
  <c r="E20" i="2"/>
  <c r="A20" i="2"/>
  <c r="D17" i="2"/>
  <c r="E17" i="2"/>
  <c r="B17" i="2"/>
  <c r="C17" i="2"/>
  <c r="A17" i="2"/>
  <c r="F17" i="2" s="1"/>
  <c r="W2" i="1"/>
  <c r="U4" i="1"/>
  <c r="U2" i="1"/>
  <c r="U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2" i="1"/>
  <c r="K3" i="4"/>
  <c r="F4" i="3"/>
  <c r="R16" i="3" l="1"/>
  <c r="L20" i="3" a="1"/>
  <c r="K20" i="3" a="1"/>
  <c r="R19" i="3"/>
  <c r="K20" i="3" l="1"/>
  <c r="M20" i="3" s="1"/>
  <c r="L20" i="3"/>
  <c r="N20" i="3" s="1"/>
  <c r="N27" i="3" l="1"/>
  <c r="N25" i="3"/>
  <c r="M25" i="3"/>
  <c r="M24" i="3"/>
  <c r="M23" i="3"/>
  <c r="N24" i="3"/>
  <c r="N23" i="3"/>
  <c r="M22" i="3"/>
  <c r="N26" i="3"/>
  <c r="M21" i="3"/>
  <c r="N22" i="3"/>
  <c r="M27" i="3"/>
  <c r="N21" i="3"/>
  <c r="M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tc={7F2CCB0F-FEFF-45B6-813E-9C6BC06EBB69}</author>
    <author>tc={3DCACC8F-4B37-43B0-A0B4-0DA3DF8FA603}</author>
  </authors>
  <commentList>
    <comment ref="S15" authorId="0" shapeId="0" xr:uid="{7F2CCB0F-FEFF-45B6-813E-9C6BC06EBB69}">
      <text>
        <t>[Threaded comment]
Your version of Excel allows you to read this threaded comment; however, any edits to it will get removed if the file is opened in a newer version of Excel. Learn more: https://go.microsoft.com/fwlink/?linkid=870924
Comment:
    Kindly select the section for Highest &amp; Lowest Detail Info.</t>
      </text>
    </comment>
    <comment ref="S18" authorId="1" shapeId="0" xr:uid="{3DCACC8F-4B37-43B0-A0B4-0DA3DF8FA603}">
      <text>
        <t>[Threaded comment]
Your version of Excel allows you to read this threaded comment; however, any edits to it will get removed if the file is opened in a newer version of Excel. Learn more: https://go.microsoft.com/fwlink/?linkid=870924
Comment:
    Kindly select the section for Highest &amp; Lowest Detail Info.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<sst xmlns="http://schemas.openxmlformats.org/spreadsheetml/2006/main" count="1125" uniqueCount="118">
  <si>
    <t>OrganisationLabel</t>
  </si>
  <si>
    <t>OrganisationURI</t>
  </si>
  <si>
    <t>PublishedDate</t>
  </si>
  <si>
    <t>LatestData</t>
  </si>
  <si>
    <t>DurationFrom</t>
  </si>
  <si>
    <t>DurationTo</t>
  </si>
  <si>
    <t>ReportingPeriodType</t>
  </si>
  <si>
    <t>Month</t>
  </si>
  <si>
    <t>GeoEntityName</t>
  </si>
  <si>
    <t>GeoCode</t>
  </si>
  <si>
    <t>GeoName</t>
  </si>
  <si>
    <t>GeoURI</t>
  </si>
  <si>
    <t>AveragePrice</t>
  </si>
  <si>
    <t>AveragePriceDetached</t>
  </si>
  <si>
    <t>AveragePriceSemiDetached</t>
  </si>
  <si>
    <t>AveragePriceTerraced</t>
  </si>
  <si>
    <t>AveragePriceFlatOrMaisonette</t>
  </si>
  <si>
    <t>Lincolnshire</t>
  </si>
  <si>
    <t>http://opendatacommunities.org/id/county-council/lincolnshire</t>
  </si>
  <si>
    <t>2019-11-20T00:00:00</t>
  </si>
  <si>
    <t>2019-10-01T00:00:00</t>
  </si>
  <si>
    <t>2019-10-30T23:23:59</t>
  </si>
  <si>
    <t>2019-10</t>
  </si>
  <si>
    <t>County</t>
  </si>
  <si>
    <t>E10000019</t>
  </si>
  <si>
    <t>http://statistics.data.gov.uk/doc/statistical-geography/E10000019</t>
  </si>
  <si>
    <t>District Council</t>
  </si>
  <si>
    <t>E07000136</t>
  </si>
  <si>
    <t>Boston</t>
  </si>
  <si>
    <t>http://statistics.data.gov.uk/doc/statistical-geography/E07000136</t>
  </si>
  <si>
    <t>E07000137</t>
  </si>
  <si>
    <t>East Lindsey</t>
  </si>
  <si>
    <t>http://statistics.data.gov.uk/doc/statistical-geography/E07000137</t>
  </si>
  <si>
    <t>E07000138</t>
  </si>
  <si>
    <t>Lincoln</t>
  </si>
  <si>
    <t>http://statistics.data.gov.uk/doc/statistical-geography/E07000138</t>
  </si>
  <si>
    <t>E07000139</t>
  </si>
  <si>
    <t>North Kesteven</t>
  </si>
  <si>
    <t>http://statistics.data.gov.uk/doc/statistical-geography/E07000139</t>
  </si>
  <si>
    <t>E07000140</t>
  </si>
  <si>
    <t>South Holland</t>
  </si>
  <si>
    <t>http://statistics.data.gov.uk/doc/statistical-geography/E07000140</t>
  </si>
  <si>
    <t>E07000141</t>
  </si>
  <si>
    <t>South Kesteven</t>
  </si>
  <si>
    <t>http://statistics.data.gov.uk/doc/statistical-geography/E07000141</t>
  </si>
  <si>
    <t>E07000142</t>
  </si>
  <si>
    <t>West Lindsey</t>
  </si>
  <si>
    <t>http://statistics.data.gov.uk/doc/statistical-geography/E07000142</t>
  </si>
  <si>
    <t>2019-09-01T00:00:00</t>
  </si>
  <si>
    <t>2019-09-30T23:23:59</t>
  </si>
  <si>
    <t>2019-09</t>
  </si>
  <si>
    <t>2019-08-01T00:00:00</t>
  </si>
  <si>
    <t>2019-08-31T23:23:59</t>
  </si>
  <si>
    <t>2019-08</t>
  </si>
  <si>
    <t>2019-07-01T00:00:00</t>
  </si>
  <si>
    <t>2019-07-30T23:59:59</t>
  </si>
  <si>
    <t>2019-07</t>
  </si>
  <si>
    <t>2019-06-01T00:00:00</t>
  </si>
  <si>
    <t>2019-06-31T23:59:59</t>
  </si>
  <si>
    <t>2019-06</t>
  </si>
  <si>
    <t>2019-05-01T00:00:00</t>
  </si>
  <si>
    <t>2019-05-31T23:59:59</t>
  </si>
  <si>
    <t>2019-05</t>
  </si>
  <si>
    <t>2019-04-01T00:00:00</t>
  </si>
  <si>
    <t>2019-04-31T23:59:59</t>
  </si>
  <si>
    <t>2019-04</t>
  </si>
  <si>
    <t>2019-03-01T00:00:00</t>
  </si>
  <si>
    <t>2019-03-31T23:59:59</t>
  </si>
  <si>
    <t>2019-03</t>
  </si>
  <si>
    <t>2019-02-01T00:00:00</t>
  </si>
  <si>
    <t>2019-02-30T23:59:59</t>
  </si>
  <si>
    <t>2019-02</t>
  </si>
  <si>
    <t>2019-01-01T00:00:00</t>
  </si>
  <si>
    <t>2019-01-31T23:59:59</t>
  </si>
  <si>
    <t>2019-01</t>
  </si>
  <si>
    <t>2018-12-01T00:00:00</t>
  </si>
  <si>
    <t>2018-12-31T23:59:59</t>
  </si>
  <si>
    <t>2018-12</t>
  </si>
  <si>
    <t>2018-11-01T00:00:00</t>
  </si>
  <si>
    <t>2018-11-31T23:59:59</t>
  </si>
  <si>
    <t>2018-11</t>
  </si>
  <si>
    <t>Normal Month</t>
  </si>
  <si>
    <t>Ans 1:</t>
  </si>
  <si>
    <t>Ans 2:</t>
  </si>
  <si>
    <t>Ans 3:</t>
  </si>
  <si>
    <t>Ans 4:</t>
  </si>
  <si>
    <t>None</t>
  </si>
  <si>
    <t>Sum of AveragePrice</t>
  </si>
  <si>
    <t>Sum of AveragePriceDetached</t>
  </si>
  <si>
    <t>Sum of AveragePriceSemiDetached</t>
  </si>
  <si>
    <t>Sum of AveragePriceTerraced</t>
  </si>
  <si>
    <t>Sum of AveragePriceFlatOrMaisonette</t>
  </si>
  <si>
    <t>Highest Ave. Price</t>
  </si>
  <si>
    <t>Total Average Price</t>
  </si>
  <si>
    <t>Highest Ave. Price Detached</t>
  </si>
  <si>
    <t>Highest Ave. Price Semi Detached</t>
  </si>
  <si>
    <t>Highest Ave. Price Terraced</t>
  </si>
  <si>
    <t>Highest Ave. Price Flat/Maisonette</t>
  </si>
  <si>
    <t>Lowest Ave. Price</t>
  </si>
  <si>
    <t>Lowest Ave. Price Detached</t>
  </si>
  <si>
    <t>Lowest Ave. Price Semi Detached</t>
  </si>
  <si>
    <t>Lowest Ave. Price Terraced</t>
  </si>
  <si>
    <t>Lowest Ave. Price Flat/Maisonette</t>
  </si>
  <si>
    <t>Lowest Detail Info.</t>
  </si>
  <si>
    <t>Highest Detail Info.</t>
  </si>
  <si>
    <t>Total Ave. Price Detached</t>
  </si>
  <si>
    <t>Total Ave. Price Semi Detached</t>
  </si>
  <si>
    <t>Total Ave. Price Terraced</t>
  </si>
  <si>
    <t>Total Ave. Price Flat/Maisonette</t>
  </si>
  <si>
    <t>CURRENT DATE</t>
  </si>
  <si>
    <t>CURRENT TIME</t>
  </si>
  <si>
    <t>GEO DATA DASHBOARD</t>
  </si>
  <si>
    <t>2018</t>
  </si>
  <si>
    <t>2019</t>
  </si>
  <si>
    <t>Count of GeoCode</t>
  </si>
  <si>
    <t>Yearly Ave. Price Trend</t>
  </si>
  <si>
    <t>Geo Name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</si>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</sst>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ss\ AM/PM"/>
    <numFmt numFmtId="165" formatCode="[Color10][&gt;=50]#\▲;[Color3][&lt;5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Light"/>
      <family val="2"/>
      <scheme val="major"/>
    </font>
    <font>
      <b/>
      <sz val="12"/>
      <color theme="1"/>
      <name val="Calibri"/>
      <family val="2"/>
      <scheme val="minor"/>
    </font>
    <font>
      <b/>
      <sz val="24"/>
      <color theme="1"/>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7">
    <xf numFmtId="0" fontId="0" fillId="0" borderId="0" xfId="0"/>
    <xf numFmtId="0" fontId="0" fillId="0" borderId="0" xfId="0" applyAlignment="1">
      <alignment horizontal="right"/>
    </xf>
    <xf numFmtId="0" fontId="0" fillId="0" borderId="0" xfId="0" pivotButton="1"/>
    <xf numFmtId="0" fontId="0" fillId="0" borderId="0" xfId="0" applyAlignment="1">
      <alignment horizontal="center" wrapText="1"/>
    </xf>
    <xf numFmtId="0" fontId="16" fillId="33" borderId="12" xfId="0" applyFont="1" applyFill="1" applyBorder="1"/>
    <xf numFmtId="0" fontId="0" fillId="33" borderId="15" xfId="0" applyFill="1" applyBorder="1"/>
    <xf numFmtId="0" fontId="0" fillId="0" borderId="17" xfId="0" applyBorder="1"/>
    <xf numFmtId="0" fontId="16" fillId="0" borderId="18" xfId="0" applyFont="1" applyBorder="1"/>
    <xf numFmtId="0" fontId="0" fillId="0" borderId="18" xfId="0" applyBorder="1"/>
    <xf numFmtId="9" fontId="16" fillId="0" borderId="18" xfId="42" applyFont="1" applyBorder="1"/>
    <xf numFmtId="0" fontId="16" fillId="0" borderId="10" xfId="0" applyFont="1" applyBorder="1"/>
    <xf numFmtId="0" fontId="0" fillId="0" borderId="10" xfId="0" applyBorder="1"/>
    <xf numFmtId="9" fontId="16" fillId="0" borderId="10" xfId="42" applyFont="1" applyBorder="1"/>
    <xf numFmtId="0" fontId="0" fillId="0" borderId="19" xfId="0" applyBorder="1"/>
    <xf numFmtId="0" fontId="0" fillId="0" borderId="20" xfId="0" applyBorder="1"/>
    <xf numFmtId="0" fontId="0" fillId="0" borderId="21" xfId="0" applyBorder="1"/>
    <xf numFmtId="0" fontId="18" fillId="0" borderId="23" xfId="0" applyFont="1" applyBorder="1"/>
    <xf numFmtId="0" fontId="18" fillId="0" borderId="24" xfId="0" applyFont="1" applyBorder="1"/>
    <xf numFmtId="0" fontId="18" fillId="0" borderId="27" xfId="0" applyFont="1" applyBorder="1"/>
    <xf numFmtId="0" fontId="18" fillId="0" borderId="22" xfId="0" applyFont="1" applyBorder="1"/>
    <xf numFmtId="0" fontId="16" fillId="33" borderId="0" xfId="0" applyFont="1" applyFill="1" applyAlignment="1">
      <alignment horizontal="center" vertical="center"/>
    </xf>
    <xf numFmtId="14" fontId="16" fillId="33" borderId="0" xfId="0" applyNumberFormat="1" applyFont="1" applyFill="1" applyAlignment="1">
      <alignment horizontal="center" vertical="center"/>
    </xf>
    <xf numFmtId="0" fontId="0" fillId="33" borderId="0" xfId="0" applyFill="1"/>
    <xf numFmtId="164" fontId="16" fillId="33" borderId="0" xfId="0" applyNumberFormat="1" applyFont="1" applyFill="1" applyAlignment="1">
      <alignment horizontal="center" vertical="center"/>
    </xf>
    <xf numFmtId="0" fontId="16" fillId="34" borderId="28" xfId="0" applyFont="1" applyFill="1" applyBorder="1" applyAlignment="1">
      <alignment horizontal="left" vertical="center"/>
    </xf>
    <xf numFmtId="0" fontId="16" fillId="34" borderId="28" xfId="0" applyFont="1" applyFill="1" applyBorder="1" applyAlignment="1">
      <alignment horizontal="center" vertical="center"/>
    </xf>
    <xf numFmtId="0" fontId="16" fillId="34" borderId="28" xfId="0" applyFont="1" applyFill="1" applyBorder="1" applyAlignment="1">
      <alignment horizontal="center" vertical="center" wrapText="1"/>
    </xf>
    <xf numFmtId="0" fontId="19" fillId="0" borderId="0" xfId="0" applyFont="1"/>
    <xf numFmtId="0" fontId="20" fillId="33" borderId="13" xfId="0" applyFont="1" applyFill="1" applyBorder="1" applyAlignment="1">
      <alignment vertical="center"/>
    </xf>
    <xf numFmtId="0" fontId="20" fillId="33" borderId="16" xfId="0" applyFont="1" applyFill="1" applyBorder="1" applyAlignment="1">
      <alignment vertical="center"/>
    </xf>
    <xf numFmtId="165" fontId="16" fillId="33" borderId="10" xfId="0" applyNumberFormat="1" applyFont="1" applyFill="1" applyBorder="1" applyAlignment="1">
      <alignment horizontal="center" vertical="center"/>
    </xf>
    <xf numFmtId="0" fontId="16" fillId="35" borderId="25" xfId="0" applyFont="1" applyFill="1" applyBorder="1" applyAlignment="1">
      <alignment horizontal="center"/>
    </xf>
    <xf numFmtId="0" fontId="16" fillId="35" borderId="26" xfId="0" applyFont="1" applyFill="1" applyBorder="1" applyAlignment="1">
      <alignment horizontal="center"/>
    </xf>
    <xf numFmtId="0" fontId="19" fillId="33" borderId="29" xfId="0" applyFont="1" applyFill="1" applyBorder="1" applyAlignment="1">
      <alignment horizontal="center"/>
    </xf>
    <xf numFmtId="0" fontId="19" fillId="33" borderId="30" xfId="0" applyFont="1" applyFill="1" applyBorder="1" applyAlignment="1">
      <alignment horizontal="center"/>
    </xf>
    <xf numFmtId="0" fontId="19" fillId="33" borderId="31" xfId="0" applyFont="1" applyFill="1" applyBorder="1" applyAlignment="1">
      <alignment horizontal="center"/>
    </xf>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4" xfId="0" applyFont="1" applyFill="1" applyBorder="1" applyAlignment="1">
      <alignment horizontal="center" vertical="center"/>
    </xf>
    <xf numFmtId="0" fontId="20" fillId="33" borderId="15" xfId="0" applyFont="1" applyFill="1" applyBorder="1" applyAlignment="1">
      <alignment horizontal="center" vertical="center"/>
    </xf>
    <xf numFmtId="0" fontId="16" fillId="33" borderId="11" xfId="0" applyFont="1" applyFill="1" applyBorder="1" applyAlignment="1">
      <alignment horizontal="center" vertical="center"/>
    </xf>
    <xf numFmtId="0" fontId="16" fillId="33" borderId="14" xfId="0" applyFont="1" applyFill="1" applyBorder="1" applyAlignment="1">
      <alignment horizontal="center" vertical="center"/>
    </xf>
    <xf numFmtId="14" fontId="16" fillId="33" borderId="13" xfId="0" applyNumberFormat="1" applyFont="1" applyFill="1" applyBorder="1" applyAlignment="1">
      <alignment horizontal="center" vertical="center"/>
    </xf>
    <xf numFmtId="14" fontId="16" fillId="33" borderId="16" xfId="0" applyNumberFormat="1" applyFont="1" applyFill="1" applyBorder="1" applyAlignment="1">
      <alignment horizontal="center" vertical="center"/>
    </xf>
    <xf numFmtId="164" fontId="16" fillId="33" borderId="13" xfId="0" applyNumberFormat="1" applyFont="1" applyFill="1" applyBorder="1" applyAlignment="1">
      <alignment horizontal="center" vertical="center"/>
    </xf>
    <xf numFmtId="164" fontId="16" fillId="33" borderId="16" xfId="0" applyNumberFormat="1" applyFont="1" applyFill="1" applyBorder="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[house-prices.xlsx]Geo Name by Ave. Price!PivotTable1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Geo Data Insight</a:t>
            </a:r>
          </a:p>
        </c:rich>
      </c:tx>
      <c:layout>
        <c:manualLayout>
          <c:xMode val="edge"/>
          <c:yMode val="edge"/>
          <c:x val="0.39415919017727347"/>
          <c:y val="0"/>
        </c:manualLayout>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8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9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9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9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9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0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015212452055658"/>
          <c:y val="0.12424800317226534"/>
          <c:w val="0.8290542003927831"/>
          <c:h val="0.41163069544364511"/>
        </c:manualLayout>
      </c:layout>
      <c:barChart>
        <c:barDir val="col"/>
        <c:grouping val="clustered"/>
        <c:varyColors val="0"/>
        <c:ser>
          <c:idx val="0"/>
          <c:order val="0"/>
          <c:tx>
            <c:strRef>
              <c:f>'Geo Name by Ave. Price'!$B$4</c:f>
              <c:strCache>
                <c:ptCount val="1"/>
                <c:pt idx="0">
                  <c:v>Sum of AveragePrice</c:v>
                </c:pt>
              </c:strCache>
            </c:strRef>
          </c:tx>
          <c:spPr>
            <a:solidFill>
              <a:schemeClr val="accent1"/>
            </a:solidFill>
            <a:ln>
              <a:noFill/>
            </a:ln>
            <a:effectLst/>
          </c:spPr>
          <c:invertIfNegative val="0"/>
          <c:cat>
            <c:strRef>
              <c:f>'Geo Name by Ave. Price'!$A$5:$A$12</c:f>
              <c:strCache>
                <c:ptCount val="8"/>
                <c:pt idx="0">
                  <c:v>Boston</c:v>
                </c:pt>
                <c:pt idx="1">
                  <c:v>East Lindsey</c:v>
                </c:pt>
                <c:pt idx="2">
                  <c:v>Lincoln</c:v>
                </c:pt>
                <c:pt idx="3">
                  <c:v>Lincolnshire</c:v>
                </c:pt>
                <c:pt idx="4">
                  <c:v>North Kesteven</c:v>
                </c:pt>
                <c:pt idx="5">
                  <c:v>South Holland</c:v>
                </c:pt>
                <c:pt idx="6">
                  <c:v>South Kesteven</c:v>
                </c:pt>
                <c:pt idx="7">
                  <c:v>West Lindsey</c:v>
                </c:pt>
              </c:strCache>
            </c:strRef>
          </c:cat>
          <c:val>
            <c:numRef>
              <c:f>'Geo Name by Ave. Price'!$B$5:$B$12</c:f>
              <c:numCache>
                <c:formatCode>General</c:formatCode>
                <c:ptCount val="8"/>
                <c:pt idx="0">
                  <c:v>1862269</c:v>
                </c:pt>
                <c:pt idx="1">
                  <c:v>2141207</c:v>
                </c:pt>
                <c:pt idx="2">
                  <c:v>1866512</c:v>
                </c:pt>
                <c:pt idx="3">
                  <c:v>2227479</c:v>
                </c:pt>
                <c:pt idx="4">
                  <c:v>2520499</c:v>
                </c:pt>
                <c:pt idx="5">
                  <c:v>2273248</c:v>
                </c:pt>
                <c:pt idx="6">
                  <c:v>2599849</c:v>
                </c:pt>
                <c:pt idx="7">
                  <c:v>2032429</c:v>
                </c:pt>
              </c:numCache>
            </c:numRef>
          </c:val>
          <c:extLst>
            <c:ext xmlns:c16="http://schemas.microsoft.com/office/drawing/2014/chart" uri="{C3380CC4-5D6E-409C-BE32-E72D297353CC}">
              <c16:uniqueId val="{0000001E-E417-4AB3-97C8-6F9A84F7636C}"/>
            </c:ext>
          </c:extLst>
        </c:ser>
        <c:ser>
          <c:idx val="1"/>
          <c:order val="1"/>
          <c:tx>
            <c:strRef>
              <c:f>'Geo Name by Ave. Price'!$C$4</c:f>
              <c:strCache>
                <c:ptCount val="1"/>
                <c:pt idx="0">
                  <c:v>Sum of AveragePriceDetached</c:v>
                </c:pt>
              </c:strCache>
            </c:strRef>
          </c:tx>
          <c:spPr>
            <a:solidFill>
              <a:schemeClr val="accent2"/>
            </a:solidFill>
            <a:ln>
              <a:noFill/>
            </a:ln>
            <a:effectLst/>
          </c:spPr>
          <c:invertIfNegative val="0"/>
          <c:cat>
            <c:strRef>
              <c:f>'Geo Name by Ave. Price'!$A$5:$A$12</c:f>
              <c:strCache>
                <c:ptCount val="8"/>
                <c:pt idx="0">
                  <c:v>Boston</c:v>
                </c:pt>
                <c:pt idx="1">
                  <c:v>East Lindsey</c:v>
                </c:pt>
                <c:pt idx="2">
                  <c:v>Lincoln</c:v>
                </c:pt>
                <c:pt idx="3">
                  <c:v>Lincolnshire</c:v>
                </c:pt>
                <c:pt idx="4">
                  <c:v>North Kesteven</c:v>
                </c:pt>
                <c:pt idx="5">
                  <c:v>South Holland</c:v>
                </c:pt>
                <c:pt idx="6">
                  <c:v>South Kesteven</c:v>
                </c:pt>
                <c:pt idx="7">
                  <c:v>West Lindsey</c:v>
                </c:pt>
              </c:strCache>
            </c:strRef>
          </c:cat>
          <c:val>
            <c:numRef>
              <c:f>'Geo Name by Ave. Price'!$C$5:$C$12</c:f>
              <c:numCache>
                <c:formatCode>General</c:formatCode>
                <c:ptCount val="8"/>
                <c:pt idx="0">
                  <c:v>2562008</c:v>
                </c:pt>
                <c:pt idx="1">
                  <c:v>2647689</c:v>
                </c:pt>
                <c:pt idx="2">
                  <c:v>2997774</c:v>
                </c:pt>
                <c:pt idx="3">
                  <c:v>2937973</c:v>
                </c:pt>
                <c:pt idx="4">
                  <c:v>3059541</c:v>
                </c:pt>
                <c:pt idx="5">
                  <c:v>2822285</c:v>
                </c:pt>
                <c:pt idx="6">
                  <c:v>3655882</c:v>
                </c:pt>
                <c:pt idx="7">
                  <c:v>2679158</c:v>
                </c:pt>
              </c:numCache>
            </c:numRef>
          </c:val>
          <c:extLst>
            <c:ext xmlns:c16="http://schemas.microsoft.com/office/drawing/2014/chart" uri="{C3380CC4-5D6E-409C-BE32-E72D297353CC}">
              <c16:uniqueId val="{0000001F-E417-4AB3-97C8-6F9A84F7636C}"/>
            </c:ext>
          </c:extLst>
        </c:ser>
        <c:ser>
          <c:idx val="2"/>
          <c:order val="2"/>
          <c:tx>
            <c:strRef>
              <c:f>'Geo Name by Ave. Price'!$D$4</c:f>
              <c:strCache>
                <c:ptCount val="1"/>
                <c:pt idx="0">
                  <c:v>Sum of AveragePriceSemiDetached</c:v>
                </c:pt>
              </c:strCache>
            </c:strRef>
          </c:tx>
          <c:spPr>
            <a:solidFill>
              <a:schemeClr val="accent3"/>
            </a:solidFill>
            <a:ln>
              <a:noFill/>
            </a:ln>
            <a:effectLst/>
          </c:spPr>
          <c:invertIfNegative val="0"/>
          <c:cat>
            <c:strRef>
              <c:f>'Geo Name by Ave. Price'!$A$5:$A$12</c:f>
              <c:strCache>
                <c:ptCount val="8"/>
                <c:pt idx="0">
                  <c:v>Boston</c:v>
                </c:pt>
                <c:pt idx="1">
                  <c:v>East Lindsey</c:v>
                </c:pt>
                <c:pt idx="2">
                  <c:v>Lincoln</c:v>
                </c:pt>
                <c:pt idx="3">
                  <c:v>Lincolnshire</c:v>
                </c:pt>
                <c:pt idx="4">
                  <c:v>North Kesteven</c:v>
                </c:pt>
                <c:pt idx="5">
                  <c:v>South Holland</c:v>
                </c:pt>
                <c:pt idx="6">
                  <c:v>South Kesteven</c:v>
                </c:pt>
                <c:pt idx="7">
                  <c:v>West Lindsey</c:v>
                </c:pt>
              </c:strCache>
            </c:strRef>
          </c:cat>
          <c:val>
            <c:numRef>
              <c:f>'Geo Name by Ave. Price'!$D$5:$D$12</c:f>
              <c:numCache>
                <c:formatCode>General</c:formatCode>
                <c:ptCount val="8"/>
                <c:pt idx="0">
                  <c:v>1597508</c:v>
                </c:pt>
                <c:pt idx="1">
                  <c:v>1818459</c:v>
                </c:pt>
                <c:pt idx="2">
                  <c:v>2018758</c:v>
                </c:pt>
                <c:pt idx="3">
                  <c:v>1968873</c:v>
                </c:pt>
                <c:pt idx="4">
                  <c:v>2074895</c:v>
                </c:pt>
                <c:pt idx="5">
                  <c:v>1924961</c:v>
                </c:pt>
                <c:pt idx="6">
                  <c:v>2357764</c:v>
                </c:pt>
                <c:pt idx="7">
                  <c:v>1734555</c:v>
                </c:pt>
              </c:numCache>
            </c:numRef>
          </c:val>
          <c:extLst>
            <c:ext xmlns:c16="http://schemas.microsoft.com/office/drawing/2014/chart" uri="{C3380CC4-5D6E-409C-BE32-E72D297353CC}">
              <c16:uniqueId val="{00000020-E417-4AB3-97C8-6F9A84F7636C}"/>
            </c:ext>
          </c:extLst>
        </c:ser>
        <c:ser>
          <c:idx val="3"/>
          <c:order val="3"/>
          <c:tx>
            <c:strRef>
              <c:f>'Geo Name by Ave. Price'!$E$4</c:f>
              <c:strCache>
                <c:ptCount val="1"/>
                <c:pt idx="0">
                  <c:v>Sum of AveragePriceTerraced</c:v>
                </c:pt>
              </c:strCache>
            </c:strRef>
          </c:tx>
          <c:spPr>
            <a:solidFill>
              <a:schemeClr val="accent4"/>
            </a:solidFill>
            <a:ln>
              <a:noFill/>
            </a:ln>
            <a:effectLst/>
          </c:spPr>
          <c:invertIfNegative val="0"/>
          <c:cat>
            <c:strRef>
              <c:f>'Geo Name by Ave. Price'!$A$5:$A$12</c:f>
              <c:strCache>
                <c:ptCount val="8"/>
                <c:pt idx="0">
                  <c:v>Boston</c:v>
                </c:pt>
                <c:pt idx="1">
                  <c:v>East Lindsey</c:v>
                </c:pt>
                <c:pt idx="2">
                  <c:v>Lincoln</c:v>
                </c:pt>
                <c:pt idx="3">
                  <c:v>Lincolnshire</c:v>
                </c:pt>
                <c:pt idx="4">
                  <c:v>North Kesteven</c:v>
                </c:pt>
                <c:pt idx="5">
                  <c:v>South Holland</c:v>
                </c:pt>
                <c:pt idx="6">
                  <c:v>South Kesteven</c:v>
                </c:pt>
                <c:pt idx="7">
                  <c:v>West Lindsey</c:v>
                </c:pt>
              </c:strCache>
            </c:strRef>
          </c:cat>
          <c:val>
            <c:numRef>
              <c:f>'Geo Name by Ave. Price'!$E$5:$E$12</c:f>
              <c:numCache>
                <c:formatCode>General</c:formatCode>
                <c:ptCount val="8"/>
                <c:pt idx="0">
                  <c:v>1277734</c:v>
                </c:pt>
                <c:pt idx="1">
                  <c:v>1440680</c:v>
                </c:pt>
                <c:pt idx="2">
                  <c:v>1551973</c:v>
                </c:pt>
                <c:pt idx="3">
                  <c:v>1588296</c:v>
                </c:pt>
                <c:pt idx="4">
                  <c:v>1717015</c:v>
                </c:pt>
                <c:pt idx="5">
                  <c:v>1565259</c:v>
                </c:pt>
                <c:pt idx="6">
                  <c:v>1895080</c:v>
                </c:pt>
                <c:pt idx="7">
                  <c:v>1408434</c:v>
                </c:pt>
              </c:numCache>
            </c:numRef>
          </c:val>
          <c:extLst>
            <c:ext xmlns:c16="http://schemas.microsoft.com/office/drawing/2014/chart" uri="{C3380CC4-5D6E-409C-BE32-E72D297353CC}">
              <c16:uniqueId val="{00000021-E417-4AB3-97C8-6F9A84F7636C}"/>
            </c:ext>
          </c:extLst>
        </c:ser>
        <c:ser>
          <c:idx val="4"/>
          <c:order val="4"/>
          <c:tx>
            <c:strRef>
              <c:f>'Geo Name by Ave. Price'!$F$4</c:f>
              <c:strCache>
                <c:ptCount val="1"/>
                <c:pt idx="0">
                  <c:v>Sum of AveragePriceFlatOrMaisonette</c:v>
                </c:pt>
              </c:strCache>
            </c:strRef>
          </c:tx>
          <c:spPr>
            <a:solidFill>
              <a:schemeClr val="accent5"/>
            </a:solidFill>
            <a:ln>
              <a:noFill/>
            </a:ln>
            <a:effectLst/>
          </c:spPr>
          <c:invertIfNegative val="0"/>
          <c:cat>
            <c:strRef>
              <c:f>'Geo Name by Ave. Price'!$A$5:$A$12</c:f>
              <c:strCache>
                <c:ptCount val="8"/>
                <c:pt idx="0">
                  <c:v>Boston</c:v>
                </c:pt>
                <c:pt idx="1">
                  <c:v>East Lindsey</c:v>
                </c:pt>
                <c:pt idx="2">
                  <c:v>Lincoln</c:v>
                </c:pt>
                <c:pt idx="3">
                  <c:v>Lincolnshire</c:v>
                </c:pt>
                <c:pt idx="4">
                  <c:v>North Kesteven</c:v>
                </c:pt>
                <c:pt idx="5">
                  <c:v>South Holland</c:v>
                </c:pt>
                <c:pt idx="6">
                  <c:v>South Kesteven</c:v>
                </c:pt>
                <c:pt idx="7">
                  <c:v>West Lindsey</c:v>
                </c:pt>
              </c:strCache>
            </c:strRef>
          </c:cat>
          <c:val>
            <c:numRef>
              <c:f>'Geo Name by Ave. Price'!$F$5:$F$12</c:f>
              <c:numCache>
                <c:formatCode>General</c:formatCode>
                <c:ptCount val="8"/>
                <c:pt idx="0">
                  <c:v>981016</c:v>
                </c:pt>
                <c:pt idx="1">
                  <c:v>1074697</c:v>
                </c:pt>
                <c:pt idx="2">
                  <c:v>1254657</c:v>
                </c:pt>
                <c:pt idx="3">
                  <c:v>1193343</c:v>
                </c:pt>
                <c:pt idx="4">
                  <c:v>1230401</c:v>
                </c:pt>
                <c:pt idx="5">
                  <c:v>1034825</c:v>
                </c:pt>
                <c:pt idx="6">
                  <c:v>1324372</c:v>
                </c:pt>
                <c:pt idx="7">
                  <c:v>1108684</c:v>
                </c:pt>
              </c:numCache>
            </c:numRef>
          </c:val>
          <c:extLst>
            <c:ext xmlns:c16="http://schemas.microsoft.com/office/drawing/2014/chart" uri="{C3380CC4-5D6E-409C-BE32-E72D297353CC}">
              <c16:uniqueId val="{00000022-E417-4AB3-97C8-6F9A84F7636C}"/>
            </c:ext>
          </c:extLst>
        </c:ser>
        <c:dLbls>
          <c:showLegendKey val="0"/>
          <c:showVal val="0"/>
          <c:showCatName val="0"/>
          <c:showSerName val="0"/>
          <c:showPercent val="0"/>
          <c:showBubbleSize val="0"/>
        </c:dLbls>
        <c:gapWidth val="219"/>
        <c:axId val="550124776"/>
        <c:axId val="550124448"/>
      </c:barChart>
      <c:catAx>
        <c:axId val="550124776"/>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sz="900"/>
                  <a:t>Geo Name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50124448"/>
        <c:crosses val="autoZero"/>
        <c:auto val="1"/>
        <c:lblAlgn val="ctr"/>
        <c:lblOffset val="100"/>
        <c:noMultiLvlLbl val="0"/>
      </c:catAx>
      <c:valAx>
        <c:axId val="550124448"/>
        <c:scaling>
          <c:orientation val="minMax"/>
        </c:scaling>
        <c:delete val="0"/>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r>
                  <a:rPr lang="en-US" sz="900" b="0"/>
                  <a:t>Ave. House Price etc</a:t>
                </a:r>
              </a:p>
            </c:rich>
          </c:tx>
          <c:layout>
            <c:manualLayout>
              <c:xMode val="edge"/>
              <c:yMode val="edge"/>
              <c:x val="1.3516142650000919E-3"/>
              <c:y val="6.963877716724258E-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550124776"/>
        <c:crosses val="autoZero"/>
        <c:crossBetween val="between"/>
      </c:valAx>
    </c:plotArea>
    <c:legend>
      <c:legendPos val="b"/>
      <c:layout>
        <c:manualLayout>
          <c:xMode val="edge"/>
          <c:yMode val="edge"/>
          <c:x val="0.10377575808343106"/>
          <c:y val="0.8074019524537851"/>
          <c:w val="0.85599643295917793"/>
          <c:h val="0.1806076398723540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chart>
  <c:txPr>
    <a:bodyPr/>
    <a:lstStyle/>
    <a:p>
      <a:pPr>
        <a:defRPr b="1">
          <a:solidFill>
            <a:sysClr val="windowText" lastClr="000000"/>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tx>
        <cx:txData>
          <cx:v>High Insight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High Insight</a:t>
          </a:r>
        </a:p>
      </cx:txPr>
    </cx:title>
    <cx:plotArea>
      <cx:plotAreaRegion>
        <cx:series layoutId="funnel" uniqueId="{7377EE91-7168-456D-89E7-46E12F1DDAEF}">
          <cx:dataPt idx="1">
            <cx:spPr>
              <a:solidFill>
                <a:srgbClr val="ED7D31"/>
              </a:solidFill>
            </cx:spPr>
          </cx:dataPt>
          <cx:dataPt idx="2">
            <cx:spPr>
              <a:solidFill>
                <a:srgbClr val="A5A5A5"/>
              </a:solidFill>
            </cx:spPr>
          </cx:dataPt>
          <cx:dataPt idx="3">
            <cx:spPr>
              <a:solidFill>
                <a:srgbClr val="FFC000"/>
              </a:solidFill>
            </cx:spPr>
          </cx:dataPt>
          <cx:dataPt idx="4">
            <cx:spPr>
              <a:solidFill>
                <a:srgbClr val="5B9BD5"/>
              </a:solidFill>
            </cx:spPr>
          </cx:dataPt>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150000006"/>
        <cx:tickLabels/>
      </cx:axis>
    </cx:plotArea>
  </cx:chart>
  <cx:spPr>
    <a:solidFill>
      <a:schemeClr val="bg1">
        <a:lumMod val="9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_xlchart.v2.2</cx:f>
      </cx:strDim>
      <cx:numDim type="val">
        <cx:f dir="row">_xlchart.v2.3</cx:f>
      </cx:numDim>
    </cx:data>
  </cx:chartData>
  <cx:chart>
    <cx:title pos="t" align="ctr" overlay="0">
      <cx:tx>
        <cx:txData>
          <cx:v>Lowest Insight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Lowest Insight</a:t>
          </a:r>
        </a:p>
      </cx:txPr>
    </cx:title>
    <cx:plotArea>
      <cx:plotAreaRegion>
        <cx:series layoutId="funnel" uniqueId="{F46D98D6-8E4D-485F-83E9-B700507DB31B}">
          <cx:dataPt idx="1">
            <cx:spPr>
              <a:solidFill>
                <a:srgbClr val="ED7D31"/>
              </a:solidFill>
            </cx:spPr>
          </cx:dataPt>
          <cx:dataPt idx="2">
            <cx:spPr>
              <a:solidFill>
                <a:srgbClr val="A5A5A5"/>
              </a:solidFill>
            </cx:spPr>
          </cx:dataPt>
          <cx:dataPt idx="3">
            <cx:spPr>
              <a:solidFill>
                <a:srgbClr val="FFC000"/>
              </a:solidFill>
            </cx:spPr>
          </cx:dataPt>
          <cx:dataPt idx="4">
            <cx:spPr>
              <a:solidFill>
                <a:srgbClr val="5B9BD5"/>
              </a:solidFill>
            </cx:spPr>
          </cx:dataPt>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150000006"/>
        <cx:tickLabels/>
      </cx:axis>
    </cx:plotArea>
  </cx:chart>
  <cx:spPr>
    <a:solidFill>
      <a:schemeClr val="bg1">
        <a:lumMod val="9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_xlchart.v2.4</cx:f>
      </cx:strDim>
      <cx:numDim type="val">
        <cx:f dir="row">_xlchart.v2.5</cx:f>
      </cx:numDim>
    </cx:data>
  </cx:chartData>
  <cx:chart>
    <cx:title pos="t" align="ctr" overlay="0">
      <cx:tx>
        <cx:txData>
          <cx:v>Average Insight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Average Insight</a:t>
          </a:r>
        </a:p>
      </cx:txPr>
    </cx:title>
    <cx:plotArea>
      <cx:plotAreaRegion>
        <cx:series layoutId="funnel" uniqueId="{8E46CDB1-48E7-4710-BE53-8CC23E844110}">
          <cx:dataPt idx="1">
            <cx:spPr>
              <a:solidFill>
                <a:srgbClr val="ED7D31"/>
              </a:solidFill>
            </cx:spPr>
          </cx:dataPt>
          <cx:dataPt idx="2">
            <cx:spPr>
              <a:solidFill>
                <a:srgbClr val="A5A5A5"/>
              </a:solidFill>
            </cx:spPr>
          </cx:dataPt>
          <cx:dataPt idx="3">
            <cx:spPr>
              <a:solidFill>
                <a:srgbClr val="FFC000"/>
              </a:solidFill>
            </cx:spPr>
          </cx:dataPt>
          <cx:dataPt idx="4">
            <cx:spPr>
              <a:solidFill>
                <a:srgbClr val="5B9BD5"/>
              </a:solidFill>
            </cx:spPr>
          </cx:dataPt>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150000006"/>
        <cx:tickLabels/>
      </cx:axis>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7</xdr:col>
      <xdr:colOff>167640</xdr:colOff>
      <xdr:row>5</xdr:row>
      <xdr:rowOff>7620</xdr:rowOff>
    </xdr:from>
    <xdr:to>
      <xdr:col>15</xdr:col>
      <xdr:colOff>365760</xdr:colOff>
      <xdr:row>16</xdr:row>
      <xdr:rowOff>129540</xdr:rowOff>
    </xdr:to>
    <xdr:graphicFrame macro="">
      <xdr:nvGraphicFramePr>
        <xdr:cNvPr id="2" name="Chart 1">
          <a:extLst>
            <a:ext uri="{FF2B5EF4-FFF2-40B4-BE49-F238E27FC236}">
              <a16:creationId xmlns:a16="http://schemas.microsoft.com/office/drawing/2014/main" id="{F1A1B61A-C694-43F9-ADB8-0BAD6E2D6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219404</xdr:colOff>
      <xdr:row>2</xdr:row>
      <xdr:rowOff>3416</xdr:rowOff>
    </xdr:from>
    <xdr:to>
      <xdr:col>19</xdr:col>
      <xdr:colOff>275520</xdr:colOff>
      <xdr:row>4</xdr:row>
      <xdr:rowOff>167640</xdr:rowOff>
    </xdr:to>
    <xdr:grpSp>
      <xdr:nvGrpSpPr>
        <xdr:cNvPr id="15" name="Group 14">
          <a:extLst>
            <a:ext uri="{FF2B5EF4-FFF2-40B4-BE49-F238E27FC236}">
              <a16:creationId xmlns:a16="http://schemas.microsoft.com/office/drawing/2014/main" id="{2320EFD9-F706-49B1-A51F-2FD6984481E4}"/>
            </a:ext>
          </a:extLst>
        </xdr:cNvPr>
        <xdr:cNvGrpSpPr/>
      </xdr:nvGrpSpPr>
      <xdr:grpSpPr>
        <a:xfrm>
          <a:off x="4989524" y="300596"/>
          <a:ext cx="9695416" cy="545224"/>
          <a:chOff x="2015545" y="776156"/>
          <a:chExt cx="2893785" cy="504839"/>
        </a:xfrm>
      </xdr:grpSpPr>
      <xdr:sp macro="" textlink="">
        <xdr:nvSpPr>
          <xdr:cNvPr id="3" name="Rectangle: Rounded Corners 2">
            <a:extLst>
              <a:ext uri="{FF2B5EF4-FFF2-40B4-BE49-F238E27FC236}">
                <a16:creationId xmlns:a16="http://schemas.microsoft.com/office/drawing/2014/main" id="{8B3EEEA9-78F7-4E8E-B923-6391D4821E58}"/>
              </a:ext>
            </a:extLst>
          </xdr:cNvPr>
          <xdr:cNvSpPr/>
        </xdr:nvSpPr>
        <xdr:spPr>
          <a:xfrm>
            <a:off x="2015545" y="780160"/>
            <a:ext cx="2812989" cy="500835"/>
          </a:xfrm>
          <a:prstGeom prst="round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Geo Name by Ave. Price'!A23">
        <xdr:nvSpPr>
          <xdr:cNvPr id="4" name="TextBox 3">
            <a:extLst>
              <a:ext uri="{FF2B5EF4-FFF2-40B4-BE49-F238E27FC236}">
                <a16:creationId xmlns:a16="http://schemas.microsoft.com/office/drawing/2014/main" id="{7E7ED018-0926-407B-8278-B37B2906D44C}"/>
              </a:ext>
            </a:extLst>
          </xdr:cNvPr>
          <xdr:cNvSpPr txBox="1"/>
        </xdr:nvSpPr>
        <xdr:spPr>
          <a:xfrm>
            <a:off x="2060832" y="969186"/>
            <a:ext cx="390923" cy="282774"/>
          </a:xfrm>
          <a:prstGeom prst="round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8ACD13-E3A1-4572-A7E7-1D222EB8F388}" type="TxLink">
              <a:rPr lang="en-US" sz="1200" b="1" i="0" u="none" strike="noStrike">
                <a:solidFill>
                  <a:schemeClr val="bg1"/>
                </a:solidFill>
                <a:latin typeface="Calibri"/>
                <a:cs typeface="Calibri"/>
              </a:rPr>
              <a:pPr algn="ctr"/>
              <a:t>17523492</a:t>
            </a:fld>
            <a:endParaRPr lang="en-NG" sz="1200" b="1">
              <a:solidFill>
                <a:schemeClr val="bg1"/>
              </a:solidFill>
            </a:endParaRPr>
          </a:p>
        </xdr:txBody>
      </xdr:sp>
      <xdr:sp macro="" textlink="'Geo Name by Ave. Price'!A22">
        <xdr:nvSpPr>
          <xdr:cNvPr id="6" name="TextBox 5">
            <a:extLst>
              <a:ext uri="{FF2B5EF4-FFF2-40B4-BE49-F238E27FC236}">
                <a16:creationId xmlns:a16="http://schemas.microsoft.com/office/drawing/2014/main" id="{72FB6B73-3AFE-405A-81F4-FD878E6AAB6D}"/>
              </a:ext>
            </a:extLst>
          </xdr:cNvPr>
          <xdr:cNvSpPr txBox="1"/>
        </xdr:nvSpPr>
        <xdr:spPr>
          <a:xfrm>
            <a:off x="2018347" y="777240"/>
            <a:ext cx="487226" cy="15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C12110-F5D0-4E01-81BF-2549484B282F}" type="TxLink">
              <a:rPr lang="en-US" sz="1100" b="1" i="0" u="none" strike="noStrike">
                <a:solidFill>
                  <a:srgbClr val="000000"/>
                </a:solidFill>
                <a:latin typeface="Calibri"/>
                <a:cs typeface="Calibri"/>
              </a:rPr>
              <a:pPr algn="ctr"/>
              <a:t>Total Average Price</a:t>
            </a:fld>
            <a:endParaRPr lang="en-NG" sz="1100" b="1"/>
          </a:p>
        </xdr:txBody>
      </xdr:sp>
      <xdr:sp macro="" textlink="'Geo Name by Ave. Price'!B23">
        <xdr:nvSpPr>
          <xdr:cNvPr id="7" name="TextBox 6">
            <a:extLst>
              <a:ext uri="{FF2B5EF4-FFF2-40B4-BE49-F238E27FC236}">
                <a16:creationId xmlns:a16="http://schemas.microsoft.com/office/drawing/2014/main" id="{C58A319E-4F01-4124-B64F-C01BC3124674}"/>
              </a:ext>
            </a:extLst>
          </xdr:cNvPr>
          <xdr:cNvSpPr txBox="1"/>
        </xdr:nvSpPr>
        <xdr:spPr>
          <a:xfrm>
            <a:off x="2594497" y="968102"/>
            <a:ext cx="390788" cy="284623"/>
          </a:xfrm>
          <a:prstGeom prst="round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C0E95A-65CD-4340-98EB-8C4A1B04CD49}" type="TxLink">
              <a:rPr lang="en-US" sz="1200" b="1" i="0" u="none" strike="noStrike">
                <a:solidFill>
                  <a:schemeClr val="bg1"/>
                </a:solidFill>
                <a:latin typeface="Calibri"/>
                <a:ea typeface="+mn-ea"/>
                <a:cs typeface="Calibri"/>
              </a:rPr>
              <a:pPr marL="0" indent="0" algn="ctr"/>
              <a:t>23362310</a:t>
            </a:fld>
            <a:endParaRPr lang="en-NG" sz="1200" b="1" i="0" u="none" strike="noStrike">
              <a:solidFill>
                <a:schemeClr val="bg1"/>
              </a:solidFill>
              <a:latin typeface="Calibri"/>
              <a:ea typeface="+mn-ea"/>
              <a:cs typeface="Calibri"/>
            </a:endParaRPr>
          </a:p>
        </xdr:txBody>
      </xdr:sp>
      <xdr:sp macro="" textlink="'Geo Name by Ave. Price'!B22">
        <xdr:nvSpPr>
          <xdr:cNvPr id="8" name="TextBox 7">
            <a:extLst>
              <a:ext uri="{FF2B5EF4-FFF2-40B4-BE49-F238E27FC236}">
                <a16:creationId xmlns:a16="http://schemas.microsoft.com/office/drawing/2014/main" id="{FDE9E1FF-B859-4056-9DB5-11E93C11985E}"/>
              </a:ext>
            </a:extLst>
          </xdr:cNvPr>
          <xdr:cNvSpPr txBox="1"/>
        </xdr:nvSpPr>
        <xdr:spPr>
          <a:xfrm>
            <a:off x="2479764" y="776156"/>
            <a:ext cx="622646" cy="163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688723-609E-44BB-88BF-C6BDBF653B72}" type="TxLink">
              <a:rPr lang="en-US" sz="1100" b="1" i="0" u="none" strike="noStrike">
                <a:solidFill>
                  <a:srgbClr val="000000"/>
                </a:solidFill>
                <a:latin typeface="Calibri"/>
                <a:cs typeface="Calibri"/>
              </a:rPr>
              <a:pPr algn="ctr"/>
              <a:t>Total Ave. Price Detached</a:t>
            </a:fld>
            <a:endParaRPr lang="en-NG" sz="1100" b="1"/>
          </a:p>
        </xdr:txBody>
      </xdr:sp>
      <xdr:sp macro="" textlink="'Geo Name by Ave. Price'!C22">
        <xdr:nvSpPr>
          <xdr:cNvPr id="9" name="TextBox 8">
            <a:extLst>
              <a:ext uri="{FF2B5EF4-FFF2-40B4-BE49-F238E27FC236}">
                <a16:creationId xmlns:a16="http://schemas.microsoft.com/office/drawing/2014/main" id="{669888DC-6B2C-4FEF-A75F-7811FD6A9B97}"/>
              </a:ext>
            </a:extLst>
          </xdr:cNvPr>
          <xdr:cNvSpPr txBox="1"/>
        </xdr:nvSpPr>
        <xdr:spPr>
          <a:xfrm>
            <a:off x="3017200" y="787642"/>
            <a:ext cx="740685" cy="159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FA750D-D7FB-42F9-BFD6-A3628BB440FB}" type="TxLink">
              <a:rPr lang="en-US" sz="1100" b="1" i="0" u="none" strike="noStrike">
                <a:solidFill>
                  <a:srgbClr val="000000"/>
                </a:solidFill>
                <a:latin typeface="Calibri"/>
                <a:cs typeface="Calibri"/>
              </a:rPr>
              <a:pPr algn="ctr"/>
              <a:t>Total Ave. Price Semi Detached</a:t>
            </a:fld>
            <a:endParaRPr lang="en-NG" sz="1100" b="1"/>
          </a:p>
        </xdr:txBody>
      </xdr:sp>
      <xdr:sp macro="" textlink="'Geo Name by Ave. Price'!C23">
        <xdr:nvSpPr>
          <xdr:cNvPr id="10" name="TextBox 9">
            <a:extLst>
              <a:ext uri="{FF2B5EF4-FFF2-40B4-BE49-F238E27FC236}">
                <a16:creationId xmlns:a16="http://schemas.microsoft.com/office/drawing/2014/main" id="{D3323ECD-CCA9-4451-8C49-56B110A25FC8}"/>
              </a:ext>
            </a:extLst>
          </xdr:cNvPr>
          <xdr:cNvSpPr txBox="1"/>
        </xdr:nvSpPr>
        <xdr:spPr>
          <a:xfrm>
            <a:off x="3196854" y="970159"/>
            <a:ext cx="390788" cy="281194"/>
          </a:xfrm>
          <a:prstGeom prst="roundRect">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82100C-A9F9-4380-B55C-9D621416591E}" type="TxLink">
              <a:rPr lang="en-US" sz="1200" b="1" i="0" u="none" strike="noStrike">
                <a:solidFill>
                  <a:schemeClr val="bg1"/>
                </a:solidFill>
                <a:latin typeface="Calibri"/>
                <a:ea typeface="+mn-ea"/>
                <a:cs typeface="Calibri"/>
              </a:rPr>
              <a:pPr marL="0" indent="0" algn="ctr"/>
              <a:t>15495773</a:t>
            </a:fld>
            <a:endParaRPr lang="en-NG" sz="1200" b="1" i="0" u="none" strike="noStrike">
              <a:solidFill>
                <a:schemeClr val="bg1"/>
              </a:solidFill>
              <a:latin typeface="Calibri"/>
              <a:ea typeface="+mn-ea"/>
              <a:cs typeface="Calibri"/>
            </a:endParaRPr>
          </a:p>
        </xdr:txBody>
      </xdr:sp>
      <xdr:sp macro="" textlink="'Geo Name by Ave. Price'!D22">
        <xdr:nvSpPr>
          <xdr:cNvPr id="11" name="TextBox 10">
            <a:extLst>
              <a:ext uri="{FF2B5EF4-FFF2-40B4-BE49-F238E27FC236}">
                <a16:creationId xmlns:a16="http://schemas.microsoft.com/office/drawing/2014/main" id="{98CF1ECC-A53A-4147-A72D-4979966FB745}"/>
              </a:ext>
            </a:extLst>
          </xdr:cNvPr>
          <xdr:cNvSpPr txBox="1"/>
        </xdr:nvSpPr>
        <xdr:spPr>
          <a:xfrm>
            <a:off x="3660819" y="801797"/>
            <a:ext cx="607965" cy="13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756B3E-E18F-4380-9750-851F400AFAF7}" type="TxLink">
              <a:rPr lang="en-US" sz="1100" b="1" i="0" u="none" strike="noStrike">
                <a:solidFill>
                  <a:srgbClr val="000000"/>
                </a:solidFill>
                <a:latin typeface="Calibri"/>
                <a:cs typeface="Calibri"/>
              </a:rPr>
              <a:pPr algn="ctr"/>
              <a:t>Total Ave. Price Terraced</a:t>
            </a:fld>
            <a:endParaRPr lang="en-NG" sz="1100" b="1"/>
          </a:p>
        </xdr:txBody>
      </xdr:sp>
      <xdr:sp macro="" textlink="'Geo Name by Ave. Price'!D23">
        <xdr:nvSpPr>
          <xdr:cNvPr id="12" name="TextBox 11">
            <a:extLst>
              <a:ext uri="{FF2B5EF4-FFF2-40B4-BE49-F238E27FC236}">
                <a16:creationId xmlns:a16="http://schemas.microsoft.com/office/drawing/2014/main" id="{8123C4E8-56F6-4698-84D4-DCDDCB485D21}"/>
              </a:ext>
            </a:extLst>
          </xdr:cNvPr>
          <xdr:cNvSpPr txBox="1"/>
        </xdr:nvSpPr>
        <xdr:spPr>
          <a:xfrm>
            <a:off x="3764999" y="970158"/>
            <a:ext cx="390788" cy="281194"/>
          </a:xfrm>
          <a:prstGeom prst="round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DBFCE5-485F-4F82-A160-C6CF896EECA1}" type="TxLink">
              <a:rPr lang="en-US" sz="1200" b="1" i="0" u="none" strike="noStrike">
                <a:solidFill>
                  <a:schemeClr val="bg1"/>
                </a:solidFill>
                <a:latin typeface="Calibri"/>
                <a:ea typeface="+mn-ea"/>
                <a:cs typeface="Calibri"/>
              </a:rPr>
              <a:pPr marL="0" indent="0" algn="ctr"/>
              <a:t>12444471</a:t>
            </a:fld>
            <a:endParaRPr lang="en-NG" sz="1200" b="1" i="0" u="none" strike="noStrike">
              <a:solidFill>
                <a:schemeClr val="bg1"/>
              </a:solidFill>
              <a:latin typeface="Calibri"/>
              <a:ea typeface="+mn-ea"/>
              <a:cs typeface="Calibri"/>
            </a:endParaRPr>
          </a:p>
        </xdr:txBody>
      </xdr:sp>
      <xdr:sp macro="" textlink="'Geo Name by Ave. Price'!E22">
        <xdr:nvSpPr>
          <xdr:cNvPr id="13" name="TextBox 12">
            <a:extLst>
              <a:ext uri="{FF2B5EF4-FFF2-40B4-BE49-F238E27FC236}">
                <a16:creationId xmlns:a16="http://schemas.microsoft.com/office/drawing/2014/main" id="{51766761-3076-46EE-870E-7E19430982C4}"/>
              </a:ext>
            </a:extLst>
          </xdr:cNvPr>
          <xdr:cNvSpPr txBox="1"/>
        </xdr:nvSpPr>
        <xdr:spPr>
          <a:xfrm>
            <a:off x="4134394" y="815842"/>
            <a:ext cx="774936" cy="131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5793E-E8A5-40C9-BB26-A3EEE60F33C5}" type="TxLink">
              <a:rPr lang="en-US" sz="1100" b="1" i="0" u="none" strike="noStrike">
                <a:solidFill>
                  <a:srgbClr val="000000"/>
                </a:solidFill>
                <a:latin typeface="Calibri"/>
                <a:cs typeface="Calibri"/>
              </a:rPr>
              <a:pPr algn="ctr"/>
              <a:t>Total Ave. Price Flat/Maisonette</a:t>
            </a:fld>
            <a:endParaRPr lang="en-NG" sz="1100" b="1"/>
          </a:p>
        </xdr:txBody>
      </xdr:sp>
      <xdr:sp macro="" textlink="'Geo Name by Ave. Price'!E23">
        <xdr:nvSpPr>
          <xdr:cNvPr id="14" name="TextBox 13">
            <a:extLst>
              <a:ext uri="{FF2B5EF4-FFF2-40B4-BE49-F238E27FC236}">
                <a16:creationId xmlns:a16="http://schemas.microsoft.com/office/drawing/2014/main" id="{BF4942C9-C2C5-4069-BD9C-D5B28A00FA49}"/>
              </a:ext>
            </a:extLst>
          </xdr:cNvPr>
          <xdr:cNvSpPr txBox="1"/>
        </xdr:nvSpPr>
        <xdr:spPr>
          <a:xfrm>
            <a:off x="4330364" y="978391"/>
            <a:ext cx="390788" cy="281194"/>
          </a:xfrm>
          <a:prstGeom prst="round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CD8534-7EF4-47EC-B2FF-84B9C9C22AC8}" type="TxLink">
              <a:rPr lang="en-US" sz="1200" b="1" i="0" u="none" strike="noStrike">
                <a:solidFill>
                  <a:schemeClr val="bg1"/>
                </a:solidFill>
                <a:latin typeface="Calibri"/>
                <a:ea typeface="+mn-ea"/>
                <a:cs typeface="Calibri"/>
              </a:rPr>
              <a:pPr marL="0" indent="0" algn="ctr"/>
              <a:t>9201995</a:t>
            </a:fld>
            <a:endParaRPr lang="en-NG" sz="1200" b="1" i="0" u="none" strike="noStrike">
              <a:solidFill>
                <a:schemeClr val="bg1"/>
              </a:solidFill>
              <a:latin typeface="Calibri"/>
              <a:ea typeface="+mn-ea"/>
              <a:cs typeface="Calibri"/>
            </a:endParaRPr>
          </a:p>
        </xdr:txBody>
      </xdr:sp>
    </xdr:grpSp>
    <xdr:clientData/>
  </xdr:twoCellAnchor>
  <xdr:twoCellAnchor>
    <xdr:from>
      <xdr:col>16</xdr:col>
      <xdr:colOff>281940</xdr:colOff>
      <xdr:row>5</xdr:row>
      <xdr:rowOff>30480</xdr:rowOff>
    </xdr:from>
    <xdr:to>
      <xdr:col>19</xdr:col>
      <xdr:colOff>7620</xdr:colOff>
      <xdr:row>13</xdr:row>
      <xdr:rowOff>76200</xdr:rowOff>
    </xdr:to>
    <xdr:sp macro="" textlink="'Geo Name by Ave. Price'!F17">
      <xdr:nvSpPr>
        <xdr:cNvPr id="16" name="Rectangle: Rounded Corners 15">
          <a:extLst>
            <a:ext uri="{FF2B5EF4-FFF2-40B4-BE49-F238E27FC236}">
              <a16:creationId xmlns:a16="http://schemas.microsoft.com/office/drawing/2014/main" id="{0831D8FE-7929-48CF-9A47-07D4C163E6AE}"/>
            </a:ext>
          </a:extLst>
        </xdr:cNvPr>
        <xdr:cNvSpPr/>
      </xdr:nvSpPr>
      <xdr:spPr>
        <a:xfrm>
          <a:off x="11597640" y="876300"/>
          <a:ext cx="2819400" cy="1485900"/>
        </a:xfrm>
        <a:prstGeom prst="round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4197484-3B26-4AAB-9477-6B60A85140EA}" type="TxLink">
            <a:rPr lang="en-US" sz="1100" b="1" i="0" u="none" strike="noStrike">
              <a:solidFill>
                <a:srgbClr val="000000"/>
              </a:solidFill>
              <a:latin typeface="Calibri"/>
              <a:cs typeface="Calibri"/>
            </a:rPr>
            <a:pPr algn="ctr"/>
            <a:t>South Kesteven Geo Name is the Highest Ave. Price, Highest Ave. Price Detached, Highest Ave. Price Semi Detached, Highest Ave. Price Terraced and Highest Ave. Price Flat/Maisonette</a:t>
          </a:fld>
          <a:endParaRPr lang="en-NG" sz="1100" b="1"/>
        </a:p>
      </xdr:txBody>
    </xdr:sp>
    <xdr:clientData/>
  </xdr:twoCellAnchor>
  <xdr:twoCellAnchor editAs="oneCell">
    <xdr:from>
      <xdr:col>0</xdr:col>
      <xdr:colOff>7620</xdr:colOff>
      <xdr:row>5</xdr:row>
      <xdr:rowOff>15241</xdr:rowOff>
    </xdr:from>
    <xdr:to>
      <xdr:col>3</xdr:col>
      <xdr:colOff>22860</xdr:colOff>
      <xdr:row>10</xdr:row>
      <xdr:rowOff>7620</xdr:rowOff>
    </xdr:to>
    <mc:AlternateContent xmlns:mc="http://schemas.openxmlformats.org/markup-compatibility/2006" xmlns:a14="http://schemas.microsoft.com/office/drawing/2010/main">
      <mc:Choice Requires="a14">
        <xdr:graphicFrame macro="">
          <xdr:nvGraphicFramePr>
            <xdr:cNvPr id="17" name="GeoEntityName">
              <a:extLst>
                <a:ext uri="{FF2B5EF4-FFF2-40B4-BE49-F238E27FC236}">
                  <a16:creationId xmlns:a16="http://schemas.microsoft.com/office/drawing/2014/main" id="{A28F999B-06AD-4845-9FCA-FF09BD592104}"/>
                </a:ext>
              </a:extLst>
            </xdr:cNvPr>
            <xdr:cNvGraphicFramePr/>
          </xdr:nvGraphicFramePr>
          <xdr:xfrm>
            <a:off x="0" y="0"/>
            <a:ext cx="0" cy="0"/>
          </xdr:xfrm>
          <a:graphic>
            <a:graphicData uri="http://schemas.microsoft.com/office/drawing/2010/slicer">
              <sle:slicer xmlns:sle="http://schemas.microsoft.com/office/drawing/2010/slicer" name="GeoEntityName"/>
            </a:graphicData>
          </a:graphic>
        </xdr:graphicFrame>
      </mc:Choice>
      <mc:Fallback xmlns="">
        <xdr:sp macro="" textlink="">
          <xdr:nvSpPr>
            <xdr:cNvPr id="0" name=""/>
            <xdr:cNvSpPr>
              <a:spLocks noTextEdit="1"/>
            </xdr:cNvSpPr>
          </xdr:nvSpPr>
          <xdr:spPr>
            <a:xfrm>
              <a:off x="7620" y="861061"/>
              <a:ext cx="1737360" cy="9067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15</xdr:row>
      <xdr:rowOff>121920</xdr:rowOff>
    </xdr:from>
    <xdr:to>
      <xdr:col>3</xdr:col>
      <xdr:colOff>15240</xdr:colOff>
      <xdr:row>27</xdr:row>
      <xdr:rowOff>7620</xdr:rowOff>
    </xdr:to>
    <mc:AlternateContent xmlns:mc="http://schemas.openxmlformats.org/markup-compatibility/2006" xmlns:a14="http://schemas.microsoft.com/office/drawing/2010/main">
      <mc:Choice Requires="a14">
        <xdr:graphicFrame macro="">
          <xdr:nvGraphicFramePr>
            <xdr:cNvPr id="18" name="GeoName">
              <a:extLst>
                <a:ext uri="{FF2B5EF4-FFF2-40B4-BE49-F238E27FC236}">
                  <a16:creationId xmlns:a16="http://schemas.microsoft.com/office/drawing/2014/main" id="{B94E6A18-DB9E-4BB8-A4D8-F6EFB2807550}"/>
                </a:ext>
              </a:extLst>
            </xdr:cNvPr>
            <xdr:cNvGraphicFramePr/>
          </xdr:nvGraphicFramePr>
          <xdr:xfrm>
            <a:off x="0" y="0"/>
            <a:ext cx="0" cy="0"/>
          </xdr:xfrm>
          <a:graphic>
            <a:graphicData uri="http://schemas.microsoft.com/office/drawing/2010/slicer">
              <sle:slicer xmlns:sle="http://schemas.microsoft.com/office/drawing/2010/slicer" name="GeoName"/>
            </a:graphicData>
          </a:graphic>
        </xdr:graphicFrame>
      </mc:Choice>
      <mc:Fallback xmlns="">
        <xdr:sp macro="" textlink="">
          <xdr:nvSpPr>
            <xdr:cNvPr id="0" name=""/>
            <xdr:cNvSpPr>
              <a:spLocks noTextEdit="1"/>
            </xdr:cNvSpPr>
          </xdr:nvSpPr>
          <xdr:spPr>
            <a:xfrm>
              <a:off x="7620" y="2773680"/>
              <a:ext cx="1729740" cy="24993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10</xdr:row>
      <xdr:rowOff>53341</xdr:rowOff>
    </xdr:from>
    <xdr:to>
      <xdr:col>3</xdr:col>
      <xdr:colOff>17100</xdr:colOff>
      <xdr:row>15</xdr:row>
      <xdr:rowOff>68580</xdr:rowOff>
    </xdr:to>
    <mc:AlternateContent xmlns:mc="http://schemas.openxmlformats.org/markup-compatibility/2006" xmlns:a14="http://schemas.microsoft.com/office/drawing/2010/main">
      <mc:Choice Requires="a14">
        <xdr:graphicFrame macro="">
          <xdr:nvGraphicFramePr>
            <xdr:cNvPr id="19" name="Normal Month">
              <a:extLst>
                <a:ext uri="{FF2B5EF4-FFF2-40B4-BE49-F238E27FC236}">
                  <a16:creationId xmlns:a16="http://schemas.microsoft.com/office/drawing/2014/main" id="{D21D0C1B-EEF0-43DA-8CDD-E2CF0EFF4FF1}"/>
                </a:ext>
              </a:extLst>
            </xdr:cNvPr>
            <xdr:cNvGraphicFramePr/>
          </xdr:nvGraphicFramePr>
          <xdr:xfrm>
            <a:off x="0" y="0"/>
            <a:ext cx="0" cy="0"/>
          </xdr:xfrm>
          <a:graphic>
            <a:graphicData uri="http://schemas.microsoft.com/office/drawing/2010/slicer">
              <sle:slicer xmlns:sle="http://schemas.microsoft.com/office/drawing/2010/slicer" name="Normal Month"/>
            </a:graphicData>
          </a:graphic>
        </xdr:graphicFrame>
      </mc:Choice>
      <mc:Fallback xmlns="">
        <xdr:sp macro="" textlink="">
          <xdr:nvSpPr>
            <xdr:cNvPr id="0" name=""/>
            <xdr:cNvSpPr>
              <a:spLocks noTextEdit="1"/>
            </xdr:cNvSpPr>
          </xdr:nvSpPr>
          <xdr:spPr>
            <a:xfrm>
              <a:off x="7620" y="1813561"/>
              <a:ext cx="1731600" cy="9067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838201</xdr:colOff>
      <xdr:row>2</xdr:row>
      <xdr:rowOff>15240</xdr:rowOff>
    </xdr:from>
    <xdr:to>
      <xdr:col>4</xdr:col>
      <xdr:colOff>1569720</xdr:colOff>
      <xdr:row>4</xdr:row>
      <xdr:rowOff>144780</xdr:rowOff>
    </xdr:to>
    <xdr:grpSp>
      <xdr:nvGrpSpPr>
        <xdr:cNvPr id="24" name="Group 23">
          <a:extLst>
            <a:ext uri="{FF2B5EF4-FFF2-40B4-BE49-F238E27FC236}">
              <a16:creationId xmlns:a16="http://schemas.microsoft.com/office/drawing/2014/main" id="{90EFA511-7FE4-44CD-B7D1-3B02FA9735A2}"/>
            </a:ext>
          </a:extLst>
        </xdr:cNvPr>
        <xdr:cNvGrpSpPr/>
      </xdr:nvGrpSpPr>
      <xdr:grpSpPr>
        <a:xfrm>
          <a:off x="2560321" y="312420"/>
          <a:ext cx="1607819" cy="510540"/>
          <a:chOff x="3938089" y="2811780"/>
          <a:chExt cx="916061" cy="693420"/>
        </a:xfrm>
      </xdr:grpSpPr>
      <xdr:sp macro="" textlink="">
        <xdr:nvSpPr>
          <xdr:cNvPr id="5" name="TextBox 4">
            <a:extLst>
              <a:ext uri="{FF2B5EF4-FFF2-40B4-BE49-F238E27FC236}">
                <a16:creationId xmlns:a16="http://schemas.microsoft.com/office/drawing/2014/main" id="{DC9BC0E7-EB3E-4F42-B8B0-D36E473E8EF5}"/>
              </a:ext>
            </a:extLst>
          </xdr:cNvPr>
          <xdr:cNvSpPr txBox="1"/>
        </xdr:nvSpPr>
        <xdr:spPr>
          <a:xfrm>
            <a:off x="3938089" y="2811780"/>
            <a:ext cx="916061" cy="16002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100" b="1" i="0" u="none" strike="noStrike">
                <a:solidFill>
                  <a:srgbClr val="000000"/>
                </a:solidFill>
                <a:latin typeface="Calibri"/>
                <a:ea typeface="+mn-ea"/>
                <a:cs typeface="Calibri"/>
              </a:rPr>
              <a:t>Total Occupant/Tenant</a:t>
            </a:r>
          </a:p>
        </xdr:txBody>
      </xdr:sp>
      <xdr:sp macro="" textlink="'Yearly Shares by Geo Name'!K3">
        <xdr:nvSpPr>
          <xdr:cNvPr id="23" name="Pentagon 22">
            <a:extLst>
              <a:ext uri="{FF2B5EF4-FFF2-40B4-BE49-F238E27FC236}">
                <a16:creationId xmlns:a16="http://schemas.microsoft.com/office/drawing/2014/main" id="{D895AF29-0BED-4992-AAEE-8760683A3E85}"/>
              </a:ext>
            </a:extLst>
          </xdr:cNvPr>
          <xdr:cNvSpPr/>
        </xdr:nvSpPr>
        <xdr:spPr>
          <a:xfrm>
            <a:off x="3985260" y="3040380"/>
            <a:ext cx="777240" cy="464820"/>
          </a:xfrm>
          <a:prstGeom prst="pentagon">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9A865C-EEFB-4D55-9EB8-F4D328A6A54B}" type="TxLink">
              <a:rPr lang="en-US" sz="2000" b="1" i="0" u="none" strike="noStrike">
                <a:solidFill>
                  <a:srgbClr val="000000"/>
                </a:solidFill>
                <a:latin typeface="Calibri"/>
                <a:cs typeface="Calibri"/>
              </a:rPr>
              <a:pPr algn="ctr"/>
              <a:t>96</a:t>
            </a:fld>
            <a:endParaRPr lang="en-NG" sz="2000" b="1"/>
          </a:p>
        </xdr:txBody>
      </xdr:sp>
    </xdr:grpSp>
    <xdr:clientData/>
  </xdr:twoCellAnchor>
  <xdr:twoCellAnchor>
    <xdr:from>
      <xdr:col>16</xdr:col>
      <xdr:colOff>1767840</xdr:colOff>
      <xdr:row>22</xdr:row>
      <xdr:rowOff>48830</xdr:rowOff>
    </xdr:from>
    <xdr:to>
      <xdr:col>18</xdr:col>
      <xdr:colOff>22860</xdr:colOff>
      <xdr:row>25</xdr:row>
      <xdr:rowOff>88330</xdr:rowOff>
    </xdr:to>
    <xdr:sp macro="" textlink="">
      <xdr:nvSpPr>
        <xdr:cNvPr id="25" name="Speech Bubble: Oval 24">
          <a:extLst>
            <a:ext uri="{FF2B5EF4-FFF2-40B4-BE49-F238E27FC236}">
              <a16:creationId xmlns:a16="http://schemas.microsoft.com/office/drawing/2014/main" id="{DCD0BF4A-ADD2-4147-9708-DBC2FA7541D7}"/>
            </a:ext>
          </a:extLst>
        </xdr:cNvPr>
        <xdr:cNvSpPr/>
      </xdr:nvSpPr>
      <xdr:spPr>
        <a:xfrm>
          <a:off x="12984480" y="4262690"/>
          <a:ext cx="1112520" cy="611000"/>
        </a:xfrm>
        <a:prstGeom prst="wedgeEllipseCallou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b="1">
              <a:solidFill>
                <a:sysClr val="windowText" lastClr="000000"/>
              </a:solidFill>
            </a:rPr>
            <a:t>Created by</a:t>
          </a:r>
          <a:r>
            <a:rPr lang="en-GB" sz="1050" b="1" baseline="0">
              <a:solidFill>
                <a:sysClr val="windowText" lastClr="000000"/>
              </a:solidFill>
            </a:rPr>
            <a:t> Big Chibz</a:t>
          </a:r>
          <a:endParaRPr lang="en-NG" sz="1050" b="1">
            <a:solidFill>
              <a:sysClr val="windowText" lastClr="000000"/>
            </a:solidFill>
          </a:endParaRPr>
        </a:p>
      </xdr:txBody>
    </xdr:sp>
    <xdr:clientData/>
  </xdr:twoCellAnchor>
  <xdr:twoCellAnchor>
    <xdr:from>
      <xdr:col>16</xdr:col>
      <xdr:colOff>7620</xdr:colOff>
      <xdr:row>19</xdr:row>
      <xdr:rowOff>99060</xdr:rowOff>
    </xdr:from>
    <xdr:to>
      <xdr:col>17</xdr:col>
      <xdr:colOff>342900</xdr:colOff>
      <xdr:row>21</xdr:row>
      <xdr:rowOff>175260</xdr:rowOff>
    </xdr:to>
    <xdr:sp macro="" textlink="">
      <xdr:nvSpPr>
        <xdr:cNvPr id="20" name="TextBox 19">
          <a:extLst>
            <a:ext uri="{FF2B5EF4-FFF2-40B4-BE49-F238E27FC236}">
              <a16:creationId xmlns:a16="http://schemas.microsoft.com/office/drawing/2014/main" id="{621B2DEB-182C-E4E8-384F-ADAC4781F06F}"/>
            </a:ext>
          </a:extLst>
        </xdr:cNvPr>
        <xdr:cNvSpPr txBox="1"/>
      </xdr:nvSpPr>
      <xdr:spPr>
        <a:xfrm>
          <a:off x="11224260" y="3741420"/>
          <a:ext cx="25908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There</a:t>
          </a:r>
          <a:r>
            <a:rPr lang="en-GB" sz="1100" baseline="0"/>
            <a:t> is a drop down for Highest Detail and Lowest Detail Info.</a:t>
          </a:r>
          <a:endParaRPr lang="en-NG" sz="1100"/>
        </a:p>
      </xdr:txBody>
    </xdr:sp>
    <xdr:clientData/>
  </xdr:twoCellAnchor>
  <xdr:twoCellAnchor>
    <xdr:from>
      <xdr:col>3</xdr:col>
      <xdr:colOff>29803</xdr:colOff>
      <xdr:row>5</xdr:row>
      <xdr:rowOff>27704</xdr:rowOff>
    </xdr:from>
    <xdr:to>
      <xdr:col>7</xdr:col>
      <xdr:colOff>137160</xdr:colOff>
      <xdr:row>13</xdr:row>
      <xdr:rowOff>27524</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08A94490-188B-406F-8341-713B4E72D8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51923" y="888764"/>
              <a:ext cx="3764957" cy="1440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30480</xdr:colOff>
      <xdr:row>13</xdr:row>
      <xdr:rowOff>45720</xdr:rowOff>
    </xdr:from>
    <xdr:to>
      <xdr:col>7</xdr:col>
      <xdr:colOff>138480</xdr:colOff>
      <xdr:row>19</xdr:row>
      <xdr:rowOff>31286</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971987C2-70BD-4B7B-86BC-C03A4E267A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52600" y="2346960"/>
              <a:ext cx="3765600" cy="144098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xdr:colOff>
      <xdr:row>19</xdr:row>
      <xdr:rowOff>53340</xdr:rowOff>
    </xdr:from>
    <xdr:to>
      <xdr:col>7</xdr:col>
      <xdr:colOff>130860</xdr:colOff>
      <xdr:row>26</xdr:row>
      <xdr:rowOff>159840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6ECC25AF-AA8C-4AB0-9797-79DD367383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44980" y="3810000"/>
              <a:ext cx="3765600" cy="1440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hibuzo Nwankwo" id="{A25E9490-C863-4D3E-9631-06F26B2375D6}" userId="3388bc1910772047"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RZO" refreshedDate="44891.551923263891" createdVersion="7" refreshedVersion="8" minRefreshableVersion="3" recordCount="96" xr:uid="{182317A3-7565-48AD-A5E3-A500EE13E4C4}">
  <cacheSource type="worksheet">
    <worksheetSource ref="A1:R97" sheet="house-prices"/>
  </cacheSource>
  <cacheFields count="18">
    <cacheField name="OrganisationLabel" numFmtId="0">
      <sharedItems/>
    </cacheField>
    <cacheField name="OrganisationURI" numFmtId="0">
      <sharedItems/>
    </cacheField>
    <cacheField name="PublishedDate" numFmtId="0">
      <sharedItems/>
    </cacheField>
    <cacheField name="LatestData" numFmtId="0">
      <sharedItems containsBlank="1"/>
    </cacheField>
    <cacheField name="DurationFrom" numFmtId="0">
      <sharedItems/>
    </cacheField>
    <cacheField name="DurationTo" numFmtId="0">
      <sharedItems/>
    </cacheField>
    <cacheField name="ReportingPeriodType" numFmtId="0">
      <sharedItems containsBlank="1"/>
    </cacheField>
    <cacheField name="Month" numFmtId="0">
      <sharedItems/>
    </cacheField>
    <cacheField name="Normal Month" numFmtId="0">
      <sharedItems count="2">
        <s v="2019"/>
        <s v="2018"/>
      </sharedItems>
    </cacheField>
    <cacheField name="GeoEntityName" numFmtId="0">
      <sharedItems count="2">
        <s v="County"/>
        <s v="District Council"/>
      </sharedItems>
    </cacheField>
    <cacheField name="GeoCode" numFmtId="0">
      <sharedItems/>
    </cacheField>
    <cacheField name="GeoName" numFmtId="0">
      <sharedItems count="8">
        <s v="Lincolnshire"/>
        <s v="Boston"/>
        <s v="East Lindsey"/>
        <s v="Lincoln"/>
        <s v="North Kesteven"/>
        <s v="South Holland"/>
        <s v="South Kesteven"/>
        <s v="West Lindsey"/>
      </sharedItems>
    </cacheField>
    <cacheField name="GeoURI" numFmtId="0">
      <sharedItems/>
    </cacheField>
    <cacheField name="AveragePrice" numFmtId="0">
      <sharedItems containsSemiMixedTypes="0" containsString="0" containsNumber="1" containsInteger="1" minValue="148645" maxValue="225459"/>
    </cacheField>
    <cacheField name="AveragePriceDetached" numFmtId="0">
      <sharedItems containsSemiMixedTypes="0" containsString="0" containsNumber="1" containsInteger="1" minValue="204639" maxValue="317157"/>
    </cacheField>
    <cacheField name="AveragePriceSemiDetached" numFmtId="0">
      <sharedItems containsSemiMixedTypes="0" containsString="0" containsNumber="1" containsInteger="1" minValue="127749" maxValue="204871"/>
    </cacheField>
    <cacheField name="AveragePriceTerraced" numFmtId="0">
      <sharedItems containsSemiMixedTypes="0" containsString="0" containsNumber="1" containsInteger="1" minValue="102068" maxValue="164583"/>
    </cacheField>
    <cacheField name="AveragePriceFlatOrMaisonette" numFmtId="0">
      <sharedItems containsSemiMixedTypes="0" containsString="0" containsNumber="1" containsInteger="1" minValue="76677" maxValue="113158"/>
    </cacheField>
  </cacheFields>
  <extLst>
    <ext xmlns:x14="http://schemas.microsoft.com/office/spreadsheetml/2009/9/main" uri="{725AE2AE-9491-48be-B2B4-4EB974FC3084}">
      <x14:pivotCacheDefinition pivotCacheId="678785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Lincolnshire"/>
    <s v="http://opendatacommunities.org/id/county-council/lincolnshire"/>
    <s v="2019-11-20T00:00:00"/>
    <b v="1"/>
    <s v="2019-10-01T00:00:00"/>
    <s v="2019-10-30T23:23:59"/>
    <m/>
    <s v="2019-10"/>
    <x v="0"/>
    <x v="0"/>
    <s v="E10000019"/>
    <x v="0"/>
    <s v="http://statistics.data.gov.uk/doc/statistical-geography/E10000019"/>
    <n v="190317"/>
    <n v="251377"/>
    <n v="168595"/>
    <n v="135769"/>
    <n v="99165"/>
  </r>
  <r>
    <s v="Lincolnshire"/>
    <s v="http://opendatacommunities.org/id/county-council/lincolnshire"/>
    <s v="2019-11-20T00:00:00"/>
    <b v="1"/>
    <s v="2019-10-01T00:00:00"/>
    <s v="2019-10-30T23:23:59"/>
    <m/>
    <s v="2019-10"/>
    <x v="0"/>
    <x v="1"/>
    <s v="E07000136"/>
    <x v="1"/>
    <s v="http://statistics.data.gov.uk/doc/statistical-geography/E07000136"/>
    <n v="148645"/>
    <n v="204639"/>
    <n v="127749"/>
    <n v="102068"/>
    <n v="76677"/>
  </r>
  <r>
    <s v="Lincolnshire"/>
    <s v="http://opendatacommunities.org/id/county-council/lincolnshire"/>
    <s v="2019-11-20T00:00:00"/>
    <b v="1"/>
    <s v="2019-10-01T00:00:00"/>
    <s v="2019-10-30T23:23:59"/>
    <m/>
    <s v="2019-10"/>
    <x v="0"/>
    <x v="1"/>
    <s v="E07000137"/>
    <x v="2"/>
    <s v="http://statistics.data.gov.uk/doc/statistical-geography/E07000137"/>
    <n v="183746"/>
    <n v="227343"/>
    <n v="156344"/>
    <n v="123702"/>
    <n v="90088"/>
  </r>
  <r>
    <s v="Lincolnshire"/>
    <s v="http://opendatacommunities.org/id/county-council/lincolnshire"/>
    <s v="2019-11-20T00:00:00"/>
    <b v="1"/>
    <s v="2019-10-01T00:00:00"/>
    <s v="2019-10-30T23:23:59"/>
    <m/>
    <s v="2019-10"/>
    <x v="0"/>
    <x v="1"/>
    <s v="E07000138"/>
    <x v="3"/>
    <s v="http://statistics.data.gov.uk/doc/statistical-geography/E07000138"/>
    <n v="156762"/>
    <n v="251991"/>
    <n v="170338"/>
    <n v="130887"/>
    <n v="103079"/>
  </r>
  <r>
    <s v="Lincolnshire"/>
    <s v="http://opendatacommunities.org/id/county-council/lincolnshire"/>
    <s v="2019-11-20T00:00:00"/>
    <b v="1"/>
    <s v="2019-10-01T00:00:00"/>
    <s v="2019-10-30T23:23:59"/>
    <m/>
    <s v="2019-10"/>
    <x v="0"/>
    <x v="1"/>
    <s v="E07000139"/>
    <x v="4"/>
    <s v="http://statistics.data.gov.uk/doc/statistical-geography/E07000139"/>
    <n v="217448"/>
    <n v="263722"/>
    <n v="179488"/>
    <n v="148310"/>
    <n v="104026"/>
  </r>
  <r>
    <s v="Lincolnshire"/>
    <s v="http://opendatacommunities.org/id/county-council/lincolnshire"/>
    <s v="2019-11-20T00:00:00"/>
    <b v="1"/>
    <s v="2019-10-01T00:00:00"/>
    <s v="2019-10-30T23:23:59"/>
    <m/>
    <s v="2019-10"/>
    <x v="0"/>
    <x v="1"/>
    <s v="E07000140"/>
    <x v="5"/>
    <s v="http://statistics.data.gov.uk/doc/statistical-geography/E07000140"/>
    <n v="193038"/>
    <n v="239726"/>
    <n v="163823"/>
    <n v="132916"/>
    <n v="85788"/>
  </r>
  <r>
    <s v="Lincolnshire"/>
    <s v="http://opendatacommunities.org/id/county-council/lincolnshire"/>
    <s v="2019-11-20T00:00:00"/>
    <b v="1"/>
    <s v="2019-10-01T00:00:00"/>
    <s v="2019-10-30T23:23:59"/>
    <m/>
    <s v="2019-10"/>
    <x v="0"/>
    <x v="1"/>
    <s v="E07000141"/>
    <x v="6"/>
    <s v="http://statistics.data.gov.uk/doc/statistical-geography/E07000141"/>
    <n v="225459"/>
    <n v="317157"/>
    <n v="204871"/>
    <n v="164583"/>
    <n v="112596"/>
  </r>
  <r>
    <s v="Lincolnshire"/>
    <s v="http://opendatacommunities.org/id/county-council/lincolnshire"/>
    <s v="2019-11-20T00:00:00"/>
    <b v="1"/>
    <s v="2019-10-01T00:00:00"/>
    <s v="2019-10-30T23:23:59"/>
    <m/>
    <s v="2019-10"/>
    <x v="0"/>
    <x v="1"/>
    <s v="E07000142"/>
    <x v="7"/>
    <s v="http://statistics.data.gov.uk/doc/statistical-geography/E07000142"/>
    <n v="177666"/>
    <n v="234278"/>
    <n v="151866"/>
    <n v="123096"/>
    <n v="94936"/>
  </r>
  <r>
    <s v="Lincolnshire"/>
    <s v="http://opendatacommunities.org/id/county-council/lincolnshire"/>
    <s v="2019-11-20T00:00:00"/>
    <m/>
    <s v="2019-09-01T00:00:00"/>
    <s v="2019-09-30T23:23:59"/>
    <s v="Month"/>
    <s v="2019-09"/>
    <x v="0"/>
    <x v="0"/>
    <s v="E10000019"/>
    <x v="0"/>
    <s v="http://statistics.data.gov.uk/doc/statistical-geography/E10000019"/>
    <n v="187606"/>
    <n v="247212"/>
    <n v="165771"/>
    <n v="134437"/>
    <n v="99378"/>
  </r>
  <r>
    <s v="Lincolnshire"/>
    <s v="http://opendatacommunities.org/id/county-council/lincolnshire"/>
    <s v="2019-11-20T00:00:00"/>
    <m/>
    <s v="2019-09-01T00:00:00"/>
    <s v="2019-09-30T23:23:59"/>
    <s v="Month"/>
    <s v="2019-09"/>
    <x v="0"/>
    <x v="1"/>
    <s v="E07000136"/>
    <x v="1"/>
    <s v="http://statistics.data.gov.uk/doc/statistical-geography/E07000136"/>
    <n v="152057"/>
    <n v="208911"/>
    <n v="130407"/>
    <n v="104823"/>
    <n v="79814"/>
  </r>
  <r>
    <s v="Lincolnshire"/>
    <s v="http://opendatacommunities.org/id/county-council/lincolnshire"/>
    <s v="2019-11-20T00:00:00"/>
    <m/>
    <s v="2019-09-01T00:00:00"/>
    <s v="2019-09-30T23:23:59"/>
    <s v="Month"/>
    <s v="2019-09"/>
    <x v="0"/>
    <x v="1"/>
    <s v="E07000137"/>
    <x v="2"/>
    <s v="http://statistics.data.gov.uk/doc/statistical-geography/E07000137"/>
    <n v="179884"/>
    <n v="222265"/>
    <n v="152846"/>
    <n v="121562"/>
    <n v="89425"/>
  </r>
  <r>
    <s v="Lincolnshire"/>
    <s v="http://opendatacommunities.org/id/county-council/lincolnshire"/>
    <s v="2019-11-20T00:00:00"/>
    <m/>
    <s v="2019-09-01T00:00:00"/>
    <s v="2019-09-30T23:23:59"/>
    <s v="Month"/>
    <s v="2019-09"/>
    <x v="0"/>
    <x v="1"/>
    <s v="E07000138"/>
    <x v="3"/>
    <s v="http://statistics.data.gov.uk/doc/statistical-geography/E07000138"/>
    <n v="155403"/>
    <n v="248942"/>
    <n v="167867"/>
    <n v="129763"/>
    <n v="103813"/>
  </r>
  <r>
    <s v="Lincolnshire"/>
    <s v="http://opendatacommunities.org/id/county-council/lincolnshire"/>
    <s v="2019-11-20T00:00:00"/>
    <m/>
    <s v="2019-09-01T00:00:00"/>
    <s v="2019-09-30T23:23:59"/>
    <s v="Month"/>
    <s v="2019-09"/>
    <x v="0"/>
    <x v="1"/>
    <s v="E07000139"/>
    <x v="4"/>
    <s v="http://statistics.data.gov.uk/doc/statistical-geography/E07000139"/>
    <n v="211486"/>
    <n v="256451"/>
    <n v="174149"/>
    <n v="144661"/>
    <n v="102284"/>
  </r>
  <r>
    <s v="Lincolnshire"/>
    <s v="http://opendatacommunities.org/id/county-council/lincolnshire"/>
    <s v="2019-11-20T00:00:00"/>
    <m/>
    <s v="2019-09-01T00:00:00"/>
    <s v="2019-09-30T23:23:59"/>
    <s v="Month"/>
    <s v="2019-09"/>
    <x v="0"/>
    <x v="1"/>
    <s v="E07000140"/>
    <x v="5"/>
    <s v="http://statistics.data.gov.uk/doc/statistical-geography/E07000140"/>
    <n v="188314"/>
    <n v="233515"/>
    <n v="159604"/>
    <n v="130298"/>
    <n v="84893"/>
  </r>
  <r>
    <s v="Lincolnshire"/>
    <s v="http://opendatacommunities.org/id/county-council/lincolnshire"/>
    <s v="2019-11-20T00:00:00"/>
    <m/>
    <s v="2019-09-01T00:00:00"/>
    <s v="2019-09-30T23:23:59"/>
    <s v="Month"/>
    <s v="2019-09"/>
    <x v="0"/>
    <x v="1"/>
    <s v="E07000141"/>
    <x v="6"/>
    <s v="http://statistics.data.gov.uk/doc/statistical-geography/E07000141"/>
    <n v="223522"/>
    <n v="314172"/>
    <n v="202533"/>
    <n v="163567"/>
    <n v="112851"/>
  </r>
  <r>
    <s v="Lincolnshire"/>
    <s v="http://opendatacommunities.org/id/county-council/lincolnshire"/>
    <s v="2019-11-20T00:00:00"/>
    <m/>
    <s v="2019-09-01T00:00:00"/>
    <s v="2019-09-30T23:23:59"/>
    <s v="Month"/>
    <s v="2019-09"/>
    <x v="0"/>
    <x v="1"/>
    <s v="E07000142"/>
    <x v="7"/>
    <s v="http://statistics.data.gov.uk/doc/statistical-geography/E07000142"/>
    <n v="175429"/>
    <n v="231071"/>
    <n v="149558"/>
    <n v="122020"/>
    <n v="94781"/>
  </r>
  <r>
    <s v="Lincolnshire"/>
    <s v="http://opendatacommunities.org/id/county-council/lincolnshire"/>
    <s v="2019-11-20T00:00:00"/>
    <m/>
    <s v="2019-08-01T00:00:00"/>
    <s v="2019-08-31T23:23:59"/>
    <s v="Month"/>
    <s v="2019-08"/>
    <x v="0"/>
    <x v="0"/>
    <s v="E10000019"/>
    <x v="0"/>
    <s v="http://statistics.data.gov.uk/doc/statistical-geography/E10000019"/>
    <n v="186696"/>
    <n v="245728"/>
    <n v="165145"/>
    <n v="133739"/>
    <n v="99527"/>
  </r>
  <r>
    <s v="Lincolnshire"/>
    <s v="http://opendatacommunities.org/id/county-council/lincolnshire"/>
    <s v="2019-11-20T00:00:00"/>
    <m/>
    <s v="2019-08-01T00:00:00"/>
    <s v="2019-08-31T23:23:59"/>
    <s v="Month"/>
    <s v="2019-08"/>
    <x v="0"/>
    <x v="1"/>
    <s v="E07000136"/>
    <x v="1"/>
    <s v="http://statistics.data.gov.uk/doc/statistical-geography/E07000136"/>
    <n v="157508"/>
    <n v="216322"/>
    <n v="135228"/>
    <n v="108464"/>
    <n v="82827"/>
  </r>
  <r>
    <s v="Lincolnshire"/>
    <s v="http://opendatacommunities.org/id/county-council/lincolnshire"/>
    <s v="2019-11-20T00:00:00"/>
    <m/>
    <s v="2019-08-01T00:00:00"/>
    <s v="2019-08-31T23:23:59"/>
    <s v="Month"/>
    <s v="2019-08"/>
    <x v="0"/>
    <x v="1"/>
    <s v="E07000137"/>
    <x v="2"/>
    <s v="http://statistics.data.gov.uk/doc/statistical-geography/E07000137"/>
    <n v="178854"/>
    <n v="220910"/>
    <n v="152059"/>
    <n v="120767"/>
    <n v="89351"/>
  </r>
  <r>
    <s v="Lincolnshire"/>
    <s v="http://opendatacommunities.org/id/county-council/lincolnshire"/>
    <s v="2019-11-20T00:00:00"/>
    <m/>
    <s v="2019-08-01T00:00:00"/>
    <s v="2019-08-31T23:23:59"/>
    <s v="Month"/>
    <s v="2019-08"/>
    <x v="0"/>
    <x v="1"/>
    <s v="E07000138"/>
    <x v="3"/>
    <s v="http://statistics.data.gov.uk/doc/statistical-geography/E07000138"/>
    <n v="155817"/>
    <n v="249527"/>
    <n v="168544"/>
    <n v="129991"/>
    <n v="104122"/>
  </r>
  <r>
    <s v="Lincolnshire"/>
    <s v="http://opendatacommunities.org/id/county-council/lincolnshire"/>
    <s v="2019-11-20T00:00:00"/>
    <m/>
    <s v="2019-08-01T00:00:00"/>
    <s v="2019-08-31T23:23:59"/>
    <s v="Month"/>
    <s v="2019-08"/>
    <x v="0"/>
    <x v="1"/>
    <s v="E07000139"/>
    <x v="4"/>
    <s v="http://statistics.data.gov.uk/doc/statistical-geography/E07000139"/>
    <n v="208343"/>
    <n v="252598"/>
    <n v="171619"/>
    <n v="142419"/>
    <n v="101092"/>
  </r>
  <r>
    <s v="Lincolnshire"/>
    <s v="http://opendatacommunities.org/id/county-council/lincolnshire"/>
    <s v="2019-11-20T00:00:00"/>
    <m/>
    <s v="2019-08-01T00:00:00"/>
    <s v="2019-08-31T23:23:59"/>
    <s v="Month"/>
    <s v="2019-08"/>
    <x v="0"/>
    <x v="1"/>
    <s v="E07000140"/>
    <x v="5"/>
    <s v="http://statistics.data.gov.uk/doc/statistical-geography/E07000140"/>
    <n v="188544"/>
    <n v="233767"/>
    <n v="159850"/>
    <n v="130292"/>
    <n v="85488"/>
  </r>
  <r>
    <s v="Lincolnshire"/>
    <s v="http://opendatacommunities.org/id/county-council/lincolnshire"/>
    <s v="2019-11-20T00:00:00"/>
    <m/>
    <s v="2019-08-01T00:00:00"/>
    <s v="2019-08-31T23:23:59"/>
    <s v="Month"/>
    <s v="2019-08"/>
    <x v="0"/>
    <x v="1"/>
    <s v="E07000141"/>
    <x v="6"/>
    <s v="http://statistics.data.gov.uk/doc/statistical-geography/E07000141"/>
    <n v="223463"/>
    <n v="313936"/>
    <n v="202640"/>
    <n v="163400"/>
    <n v="113158"/>
  </r>
  <r>
    <s v="Lincolnshire"/>
    <s v="http://opendatacommunities.org/id/county-council/lincolnshire"/>
    <s v="2019-11-20T00:00:00"/>
    <m/>
    <s v="2019-08-01T00:00:00"/>
    <s v="2019-08-31T23:23:59"/>
    <s v="Month"/>
    <s v="2019-08"/>
    <x v="0"/>
    <x v="1"/>
    <s v="E07000142"/>
    <x v="7"/>
    <s v="http://statistics.data.gov.uk/doc/statistical-geography/E07000142"/>
    <n v="169400"/>
    <n v="223032"/>
    <n v="144554"/>
    <n v="117758"/>
    <n v="91925"/>
  </r>
  <r>
    <s v="Lincolnshire"/>
    <s v="http://opendatacommunities.org/id/county-council/lincolnshire"/>
    <s v="2019-11-20T00:00:00"/>
    <m/>
    <s v="2019-07-01T00:00:00"/>
    <s v="2019-07-30T23:59:59"/>
    <s v="Month"/>
    <s v="2019-07"/>
    <x v="0"/>
    <x v="0"/>
    <s v="E10000019"/>
    <x v="0"/>
    <s v="http://statistics.data.gov.uk/doc/statistical-geography/E10000019"/>
    <n v="184700"/>
    <n v="242779"/>
    <n v="163555"/>
    <n v="132333"/>
    <n v="99027"/>
  </r>
  <r>
    <s v="Lincolnshire"/>
    <s v="http://opendatacommunities.org/id/county-council/lincolnshire"/>
    <s v="2019-11-20T00:00:00"/>
    <m/>
    <s v="2019-07-01T00:00:00"/>
    <s v="2019-07-30T23:59:59"/>
    <s v="Month"/>
    <s v="2019-07"/>
    <x v="0"/>
    <x v="1"/>
    <s v="E07000136"/>
    <x v="1"/>
    <s v="http://statistics.data.gov.uk/doc/statistical-geography/E07000136"/>
    <n v="162284"/>
    <n v="222638"/>
    <n v="139462"/>
    <n v="111800"/>
    <n v="85684"/>
  </r>
  <r>
    <s v="Lincolnshire"/>
    <s v="http://opendatacommunities.org/id/county-council/lincolnshire"/>
    <s v="2019-11-20T00:00:00"/>
    <m/>
    <s v="2019-07-01T00:00:00"/>
    <s v="2019-07-30T23:59:59"/>
    <s v="Month"/>
    <s v="2019-07"/>
    <x v="0"/>
    <x v="1"/>
    <s v="E07000137"/>
    <x v="2"/>
    <s v="http://statistics.data.gov.uk/doc/statistical-geography/E07000137"/>
    <n v="175398"/>
    <n v="216397"/>
    <n v="149289"/>
    <n v="118532"/>
    <n v="88170"/>
  </r>
  <r>
    <s v="Lincolnshire"/>
    <s v="http://opendatacommunities.org/id/county-council/lincolnshire"/>
    <s v="2019-11-20T00:00:00"/>
    <m/>
    <s v="2019-07-01T00:00:00"/>
    <s v="2019-07-30T23:59:59"/>
    <s v="Month"/>
    <s v="2019-07"/>
    <x v="0"/>
    <x v="1"/>
    <s v="E07000138"/>
    <x v="3"/>
    <s v="http://statistics.data.gov.uk/doc/statistical-geography/E07000138"/>
    <n v="156179"/>
    <n v="250145"/>
    <n v="169015"/>
    <n v="130282"/>
    <n v="104270"/>
  </r>
  <r>
    <s v="Lincolnshire"/>
    <s v="http://opendatacommunities.org/id/county-council/lincolnshire"/>
    <s v="2019-11-20T00:00:00"/>
    <m/>
    <s v="2019-07-01T00:00:00"/>
    <s v="2019-07-30T23:59:59"/>
    <s v="Month"/>
    <s v="2019-07"/>
    <x v="0"/>
    <x v="1"/>
    <s v="E07000139"/>
    <x v="4"/>
    <s v="http://statistics.data.gov.uk/doc/statistical-geography/E07000139"/>
    <n v="208140"/>
    <n v="252123"/>
    <n v="171562"/>
    <n v="142345"/>
    <n v="101798"/>
  </r>
  <r>
    <s v="Lincolnshire"/>
    <s v="http://opendatacommunities.org/id/county-council/lincolnshire"/>
    <s v="2019-11-20T00:00:00"/>
    <m/>
    <s v="2019-07-01T00:00:00"/>
    <s v="2019-07-30T23:59:59"/>
    <s v="Month"/>
    <s v="2019-07"/>
    <x v="0"/>
    <x v="1"/>
    <s v="E07000140"/>
    <x v="5"/>
    <s v="http://statistics.data.gov.uk/doc/statistical-geography/E07000140"/>
    <n v="190175"/>
    <n v="235580"/>
    <n v="161403"/>
    <n v="131570"/>
    <n v="86329"/>
  </r>
  <r>
    <s v="Lincolnshire"/>
    <s v="http://opendatacommunities.org/id/county-council/lincolnshire"/>
    <s v="2019-11-20T00:00:00"/>
    <m/>
    <s v="2019-07-01T00:00:00"/>
    <s v="2019-07-30T23:59:59"/>
    <s v="Month"/>
    <s v="2019-07"/>
    <x v="0"/>
    <x v="1"/>
    <s v="E07000141"/>
    <x v="6"/>
    <s v="http://statistics.data.gov.uk/doc/statistical-geography/E07000141"/>
    <n v="215416"/>
    <n v="302241"/>
    <n v="195461"/>
    <n v="157513"/>
    <n v="109848"/>
  </r>
  <r>
    <s v="Lincolnshire"/>
    <s v="http://opendatacommunities.org/id/county-council/lincolnshire"/>
    <s v="2019-11-20T00:00:00"/>
    <m/>
    <s v="2019-07-01T00:00:00"/>
    <s v="2019-07-30T23:59:59"/>
    <s v="Month"/>
    <s v="2019-07"/>
    <x v="0"/>
    <x v="1"/>
    <s v="E07000142"/>
    <x v="7"/>
    <s v="http://statistics.data.gov.uk/doc/statistical-geography/E07000142"/>
    <n v="164472"/>
    <n v="216210"/>
    <n v="140514"/>
    <n v="114482"/>
    <n v="89782"/>
  </r>
  <r>
    <s v="Lincolnshire"/>
    <s v="http://opendatacommunities.org/id/county-council/lincolnshire"/>
    <s v="2019-11-20T00:00:00"/>
    <m/>
    <s v="2019-06-01T00:00:00"/>
    <s v="2019-06-31T23:59:59"/>
    <s v="Month"/>
    <s v="2019-06"/>
    <x v="0"/>
    <x v="0"/>
    <s v="E10000019"/>
    <x v="0"/>
    <s v="http://statistics.data.gov.uk/doc/statistical-geography/E10000019"/>
    <n v="183845"/>
    <n v="242116"/>
    <n v="162764"/>
    <n v="131317"/>
    <n v="98194"/>
  </r>
  <r>
    <s v="Lincolnshire"/>
    <s v="http://opendatacommunities.org/id/county-council/lincolnshire"/>
    <s v="2019-11-20T00:00:00"/>
    <m/>
    <s v="2019-06-01T00:00:00"/>
    <s v="2019-06-31T23:59:59"/>
    <s v="Month"/>
    <s v="2019-06"/>
    <x v="0"/>
    <x v="1"/>
    <s v="E07000136"/>
    <x v="1"/>
    <s v="http://statistics.data.gov.uk/doc/statistical-geography/E07000136"/>
    <n v="160487"/>
    <n v="220619"/>
    <n v="137852"/>
    <n v="110207"/>
    <n v="84306"/>
  </r>
  <r>
    <s v="Lincolnshire"/>
    <s v="http://opendatacommunities.org/id/county-council/lincolnshire"/>
    <s v="2019-11-20T00:00:00"/>
    <m/>
    <s v="2019-06-01T00:00:00"/>
    <s v="2019-06-31T23:59:59"/>
    <s v="Month"/>
    <s v="2019-06"/>
    <x v="0"/>
    <x v="1"/>
    <s v="E07000137"/>
    <x v="2"/>
    <s v="http://statistics.data.gov.uk/doc/statistical-geography/E07000137"/>
    <n v="174250"/>
    <n v="215267"/>
    <n v="148158"/>
    <n v="117417"/>
    <n v="87437"/>
  </r>
  <r>
    <s v="Lincolnshire"/>
    <s v="http://opendatacommunities.org/id/county-council/lincolnshire"/>
    <s v="2019-11-20T00:00:00"/>
    <m/>
    <s v="2019-06-01T00:00:00"/>
    <s v="2019-06-31T23:59:59"/>
    <s v="Month"/>
    <s v="2019-06"/>
    <x v="0"/>
    <x v="1"/>
    <s v="E07000138"/>
    <x v="3"/>
    <s v="http://statistics.data.gov.uk/doc/statistical-geography/E07000138"/>
    <n v="154886"/>
    <n v="248573"/>
    <n v="167868"/>
    <n v="129069"/>
    <n v="103113"/>
  </r>
  <r>
    <s v="Lincolnshire"/>
    <s v="http://opendatacommunities.org/id/county-council/lincolnshire"/>
    <s v="2019-11-20T00:00:00"/>
    <m/>
    <s v="2019-06-01T00:00:00"/>
    <s v="2019-06-31T23:59:59"/>
    <s v="Month"/>
    <s v="2019-06"/>
    <x v="0"/>
    <x v="1"/>
    <s v="E07000139"/>
    <x v="4"/>
    <s v="http://statistics.data.gov.uk/doc/statistical-geography/E07000139"/>
    <n v="208637"/>
    <n v="252895"/>
    <n v="171883"/>
    <n v="142500"/>
    <n v="102004"/>
  </r>
  <r>
    <s v="Lincolnshire"/>
    <s v="http://opendatacommunities.org/id/county-council/lincolnshire"/>
    <s v="2019-11-20T00:00:00"/>
    <m/>
    <s v="2019-06-01T00:00:00"/>
    <s v="2019-06-31T23:59:59"/>
    <s v="Month"/>
    <s v="2019-06"/>
    <x v="0"/>
    <x v="1"/>
    <s v="E07000140"/>
    <x v="5"/>
    <s v="http://statistics.data.gov.uk/doc/statistical-geography/E07000140"/>
    <n v="191449"/>
    <n v="237519"/>
    <n v="162260"/>
    <n v="132027"/>
    <n v="86914"/>
  </r>
  <r>
    <s v="Lincolnshire"/>
    <s v="http://opendatacommunities.org/id/county-council/lincolnshire"/>
    <s v="2019-11-20T00:00:00"/>
    <m/>
    <s v="2019-06-01T00:00:00"/>
    <s v="2019-06-31T23:59:59"/>
    <s v="Month"/>
    <s v="2019-06"/>
    <x v="0"/>
    <x v="1"/>
    <s v="E07000141"/>
    <x v="6"/>
    <s v="http://statistics.data.gov.uk/doc/statistical-geography/E07000141"/>
    <n v="212657"/>
    <n v="298566"/>
    <n v="193027"/>
    <n v="155263"/>
    <n v="108374"/>
  </r>
  <r>
    <s v="Lincolnshire"/>
    <s v="http://opendatacommunities.org/id/county-council/lincolnshire"/>
    <s v="2019-11-20T00:00:00"/>
    <m/>
    <s v="2019-06-01T00:00:00"/>
    <s v="2019-06-31T23:59:59"/>
    <s v="Month"/>
    <s v="2019-06"/>
    <x v="0"/>
    <x v="1"/>
    <s v="E07000142"/>
    <x v="7"/>
    <s v="http://statistics.data.gov.uk/doc/statistical-geography/E07000142"/>
    <n v="164155"/>
    <n v="216029"/>
    <n v="140283"/>
    <n v="113974"/>
    <n v="89563"/>
  </r>
  <r>
    <s v="Lincolnshire"/>
    <s v="http://opendatacommunities.org/id/county-council/lincolnshire"/>
    <s v="2019-11-20T00:00:00"/>
    <m/>
    <s v="2019-05-01T00:00:00"/>
    <s v="2019-05-31T23:59:59"/>
    <s v="Month"/>
    <s v="2019-05"/>
    <x v="0"/>
    <x v="0"/>
    <s v="E10000019"/>
    <x v="0"/>
    <s v="http://statistics.data.gov.uk/doc/statistical-geography/E10000019"/>
    <n v="184529"/>
    <n v="242776"/>
    <n v="163334"/>
    <n v="132066"/>
    <n v="98765"/>
  </r>
  <r>
    <s v="Lincolnshire"/>
    <s v="http://opendatacommunities.org/id/county-council/lincolnshire"/>
    <s v="2019-11-20T00:00:00"/>
    <m/>
    <s v="2019-05-01T00:00:00"/>
    <s v="2019-05-31T23:59:59"/>
    <s v="Month"/>
    <s v="2019-05"/>
    <x v="0"/>
    <x v="1"/>
    <s v="E07000136"/>
    <x v="1"/>
    <s v="http://statistics.data.gov.uk/doc/statistical-geography/E07000136"/>
    <n v="157535"/>
    <n v="216631"/>
    <n v="135330"/>
    <n v="108113"/>
    <n v="82629"/>
  </r>
  <r>
    <s v="Lincolnshire"/>
    <s v="http://opendatacommunities.org/id/county-council/lincolnshire"/>
    <s v="2019-11-20T00:00:00"/>
    <m/>
    <s v="2019-05-01T00:00:00"/>
    <s v="2019-05-31T23:59:59"/>
    <s v="Month"/>
    <s v="2019-05"/>
    <x v="0"/>
    <x v="1"/>
    <s v="E07000137"/>
    <x v="2"/>
    <s v="http://statistics.data.gov.uk/doc/statistical-geography/E07000137"/>
    <n v="175387"/>
    <n v="216733"/>
    <n v="149135"/>
    <n v="118100"/>
    <n v="87845"/>
  </r>
  <r>
    <s v="Lincolnshire"/>
    <s v="http://opendatacommunities.org/id/county-council/lincolnshire"/>
    <s v="2019-11-20T00:00:00"/>
    <m/>
    <s v="2019-05-01T00:00:00"/>
    <s v="2019-05-31T23:59:59"/>
    <s v="Month"/>
    <s v="2019-05"/>
    <x v="0"/>
    <x v="1"/>
    <s v="E07000138"/>
    <x v="3"/>
    <s v="http://statistics.data.gov.uk/doc/statistical-geography/E07000138"/>
    <n v="157237"/>
    <n v="252527"/>
    <n v="170502"/>
    <n v="130863"/>
    <n v="104832"/>
  </r>
  <r>
    <s v="Lincolnshire"/>
    <s v="http://opendatacommunities.org/id/county-council/lincolnshire"/>
    <s v="2019-11-20T00:00:00"/>
    <m/>
    <s v="2019-05-01T00:00:00"/>
    <s v="2019-05-31T23:59:59"/>
    <s v="Month"/>
    <s v="2019-05"/>
    <x v="0"/>
    <x v="1"/>
    <s v="E07000139"/>
    <x v="4"/>
    <s v="http://statistics.data.gov.uk/doc/statistical-geography/E07000139"/>
    <n v="207408"/>
    <n v="251470"/>
    <n v="170935"/>
    <n v="141484"/>
    <n v="101252"/>
  </r>
  <r>
    <s v="Lincolnshire"/>
    <s v="http://opendatacommunities.org/id/county-council/lincolnshire"/>
    <s v="2019-11-20T00:00:00"/>
    <m/>
    <s v="2019-05-01T00:00:00"/>
    <s v="2019-05-31T23:59:59"/>
    <s v="Month"/>
    <s v="2019-05"/>
    <x v="0"/>
    <x v="1"/>
    <s v="E07000140"/>
    <x v="5"/>
    <s v="http://statistics.data.gov.uk/doc/statistical-geography/E07000140"/>
    <n v="187912"/>
    <n v="233096"/>
    <n v="159335"/>
    <n v="129575"/>
    <n v="85236"/>
  </r>
  <r>
    <s v="Lincolnshire"/>
    <s v="http://opendatacommunities.org/id/county-council/lincolnshire"/>
    <s v="2019-11-20T00:00:00"/>
    <m/>
    <s v="2019-05-01T00:00:00"/>
    <s v="2019-05-31T23:59:59"/>
    <s v="Month"/>
    <s v="2019-05"/>
    <x v="0"/>
    <x v="1"/>
    <s v="E07000141"/>
    <x v="6"/>
    <s v="http://statistics.data.gov.uk/doc/statistical-geography/E07000141"/>
    <n v="213228"/>
    <n v="299482"/>
    <n v="193608"/>
    <n v="155526"/>
    <n v="108623"/>
  </r>
  <r>
    <s v="Lincolnshire"/>
    <s v="http://opendatacommunities.org/id/county-council/lincolnshire"/>
    <s v="2019-11-20T00:00:00"/>
    <m/>
    <s v="2019-05-01T00:00:00"/>
    <s v="2019-05-31T23:59:59"/>
    <s v="Month"/>
    <s v="2019-05"/>
    <x v="0"/>
    <x v="1"/>
    <s v="E07000142"/>
    <x v="7"/>
    <s v="http://statistics.data.gov.uk/doc/statistical-geography/E07000142"/>
    <n v="170619"/>
    <n v="224639"/>
    <n v="145831"/>
    <n v="118337"/>
    <n v="93016"/>
  </r>
  <r>
    <s v="Lincolnshire"/>
    <s v="http://opendatacommunities.org/id/county-council/lincolnshire"/>
    <s v="2019-11-20T00:00:00"/>
    <m/>
    <s v="2019-04-01T00:00:00"/>
    <s v="2019-04-31T23:59:59"/>
    <s v="Month"/>
    <s v="2019-04"/>
    <x v="0"/>
    <x v="0"/>
    <s v="E10000019"/>
    <x v="0"/>
    <s v="http://statistics.data.gov.uk/doc/statistical-geography/E10000019"/>
    <n v="185266"/>
    <n v="244000"/>
    <n v="163774"/>
    <n v="132314"/>
    <n v="99747"/>
  </r>
  <r>
    <s v="Lincolnshire"/>
    <s v="http://opendatacommunities.org/id/county-council/lincolnshire"/>
    <s v="2019-11-20T00:00:00"/>
    <m/>
    <s v="2019-04-01T00:00:00"/>
    <s v="2019-04-31T23:59:59"/>
    <s v="Month"/>
    <s v="2019-04"/>
    <x v="0"/>
    <x v="1"/>
    <s v="E07000136"/>
    <x v="1"/>
    <s v="http://statistics.data.gov.uk/doc/statistical-geography/E07000136"/>
    <n v="157967"/>
    <n v="217475"/>
    <n v="135460"/>
    <n v="108207"/>
    <n v="83381"/>
  </r>
  <r>
    <s v="Lincolnshire"/>
    <s v="http://opendatacommunities.org/id/county-council/lincolnshire"/>
    <s v="2019-11-20T00:00:00"/>
    <m/>
    <s v="2019-04-01T00:00:00"/>
    <s v="2019-04-31T23:59:59"/>
    <s v="Month"/>
    <s v="2019-04"/>
    <x v="0"/>
    <x v="1"/>
    <s v="E07000137"/>
    <x v="2"/>
    <s v="http://statistics.data.gov.uk/doc/statistical-geography/E07000137"/>
    <n v="177840"/>
    <n v="220063"/>
    <n v="150995"/>
    <n v="119395"/>
    <n v="89160"/>
  </r>
  <r>
    <s v="Lincolnshire"/>
    <s v="http://opendatacommunities.org/id/county-council/lincolnshire"/>
    <s v="2019-11-20T00:00:00"/>
    <m/>
    <s v="2019-04-01T00:00:00"/>
    <s v="2019-04-31T23:59:59"/>
    <s v="Month"/>
    <s v="2019-04"/>
    <x v="0"/>
    <x v="1"/>
    <s v="E07000138"/>
    <x v="3"/>
    <s v="http://statistics.data.gov.uk/doc/statistical-geography/E07000138"/>
    <n v="158496"/>
    <n v="254829"/>
    <n v="171580"/>
    <n v="131515"/>
    <n v="106730"/>
  </r>
  <r>
    <s v="Lincolnshire"/>
    <s v="http://opendatacommunities.org/id/county-council/lincolnshire"/>
    <s v="2019-11-20T00:00:00"/>
    <m/>
    <s v="2019-04-01T00:00:00"/>
    <s v="2019-04-31T23:59:59"/>
    <s v="Month"/>
    <s v="2019-04"/>
    <x v="0"/>
    <x v="1"/>
    <s v="E07000139"/>
    <x v="4"/>
    <s v="http://statistics.data.gov.uk/doc/statistical-geography/E07000139"/>
    <n v="207367"/>
    <n v="251717"/>
    <n v="170863"/>
    <n v="140988"/>
    <n v="101059"/>
  </r>
  <r>
    <s v="Lincolnshire"/>
    <s v="http://opendatacommunities.org/id/county-council/lincolnshire"/>
    <s v="2019-11-20T00:00:00"/>
    <m/>
    <s v="2019-04-01T00:00:00"/>
    <s v="2019-04-31T23:59:59"/>
    <s v="Month"/>
    <s v="2019-04"/>
    <x v="0"/>
    <x v="1"/>
    <s v="E07000140"/>
    <x v="5"/>
    <s v="http://statistics.data.gov.uk/doc/statistical-geography/E07000140"/>
    <n v="186723"/>
    <n v="231832"/>
    <n v="158146"/>
    <n v="128441"/>
    <n v="85134"/>
  </r>
  <r>
    <s v="Lincolnshire"/>
    <s v="http://opendatacommunities.org/id/county-council/lincolnshire"/>
    <s v="2019-11-20T00:00:00"/>
    <m/>
    <s v="2019-04-01T00:00:00"/>
    <s v="2019-04-31T23:59:59"/>
    <s v="Month"/>
    <s v="2019-04"/>
    <x v="0"/>
    <x v="1"/>
    <s v="E07000141"/>
    <x v="6"/>
    <s v="http://statistics.data.gov.uk/doc/statistical-geography/E07000141"/>
    <n v="213672"/>
    <n v="300522"/>
    <n v="193885"/>
    <n v="155538"/>
    <n v="108956"/>
  </r>
  <r>
    <s v="Lincolnshire"/>
    <s v="http://opendatacommunities.org/id/county-council/lincolnshire"/>
    <s v="2019-11-20T00:00:00"/>
    <m/>
    <s v="2019-04-01T00:00:00"/>
    <s v="2019-04-31T23:59:59"/>
    <s v="Month"/>
    <s v="2019-04"/>
    <x v="0"/>
    <x v="1"/>
    <s v="E07000142"/>
    <x v="7"/>
    <s v="http://statistics.data.gov.uk/doc/statistical-geography/E07000142"/>
    <n v="171232"/>
    <n v="225725"/>
    <n v="146184"/>
    <n v="118572"/>
    <n v="93565"/>
  </r>
  <r>
    <s v="Lincolnshire"/>
    <s v="http://opendatacommunities.org/id/county-council/lincolnshire"/>
    <s v="2019-11-20T00:00:00"/>
    <m/>
    <s v="2019-03-01T00:00:00"/>
    <s v="2019-03-31T23:59:59"/>
    <s v="Month"/>
    <s v="2019-03"/>
    <x v="0"/>
    <x v="0"/>
    <s v="E10000019"/>
    <x v="0"/>
    <s v="http://statistics.data.gov.uk/doc/statistical-geography/E10000019"/>
    <n v="185875"/>
    <n v="245497"/>
    <n v="164073"/>
    <n v="132125"/>
    <n v="100200"/>
  </r>
  <r>
    <s v="Lincolnshire"/>
    <s v="http://opendatacommunities.org/id/county-council/lincolnshire"/>
    <s v="2019-11-20T00:00:00"/>
    <m/>
    <s v="2019-03-01T00:00:00"/>
    <s v="2019-03-31T23:59:59"/>
    <s v="Month"/>
    <s v="2019-03"/>
    <x v="0"/>
    <x v="1"/>
    <s v="E07000136"/>
    <x v="1"/>
    <s v="http://statistics.data.gov.uk/doc/statistical-geography/E07000136"/>
    <n v="155121"/>
    <n v="213738"/>
    <n v="132940"/>
    <n v="106045"/>
    <n v="82127"/>
  </r>
  <r>
    <s v="Lincolnshire"/>
    <s v="http://opendatacommunities.org/id/county-council/lincolnshire"/>
    <s v="2019-11-20T00:00:00"/>
    <m/>
    <s v="2019-03-01T00:00:00"/>
    <s v="2019-03-31T23:59:59"/>
    <s v="Month"/>
    <s v="2019-03"/>
    <x v="0"/>
    <x v="1"/>
    <s v="E07000137"/>
    <x v="2"/>
    <s v="http://statistics.data.gov.uk/doc/statistical-geography/E07000137"/>
    <n v="183085"/>
    <n v="226743"/>
    <n v="155262"/>
    <n v="122678"/>
    <n v="92056"/>
  </r>
  <r>
    <s v="Lincolnshire"/>
    <s v="http://opendatacommunities.org/id/county-council/lincolnshire"/>
    <s v="2019-11-20T00:00:00"/>
    <m/>
    <s v="2019-03-01T00:00:00"/>
    <s v="2019-03-31T23:59:59"/>
    <s v="Month"/>
    <s v="2019-03"/>
    <x v="0"/>
    <x v="1"/>
    <s v="E07000138"/>
    <x v="3"/>
    <s v="http://statistics.data.gov.uk/doc/statistical-geography/E07000138"/>
    <n v="157985"/>
    <n v="254562"/>
    <n v="170896"/>
    <n v="130772"/>
    <n v="106928"/>
  </r>
  <r>
    <s v="Lincolnshire"/>
    <s v="http://opendatacommunities.org/id/county-council/lincolnshire"/>
    <s v="2019-11-20T00:00:00"/>
    <m/>
    <s v="2019-03-01T00:00:00"/>
    <s v="2019-03-31T23:59:59"/>
    <s v="Month"/>
    <s v="2019-03"/>
    <x v="0"/>
    <x v="1"/>
    <s v="E07000139"/>
    <x v="4"/>
    <s v="http://statistics.data.gov.uk/doc/statistical-geography/E07000139"/>
    <n v="208209"/>
    <n v="253142"/>
    <n v="171267"/>
    <n v="141179"/>
    <n v="101672"/>
  </r>
  <r>
    <s v="Lincolnshire"/>
    <s v="http://opendatacommunities.org/id/county-council/lincolnshire"/>
    <s v="2019-11-20T00:00:00"/>
    <m/>
    <s v="2019-03-01T00:00:00"/>
    <s v="2019-03-31T23:59:59"/>
    <s v="Month"/>
    <s v="2019-03"/>
    <x v="0"/>
    <x v="1"/>
    <s v="E07000140"/>
    <x v="5"/>
    <s v="http://statistics.data.gov.uk/doc/statistical-geography/E07000140"/>
    <n v="187655"/>
    <n v="233211"/>
    <n v="158792"/>
    <n v="128853"/>
    <n v="85514"/>
  </r>
  <r>
    <s v="Lincolnshire"/>
    <s v="http://opendatacommunities.org/id/county-council/lincolnshire"/>
    <s v="2019-11-20T00:00:00"/>
    <m/>
    <s v="2019-03-01T00:00:00"/>
    <s v="2019-03-31T23:59:59"/>
    <s v="Month"/>
    <s v="2019-03"/>
    <x v="0"/>
    <x v="1"/>
    <s v="E07000141"/>
    <x v="6"/>
    <s v="http://statistics.data.gov.uk/doc/statistical-geography/E07000141"/>
    <n v="213343"/>
    <n v="300609"/>
    <n v="193397"/>
    <n v="154888"/>
    <n v="109013"/>
  </r>
  <r>
    <s v="Lincolnshire"/>
    <s v="http://opendatacommunities.org/id/county-council/lincolnshire"/>
    <s v="2019-11-20T00:00:00"/>
    <m/>
    <s v="2019-03-01T00:00:00"/>
    <s v="2019-03-31T23:59:59"/>
    <s v="Month"/>
    <s v="2019-03"/>
    <x v="0"/>
    <x v="1"/>
    <s v="E07000142"/>
    <x v="7"/>
    <s v="http://statistics.data.gov.uk/doc/statistical-geography/E07000142"/>
    <n v="169534"/>
    <n v="223831"/>
    <n v="144591"/>
    <n v="117113"/>
    <n v="92832"/>
  </r>
  <r>
    <s v="Lincolnshire"/>
    <s v="http://opendatacommunities.org/id/county-council/lincolnshire"/>
    <s v="2019-11-20T00:00:00"/>
    <m/>
    <s v="2019-02-01T00:00:00"/>
    <s v="2019-02-30T23:59:59"/>
    <s v="Month"/>
    <s v="2019-02"/>
    <x v="0"/>
    <x v="0"/>
    <s v="E10000019"/>
    <x v="0"/>
    <s v="http://statistics.data.gov.uk/doc/statistical-geography/E10000019"/>
    <n v="184701"/>
    <n v="244306"/>
    <n v="162960"/>
    <n v="130936"/>
    <n v="99739"/>
  </r>
  <r>
    <s v="Lincolnshire"/>
    <s v="http://opendatacommunities.org/id/county-council/lincolnshire"/>
    <s v="2019-11-20T00:00:00"/>
    <m/>
    <s v="2019-02-01T00:00:00"/>
    <s v="2019-02-30T23:59:59"/>
    <s v="Month"/>
    <s v="2019-02"/>
    <x v="0"/>
    <x v="1"/>
    <s v="E07000136"/>
    <x v="1"/>
    <s v="http://statistics.data.gov.uk/doc/statistical-geography/E07000136"/>
    <n v="152385"/>
    <n v="209898"/>
    <n v="130461"/>
    <n v="104211"/>
    <n v="81121"/>
  </r>
  <r>
    <s v="Lincolnshire"/>
    <s v="http://opendatacommunities.org/id/county-council/lincolnshire"/>
    <s v="2019-11-20T00:00:00"/>
    <m/>
    <s v="2019-02-01T00:00:00"/>
    <s v="2019-02-30T23:59:59"/>
    <s v="Month"/>
    <s v="2019-02"/>
    <x v="0"/>
    <x v="1"/>
    <s v="E07000137"/>
    <x v="2"/>
    <s v="http://statistics.data.gov.uk/doc/statistical-geography/E07000137"/>
    <n v="181558"/>
    <n v="224786"/>
    <n v="153891"/>
    <n v="121706"/>
    <n v="91941"/>
  </r>
  <r>
    <s v="Lincolnshire"/>
    <s v="http://opendatacommunities.org/id/county-council/lincolnshire"/>
    <s v="2019-11-20T00:00:00"/>
    <m/>
    <s v="2019-02-01T00:00:00"/>
    <s v="2019-02-30T23:59:59"/>
    <s v="Month"/>
    <s v="2019-02"/>
    <x v="0"/>
    <x v="1"/>
    <s v="E07000138"/>
    <x v="3"/>
    <s v="http://statistics.data.gov.uk/doc/statistical-geography/E07000138"/>
    <n v="154244"/>
    <n v="248238"/>
    <n v="166518"/>
    <n v="127663"/>
    <n v="105141"/>
  </r>
  <r>
    <s v="Lincolnshire"/>
    <s v="http://opendatacommunities.org/id/county-council/lincolnshire"/>
    <s v="2019-11-20T00:00:00"/>
    <m/>
    <s v="2019-02-01T00:00:00"/>
    <s v="2019-02-30T23:59:59"/>
    <s v="Month"/>
    <s v="2019-02"/>
    <x v="0"/>
    <x v="1"/>
    <s v="E07000139"/>
    <x v="4"/>
    <s v="http://statistics.data.gov.uk/doc/statistical-geography/E07000139"/>
    <n v="209668"/>
    <n v="254945"/>
    <n v="172407"/>
    <n v="142174"/>
    <n v="102958"/>
  </r>
  <r>
    <s v="Lincolnshire"/>
    <s v="http://opendatacommunities.org/id/county-council/lincolnshire"/>
    <s v="2019-11-20T00:00:00"/>
    <m/>
    <s v="2019-02-01T00:00:00"/>
    <s v="2019-02-30T23:59:59"/>
    <s v="Month"/>
    <s v="2019-02"/>
    <x v="0"/>
    <x v="1"/>
    <s v="E07000140"/>
    <x v="5"/>
    <s v="http://statistics.data.gov.uk/doc/statistical-geography/E07000140"/>
    <n v="188368"/>
    <n v="234102"/>
    <n v="159262"/>
    <n v="129296"/>
    <n v="86638"/>
  </r>
  <r>
    <s v="Lincolnshire"/>
    <s v="http://opendatacommunities.org/id/county-council/lincolnshire"/>
    <s v="2019-11-20T00:00:00"/>
    <m/>
    <s v="2019-02-01T00:00:00"/>
    <s v="2019-02-30T23:59:59"/>
    <s v="Month"/>
    <s v="2019-02"/>
    <x v="0"/>
    <x v="1"/>
    <s v="E07000141"/>
    <x v="6"/>
    <s v="http://statistics.data.gov.uk/doc/statistical-geography/E07000141"/>
    <n v="211998"/>
    <n v="298559"/>
    <n v="192088"/>
    <n v="153998"/>
    <n v="108788"/>
  </r>
  <r>
    <s v="Lincolnshire"/>
    <s v="http://opendatacommunities.org/id/county-council/lincolnshire"/>
    <s v="2019-11-20T00:00:00"/>
    <m/>
    <s v="2019-02-01T00:00:00"/>
    <s v="2019-02-30T23:59:59"/>
    <s v="Month"/>
    <s v="2019-02"/>
    <x v="0"/>
    <x v="1"/>
    <s v="E07000142"/>
    <x v="7"/>
    <s v="http://statistics.data.gov.uk/doc/statistical-geography/E07000142"/>
    <n v="168273"/>
    <n v="222119"/>
    <n v="143463"/>
    <n v="116304"/>
    <n v="92637"/>
  </r>
  <r>
    <s v="Lincolnshire"/>
    <s v="http://opendatacommunities.org/id/county-council/lincolnshire"/>
    <s v="2019-11-20T00:00:00"/>
    <m/>
    <s v="2019-01-01T00:00:00"/>
    <s v="2019-01-31T23:59:59"/>
    <s v="Month"/>
    <s v="2019-01"/>
    <x v="0"/>
    <x v="0"/>
    <s v="E10000019"/>
    <x v="0"/>
    <s v="http://statistics.data.gov.uk/doc/statistical-geography/E10000019"/>
    <n v="184731"/>
    <n v="244582"/>
    <n v="162972"/>
    <n v="130789"/>
    <n v="99578"/>
  </r>
  <r>
    <s v="Lincolnshire"/>
    <s v="http://opendatacommunities.org/id/county-council/lincolnshire"/>
    <s v="2019-11-20T00:00:00"/>
    <m/>
    <s v="2019-01-01T00:00:00"/>
    <s v="2019-01-31T23:59:59"/>
    <s v="Month"/>
    <s v="2019-01"/>
    <x v="0"/>
    <x v="1"/>
    <s v="E07000136"/>
    <x v="1"/>
    <s v="http://statistics.data.gov.uk/doc/statistical-geography/E07000136"/>
    <n v="150558"/>
    <n v="207537"/>
    <n v="128996"/>
    <n v="102892"/>
    <n v="79523"/>
  </r>
  <r>
    <s v="Lincolnshire"/>
    <s v="http://opendatacommunities.org/id/county-council/lincolnshire"/>
    <s v="2019-11-20T00:00:00"/>
    <m/>
    <s v="2019-01-01T00:00:00"/>
    <s v="2019-01-31T23:59:59"/>
    <s v="Month"/>
    <s v="2019-01"/>
    <x v="0"/>
    <x v="1"/>
    <s v="E07000137"/>
    <x v="2"/>
    <s v="http://statistics.data.gov.uk/doc/statistical-geography/E07000137"/>
    <n v="180191"/>
    <n v="223089"/>
    <n v="152700"/>
    <n v="120847"/>
    <n v="91261"/>
  </r>
  <r>
    <s v="Lincolnshire"/>
    <s v="http://opendatacommunities.org/id/county-council/lincolnshire"/>
    <s v="2019-11-20T00:00:00"/>
    <m/>
    <s v="2019-01-01T00:00:00"/>
    <s v="2019-01-31T23:59:59"/>
    <s v="Month"/>
    <s v="2019-01"/>
    <x v="0"/>
    <x v="1"/>
    <s v="E07000138"/>
    <x v="3"/>
    <s v="http://statistics.data.gov.uk/doc/statistical-geography/E07000138"/>
    <n v="152597"/>
    <n v="245755"/>
    <n v="164764"/>
    <n v="126363"/>
    <n v="103767"/>
  </r>
  <r>
    <s v="Lincolnshire"/>
    <s v="http://opendatacommunities.org/id/county-council/lincolnshire"/>
    <s v="2019-11-20T00:00:00"/>
    <m/>
    <s v="2019-01-01T00:00:00"/>
    <s v="2019-01-31T23:59:59"/>
    <s v="Month"/>
    <s v="2019-01"/>
    <x v="0"/>
    <x v="1"/>
    <s v="E07000139"/>
    <x v="4"/>
    <s v="http://statistics.data.gov.uk/doc/statistical-geography/E07000139"/>
    <n v="210882"/>
    <n v="256529"/>
    <n v="173166"/>
    <n v="143160"/>
    <n v="103827"/>
  </r>
  <r>
    <s v="Lincolnshire"/>
    <s v="http://opendatacommunities.org/id/county-council/lincolnshire"/>
    <s v="2019-11-20T00:00:00"/>
    <m/>
    <s v="2019-01-01T00:00:00"/>
    <s v="2019-01-31T23:59:59"/>
    <s v="Month"/>
    <s v="2019-01"/>
    <x v="0"/>
    <x v="1"/>
    <s v="E07000140"/>
    <x v="5"/>
    <s v="http://statistics.data.gov.uk/doc/statistical-geography/E07000140"/>
    <n v="189855"/>
    <n v="236165"/>
    <n v="160379"/>
    <n v="130127"/>
    <n v="87227"/>
  </r>
  <r>
    <s v="Lincolnshire"/>
    <s v="http://opendatacommunities.org/id/county-council/lincolnshire"/>
    <s v="2019-11-20T00:00:00"/>
    <m/>
    <s v="2019-01-01T00:00:00"/>
    <s v="2019-01-31T23:59:59"/>
    <s v="Month"/>
    <s v="2019-01"/>
    <x v="0"/>
    <x v="1"/>
    <s v="E07000141"/>
    <x v="6"/>
    <s v="http://statistics.data.gov.uk/doc/statistical-geography/E07000141"/>
    <n v="214542"/>
    <n v="302151"/>
    <n v="194417"/>
    <n v="155852"/>
    <n v="110035"/>
  </r>
  <r>
    <s v="Lincolnshire"/>
    <s v="http://opendatacommunities.org/id/county-council/lincolnshire"/>
    <s v="2019-11-20T00:00:00"/>
    <m/>
    <s v="2019-01-01T00:00:00"/>
    <s v="2019-01-31T23:59:59"/>
    <s v="Month"/>
    <s v="2019-01"/>
    <x v="0"/>
    <x v="1"/>
    <s v="E07000142"/>
    <x v="7"/>
    <s v="http://statistics.data.gov.uk/doc/statistical-geography/E07000142"/>
    <n v="167665"/>
    <n v="221499"/>
    <n v="142939"/>
    <n v="115726"/>
    <n v="92113"/>
  </r>
  <r>
    <s v="Lincolnshire"/>
    <s v="http://opendatacommunities.org/id/county-council/lincolnshire"/>
    <s v="2019-11-20T00:00:00"/>
    <m/>
    <s v="2018-12-01T00:00:00"/>
    <s v="2018-12-31T23:59:59"/>
    <s v="Month"/>
    <s v="2018-12"/>
    <x v="1"/>
    <x v="0"/>
    <s v="E10000019"/>
    <x v="0"/>
    <s v="http://statistics.data.gov.uk/doc/statistical-geography/E10000019"/>
    <n v="183820"/>
    <n v="242825"/>
    <n v="162287"/>
    <n v="130563"/>
    <n v="99628"/>
  </r>
  <r>
    <s v="Lincolnshire"/>
    <s v="http://opendatacommunities.org/id/county-council/lincolnshire"/>
    <s v="2019-11-20T00:00:00"/>
    <m/>
    <s v="2018-12-01T00:00:00"/>
    <s v="2018-12-31T23:59:59"/>
    <s v="Month"/>
    <s v="2018-12"/>
    <x v="1"/>
    <x v="1"/>
    <s v="E07000136"/>
    <x v="1"/>
    <s v="http://statistics.data.gov.uk/doc/statistical-geography/E07000136"/>
    <n v="152806"/>
    <n v="210320"/>
    <n v="130894"/>
    <n v="104691"/>
    <n v="81075"/>
  </r>
  <r>
    <s v="Lincolnshire"/>
    <s v="http://opendatacommunities.org/id/county-council/lincolnshire"/>
    <s v="2019-11-20T00:00:00"/>
    <m/>
    <s v="2018-12-01T00:00:00"/>
    <s v="2018-12-31T23:59:59"/>
    <s v="Month"/>
    <s v="2018-12"/>
    <x v="1"/>
    <x v="1"/>
    <s v="E07000137"/>
    <x v="2"/>
    <s v="http://statistics.data.gov.uk/doc/statistical-geography/E07000137"/>
    <n v="174808"/>
    <n v="216179"/>
    <n v="148272"/>
    <n v="117492"/>
    <n v="88838"/>
  </r>
  <r>
    <s v="Lincolnshire"/>
    <s v="http://opendatacommunities.org/id/county-council/lincolnshire"/>
    <s v="2019-11-20T00:00:00"/>
    <m/>
    <s v="2018-12-01T00:00:00"/>
    <s v="2018-12-31T23:59:59"/>
    <s v="Month"/>
    <s v="2018-12"/>
    <x v="1"/>
    <x v="1"/>
    <s v="E07000138"/>
    <x v="3"/>
    <s v="http://statistics.data.gov.uk/doc/statistical-geography/E07000138"/>
    <n v="152836"/>
    <n v="245345"/>
    <n v="164859"/>
    <n v="126813"/>
    <n v="104115"/>
  </r>
  <r>
    <s v="Lincolnshire"/>
    <s v="http://opendatacommunities.org/id/county-council/lincolnshire"/>
    <s v="2019-11-20T00:00:00"/>
    <m/>
    <s v="2018-12-01T00:00:00"/>
    <s v="2018-12-31T23:59:59"/>
    <s v="Month"/>
    <s v="2018-12"/>
    <x v="1"/>
    <x v="1"/>
    <s v="E07000139"/>
    <x v="4"/>
    <s v="http://statistics.data.gov.uk/doc/statistical-geography/E07000139"/>
    <n v="211799"/>
    <n v="257392"/>
    <n v="174067"/>
    <n v="144058"/>
    <n v="104608"/>
  </r>
  <r>
    <s v="Lincolnshire"/>
    <s v="http://opendatacommunities.org/id/county-council/lincolnshire"/>
    <s v="2019-11-20T00:00:00"/>
    <m/>
    <s v="2018-12-01T00:00:00"/>
    <s v="2018-12-31T23:59:59"/>
    <s v="Month"/>
    <s v="2018-12"/>
    <x v="1"/>
    <x v="1"/>
    <s v="E07000140"/>
    <x v="5"/>
    <s v="http://statistics.data.gov.uk/doc/statistical-geography/E07000140"/>
    <n v="190513"/>
    <n v="236744"/>
    <n v="160981"/>
    <n v="130853"/>
    <n v="88002"/>
  </r>
  <r>
    <s v="Lincolnshire"/>
    <s v="http://opendatacommunities.org/id/county-council/lincolnshire"/>
    <s v="2019-11-20T00:00:00"/>
    <m/>
    <s v="2018-12-01T00:00:00"/>
    <s v="2018-12-31T23:59:59"/>
    <s v="Month"/>
    <s v="2018-12"/>
    <x v="1"/>
    <x v="1"/>
    <s v="E07000141"/>
    <x v="6"/>
    <s v="http://statistics.data.gov.uk/doc/statistical-geography/E07000141"/>
    <n v="213750"/>
    <n v="300598"/>
    <n v="193672"/>
    <n v="155600"/>
    <n v="109991"/>
  </r>
  <r>
    <s v="Lincolnshire"/>
    <s v="http://opendatacommunities.org/id/county-council/lincolnshire"/>
    <s v="2019-11-20T00:00:00"/>
    <m/>
    <s v="2018-12-01T00:00:00"/>
    <s v="2018-12-31T23:59:59"/>
    <s v="Month"/>
    <s v="2018-12"/>
    <x v="1"/>
    <x v="1"/>
    <s v="E07000142"/>
    <x v="7"/>
    <s v="http://statistics.data.gov.uk/doc/statistical-geography/E07000142"/>
    <n v="166392"/>
    <n v="219528"/>
    <n v="141902"/>
    <n v="115110"/>
    <n v="91685"/>
  </r>
  <r>
    <s v="Lincolnshire"/>
    <s v="http://opendatacommunities.org/id/county-council/lincolnshire"/>
    <s v="2019-11-20T00:00:00"/>
    <m/>
    <s v="2018-11-01T00:00:00"/>
    <s v="2018-11-31T23:59:59"/>
    <s v="Month"/>
    <s v="2018-11"/>
    <x v="1"/>
    <x v="0"/>
    <s v="E10000019"/>
    <x v="0"/>
    <s v="http://statistics.data.gov.uk/doc/statistical-geography/E10000019"/>
    <n v="185393"/>
    <n v="244775"/>
    <n v="163643"/>
    <n v="131908"/>
    <n v="100395"/>
  </r>
  <r>
    <s v="Lincolnshire"/>
    <s v="http://opendatacommunities.org/id/county-council/lincolnshire"/>
    <s v="2019-11-20T00:00:00"/>
    <m/>
    <s v="2018-11-01T00:00:00"/>
    <s v="2018-11-31T23:59:59"/>
    <s v="Month"/>
    <s v="2018-11"/>
    <x v="1"/>
    <x v="1"/>
    <s v="E07000136"/>
    <x v="1"/>
    <s v="http://statistics.data.gov.uk/doc/statistical-geography/E07000136"/>
    <n v="154916"/>
    <n v="213280"/>
    <n v="132729"/>
    <n v="106213"/>
    <n v="81852"/>
  </r>
  <r>
    <s v="Lincolnshire"/>
    <s v="http://opendatacommunities.org/id/county-council/lincolnshire"/>
    <s v="2019-11-20T00:00:00"/>
    <m/>
    <s v="2018-11-01T00:00:00"/>
    <s v="2018-11-31T23:59:59"/>
    <s v="Month"/>
    <s v="2018-11"/>
    <x v="1"/>
    <x v="1"/>
    <s v="E07000137"/>
    <x v="2"/>
    <s v="http://statistics.data.gov.uk/doc/statistical-geography/E07000137"/>
    <n v="176206"/>
    <n v="217914"/>
    <n v="149508"/>
    <n v="118482"/>
    <n v="89125"/>
  </r>
  <r>
    <s v="Lincolnshire"/>
    <s v="http://opendatacommunities.org/id/county-council/lincolnshire"/>
    <s v="2019-11-20T00:00:00"/>
    <m/>
    <s v="2018-11-01T00:00:00"/>
    <s v="2018-11-31T23:59:59"/>
    <s v="Month"/>
    <s v="2018-11"/>
    <x v="1"/>
    <x v="1"/>
    <s v="E07000138"/>
    <x v="3"/>
    <s v="http://statistics.data.gov.uk/doc/statistical-geography/E07000138"/>
    <n v="154070"/>
    <n v="247340"/>
    <n v="166007"/>
    <n v="127992"/>
    <n v="104747"/>
  </r>
  <r>
    <s v="Lincolnshire"/>
    <s v="http://opendatacommunities.org/id/county-council/lincolnshire"/>
    <s v="2019-11-20T00:00:00"/>
    <m/>
    <s v="2018-11-01T00:00:00"/>
    <s v="2018-11-31T23:59:59"/>
    <s v="Month"/>
    <s v="2018-11"/>
    <x v="1"/>
    <x v="1"/>
    <s v="E07000139"/>
    <x v="4"/>
    <s v="http://statistics.data.gov.uk/doc/statistical-geography/E07000139"/>
    <n v="211112"/>
    <n v="256557"/>
    <n v="173489"/>
    <n v="143737"/>
    <n v="103821"/>
  </r>
  <r>
    <s v="Lincolnshire"/>
    <s v="http://opendatacommunities.org/id/county-council/lincolnshire"/>
    <s v="2019-11-20T00:00:00"/>
    <m/>
    <s v="2018-11-01T00:00:00"/>
    <s v="2018-11-31T23:59:59"/>
    <s v="Month"/>
    <s v="2018-11"/>
    <x v="1"/>
    <x v="1"/>
    <s v="E07000140"/>
    <x v="5"/>
    <s v="http://statistics.data.gov.uk/doc/statistical-geography/E07000140"/>
    <n v="190702"/>
    <n v="237028"/>
    <n v="161126"/>
    <n v="131011"/>
    <n v="87662"/>
  </r>
  <r>
    <s v="Lincolnshire"/>
    <s v="http://opendatacommunities.org/id/county-council/lincolnshire"/>
    <s v="2019-11-20T00:00:00"/>
    <m/>
    <s v="2018-11-01T00:00:00"/>
    <s v="2018-11-31T23:59:59"/>
    <s v="Month"/>
    <s v="2018-11"/>
    <x v="1"/>
    <x v="1"/>
    <s v="E07000141"/>
    <x v="6"/>
    <s v="http://statistics.data.gov.uk/doc/statistical-geography/E07000141"/>
    <n v="218799"/>
    <n v="307889"/>
    <n v="198165"/>
    <n v="159352"/>
    <n v="112139"/>
  </r>
  <r>
    <s v="Lincolnshire"/>
    <s v="http://opendatacommunities.org/id/county-council/lincolnshire"/>
    <s v="2019-11-20T00:00:00"/>
    <m/>
    <s v="2018-11-01T00:00:00"/>
    <s v="2018-11-31T23:59:59"/>
    <s v="Month"/>
    <s v="2018-11"/>
    <x v="1"/>
    <x v="1"/>
    <s v="E07000142"/>
    <x v="7"/>
    <s v="http://statistics.data.gov.uk/doc/statistical-geography/E07000142"/>
    <n v="167592"/>
    <n v="221197"/>
    <n v="142870"/>
    <n v="115942"/>
    <n v="918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DAD07-111D-4AF9-BADA-872100AA6425}" name="PivotTable1" cacheId="0" applyNumberFormats="0" applyBorderFormats="0" applyFontFormats="0" applyPatternFormats="0" applyAlignmentFormats="0" applyWidthHeightFormats="1" dataCaption="Values" updatedVersion="8" minRefreshableVersion="3" useAutoFormatting="1" rowGrandTotals="0" itemPrintTitles="1" createdVersion="7" indent="0" compact="0" outline="1" outlineData="1" compactData="0" multipleFieldFilters="0" chartFormat="9">
  <location ref="A4:F12" firstHeaderRow="0" firstDataRow="1" firstDataCol="1" rowPageCount="1" colPageCount="1"/>
  <pivotFields count="18">
    <pivotField compact="0" showAll="0"/>
    <pivotField compact="0" showAll="0"/>
    <pivotField compact="0" showAll="0"/>
    <pivotField compact="0" showAll="0"/>
    <pivotField compact="0" showAll="0"/>
    <pivotField compact="0" showAll="0"/>
    <pivotField compact="0" showAll="0"/>
    <pivotField compact="0" multipleItemSelectionAllowed="1" showAll="0"/>
    <pivotField compact="0" showAll="0">
      <items count="3">
        <item x="1"/>
        <item x="0"/>
        <item t="default"/>
      </items>
    </pivotField>
    <pivotField axis="axisPage" compact="0" showAll="0">
      <items count="3">
        <item x="0"/>
        <item x="1"/>
        <item t="default"/>
      </items>
    </pivotField>
    <pivotField compact="0" showAll="0"/>
    <pivotField axis="axisRow" compact="0" showAll="0">
      <items count="9">
        <item x="1"/>
        <item x="2"/>
        <item x="3"/>
        <item x="0"/>
        <item x="4"/>
        <item x="5"/>
        <item x="6"/>
        <item x="7"/>
        <item t="default"/>
      </items>
    </pivotField>
    <pivotField compact="0" showAll="0"/>
    <pivotField dataField="1" compact="0" showAll="0"/>
    <pivotField dataField="1" compact="0" showAll="0"/>
    <pivotField dataField="1" compact="0" showAll="0"/>
    <pivotField dataField="1" compact="0" showAll="0"/>
    <pivotField dataField="1" compact="0" showAll="0"/>
  </pivotFields>
  <rowFields count="1">
    <field x="11"/>
  </rowFields>
  <rowItems count="8">
    <i>
      <x/>
    </i>
    <i>
      <x v="1"/>
    </i>
    <i>
      <x v="2"/>
    </i>
    <i>
      <x v="3"/>
    </i>
    <i>
      <x v="4"/>
    </i>
    <i>
      <x v="5"/>
    </i>
    <i>
      <x v="6"/>
    </i>
    <i>
      <x v="7"/>
    </i>
  </rowItems>
  <colFields count="1">
    <field x="-2"/>
  </colFields>
  <colItems count="5">
    <i>
      <x/>
    </i>
    <i i="1">
      <x v="1"/>
    </i>
    <i i="2">
      <x v="2"/>
    </i>
    <i i="3">
      <x v="3"/>
    </i>
    <i i="4">
      <x v="4"/>
    </i>
  </colItems>
  <pageFields count="1">
    <pageField fld="9" hier="-1"/>
  </pageFields>
  <dataFields count="5">
    <dataField name="Sum of AveragePrice" fld="13" baseField="0" baseItem="0"/>
    <dataField name="Sum of AveragePriceDetached" fld="14" baseField="0" baseItem="0"/>
    <dataField name="Sum of AveragePriceSemiDetached" fld="15" baseField="0" baseItem="0"/>
    <dataField name="Sum of AveragePriceTerraced" fld="16" baseField="0" baseItem="0"/>
    <dataField name="Sum of AveragePriceFlatOrMaisonette" fld="17" baseField="0" baseItem="0"/>
  </dataFields>
  <chartFormats count="5">
    <chartFormat chart="2" format="100" series="1">
      <pivotArea type="data" outline="0" fieldPosition="0">
        <references count="1">
          <reference field="4294967294" count="1" selected="0">
            <x v="0"/>
          </reference>
        </references>
      </pivotArea>
    </chartFormat>
    <chartFormat chart="2" format="101" series="1">
      <pivotArea type="data" outline="0" fieldPosition="0">
        <references count="1">
          <reference field="4294967294" count="1" selected="0">
            <x v="1"/>
          </reference>
        </references>
      </pivotArea>
    </chartFormat>
    <chartFormat chart="2" format="102" series="1">
      <pivotArea type="data" outline="0" fieldPosition="0">
        <references count="1">
          <reference field="4294967294" count="1" selected="0">
            <x v="2"/>
          </reference>
        </references>
      </pivotArea>
    </chartFormat>
    <chartFormat chart="2" format="103" series="1">
      <pivotArea type="data" outline="0" fieldPosition="0">
        <references count="1">
          <reference field="4294967294" count="1" selected="0">
            <x v="3"/>
          </reference>
        </references>
      </pivotArea>
    </chartFormat>
    <chartFormat chart="2" format="10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78F85-3826-43FC-8BDE-4F7367B2439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outline="1" outlineData="1" compactData="0" multipleFieldFilters="0">
  <location ref="A3:C12" firstHeaderRow="1" firstDataRow="2" firstDataCol="1"/>
  <pivotFields count="18">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3">
        <item x="1"/>
        <item x="0"/>
        <item t="default"/>
      </items>
    </pivotField>
    <pivotField compact="0" showAll="0">
      <items count="3">
        <item x="0"/>
        <item x="1"/>
        <item t="default"/>
      </items>
    </pivotField>
    <pivotField compact="0" showAll="0"/>
    <pivotField axis="axisRow" compact="0" showAll="0">
      <items count="9">
        <item x="1"/>
        <item x="2"/>
        <item x="3"/>
        <item x="0"/>
        <item x="4"/>
        <item x="5"/>
        <item x="6"/>
        <item x="7"/>
        <item t="default"/>
      </items>
    </pivotField>
    <pivotField compact="0" showAll="0"/>
    <pivotField dataField="1" compact="0" showAll="0"/>
    <pivotField compact="0" showAll="0"/>
    <pivotField compact="0" showAll="0"/>
    <pivotField compact="0" showAll="0"/>
    <pivotField compact="0" showAll="0"/>
  </pivotFields>
  <rowFields count="1">
    <field x="11"/>
  </rowFields>
  <rowItems count="8">
    <i>
      <x/>
    </i>
    <i>
      <x v="1"/>
    </i>
    <i>
      <x v="2"/>
    </i>
    <i>
      <x v="3"/>
    </i>
    <i>
      <x v="4"/>
    </i>
    <i>
      <x v="5"/>
    </i>
    <i>
      <x v="6"/>
    </i>
    <i>
      <x v="7"/>
    </i>
  </rowItems>
  <colFields count="1">
    <field x="8"/>
  </colFields>
  <colItems count="2">
    <i>
      <x/>
    </i>
    <i>
      <x v="1"/>
    </i>
  </colItems>
  <dataFields count="1">
    <dataField name="Sum of Average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7073B-4BA3-4816-8787-12386AC21414}"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J2:J3" firstHeaderRow="1" firstDataRow="1" firstDataCol="0"/>
  <pivotFields count="18">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dataField="1" showAll="0"/>
    <pivotField showAll="0">
      <items count="9">
        <item x="1"/>
        <item x="2"/>
        <item x="3"/>
        <item x="0"/>
        <item x="4"/>
        <item x="5"/>
        <item x="6"/>
        <item x="7"/>
        <item t="default"/>
      </items>
    </pivotField>
    <pivotField showAll="0"/>
    <pivotField showAll="0"/>
    <pivotField showAll="0"/>
    <pivotField showAll="0"/>
    <pivotField showAll="0"/>
    <pivotField showAll="0"/>
  </pivotFields>
  <rowItems count="1">
    <i/>
  </rowItems>
  <colItems count="1">
    <i/>
  </colItems>
  <dataFields count="1">
    <dataField name="Count of GeoCod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EntityName" xr10:uid="{8EF46BAB-F7CD-4694-B86B-625DF434A859}" sourceName="GeoEntityName">
  <pivotTables>
    <pivotTable tabId="2" name="PivotTable1"/>
    <pivotTable tabId="4" name="PivotTable3"/>
    <pivotTable tabId="4" name="PivotTable4"/>
  </pivotTables>
  <data>
    <tabular pivotCacheId="6787850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Name" xr10:uid="{A573F2F7-7682-42D8-B3D9-AB7E14E27531}" sourceName="GeoName">
  <pivotTables>
    <pivotTable tabId="2" name="PivotTable1"/>
    <pivotTable tabId="4" name="PivotTable3"/>
    <pivotTable tabId="4" name="PivotTable4"/>
  </pivotTables>
  <data>
    <tabular pivotCacheId="678785092">
      <items count="8">
        <i x="1" s="1"/>
        <i x="2" s="1"/>
        <i x="3" s="1"/>
        <i x="0"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rmal_Month" xr10:uid="{FBEB6D5B-8E5E-4869-8981-0A10DBBB48BB}" sourceName="Normal Month">
  <pivotTables>
    <pivotTable tabId="2" name="PivotTable1"/>
    <pivotTable tabId="4" name="PivotTable3"/>
    <pivotTable tabId="4" name="PivotTable4"/>
  </pivotTables>
  <data>
    <tabular pivotCacheId="6787850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EntityName" xr10:uid="{2D72FECA-D0F0-4728-B8CF-1164D9D62F46}" cache="Slicer_GeoEntityName" caption="GeoEntityName" rowHeight="234950"/>
  <slicer name="GeoName" xr10:uid="{9E3F1ED7-A622-400D-AD8D-19DF2F0511F1}" cache="Slicer_GeoName" caption="GeoName" rowHeight="234950"/>
  <slicer name="Normal Month" xr10:uid="{F5F1E35B-6CE6-432D-907C-21DC2E6215C2}" cache="Slicer_Normal_Month" caption="Normal 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15" dT="2022-10-24T16:08:21.94" personId="{A25E9490-C863-4D3E-9631-06F26B2375D6}" id="{7F2CCB0F-FEFF-45B6-813E-9C6BC06EBB69}">
    <text>Kindly select the section for Highest &amp; Lowest Detail Info.</text>
  </threadedComment>
  <threadedComment ref="S18" dT="2022-10-24T16:08:21.94" personId="{A25E9490-C863-4D3E-9631-06F26B2375D6}" id="{3DCACC8F-4B37-43B0-A0B4-0DA3DF8FA603}">
    <text>Kindly select the section for Highest &amp; Lowest Detail Info.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B799-B040-4B1A-BDC3-F82C9634A351}">
  <dimension ref="A1:XFC27"/>
  <sheetViews>
    <sheetView showGridLines="0" showRowColHeaders="0" tabSelected="1" workbookViewId="0">
      <selection activeCell="I26" sqref="I26"/>
    </sheetView>
  </sheetViews>
  <sheetFormatPr defaultColWidth="0" defaultRowHeight="14.4" x14ac:dyDescent="0.3"/>
  <cols>
    <col min="1" max="1" width="13.88671875" bestFit="1" customWidth="1"/>
    <col min="2" max="2" width="10.5546875" bestFit="1" customWidth="1"/>
    <col min="3" max="3" width="0.6640625" customWidth="1"/>
    <col min="4" max="4" width="13.77734375" bestFit="1" customWidth="1"/>
    <col min="5" max="5" width="21.88671875" customWidth="1"/>
    <col min="6" max="6" width="8.77734375" bestFit="1" customWidth="1"/>
    <col min="7" max="8" width="8.88671875" customWidth="1"/>
    <col min="9" max="9" width="14.21875" customWidth="1"/>
    <col min="10" max="11" width="14.21875" bestFit="1" customWidth="1"/>
    <col min="12" max="14" width="8" bestFit="1" customWidth="1"/>
    <col min="15" max="15" width="5.109375" customWidth="1"/>
    <col min="16" max="16" width="5.88671875" customWidth="1"/>
    <col min="17" max="17" width="32.88671875" bestFit="1" customWidth="1"/>
    <col min="18" max="18" width="8.77734375" bestFit="1" customWidth="1"/>
    <col min="19" max="19" width="3.44140625" customWidth="1"/>
    <col min="20" max="20" width="15" customWidth="1"/>
    <col min="21" max="16382" width="8.88671875" hidden="1"/>
    <col min="16383" max="16383" width="3.5546875" hidden="1"/>
    <col min="16384" max="16384" width="3.109375" hidden="1"/>
  </cols>
  <sheetData>
    <row r="1" spans="1:20" ht="14.4" customHeight="1" x14ac:dyDescent="0.3">
      <c r="A1" s="40" t="s">
        <v>109</v>
      </c>
      <c r="B1" s="42">
        <f ca="1">TODAY()</f>
        <v>44914</v>
      </c>
      <c r="C1" s="4"/>
      <c r="D1" s="40" t="s">
        <v>110</v>
      </c>
      <c r="E1" s="44">
        <f ca="1">NOW()</f>
        <v>44914.653861574072</v>
      </c>
      <c r="F1" s="36" t="s">
        <v>111</v>
      </c>
      <c r="G1" s="37"/>
      <c r="H1" s="37"/>
      <c r="I1" s="37"/>
      <c r="J1" s="37"/>
      <c r="K1" s="37"/>
      <c r="L1" s="37"/>
      <c r="M1" s="37"/>
      <c r="N1" s="37"/>
      <c r="O1" s="37"/>
      <c r="P1" s="37"/>
      <c r="Q1" s="37"/>
      <c r="R1" s="37"/>
      <c r="S1" s="37"/>
      <c r="T1" s="28"/>
    </row>
    <row r="2" spans="1:20" ht="9" customHeight="1" thickBot="1" x14ac:dyDescent="0.35">
      <c r="A2" s="41"/>
      <c r="B2" s="43"/>
      <c r="C2" s="5"/>
      <c r="D2" s="41"/>
      <c r="E2" s="45"/>
      <c r="F2" s="38"/>
      <c r="G2" s="39"/>
      <c r="H2" s="39"/>
      <c r="I2" s="39"/>
      <c r="J2" s="39"/>
      <c r="K2" s="39"/>
      <c r="L2" s="39"/>
      <c r="M2" s="39"/>
      <c r="N2" s="39"/>
      <c r="O2" s="39"/>
      <c r="P2" s="39"/>
      <c r="Q2" s="39"/>
      <c r="R2" s="39"/>
      <c r="S2" s="39"/>
      <c r="T2" s="29"/>
    </row>
    <row r="3" spans="1:20" ht="15" thickBot="1" x14ac:dyDescent="0.35">
      <c r="A3" s="20"/>
      <c r="B3" s="21"/>
      <c r="C3" s="22"/>
      <c r="D3" s="20"/>
      <c r="E3" s="23"/>
      <c r="F3" s="20"/>
      <c r="G3" s="20"/>
      <c r="H3" s="20"/>
      <c r="I3" s="20"/>
      <c r="J3" s="20"/>
      <c r="K3" s="20"/>
      <c r="L3" s="20"/>
      <c r="M3" s="20"/>
      <c r="N3" s="20"/>
      <c r="O3" s="20"/>
      <c r="P3" s="20"/>
      <c r="Q3" s="20"/>
      <c r="R3" s="20"/>
      <c r="S3" s="20"/>
      <c r="T3" s="20"/>
    </row>
    <row r="4" spans="1:20" ht="15" thickBot="1" x14ac:dyDescent="0.35">
      <c r="A4" s="20"/>
      <c r="B4" s="21"/>
      <c r="C4" s="22"/>
      <c r="D4" s="20"/>
      <c r="E4" s="23"/>
      <c r="F4" s="30">
        <f>GETPIVOTDATA("GeoCode",'Yearly Shares by Geo Name'!$J$2)</f>
        <v>96</v>
      </c>
      <c r="G4" s="20"/>
      <c r="H4" s="20"/>
      <c r="I4" s="20"/>
      <c r="J4" s="20"/>
      <c r="K4" s="20"/>
      <c r="L4" s="20"/>
      <c r="M4" s="20"/>
      <c r="N4" s="20"/>
      <c r="O4" s="20"/>
      <c r="P4" s="20"/>
      <c r="Q4" s="20"/>
      <c r="R4" s="20"/>
      <c r="S4" s="20"/>
      <c r="T4" s="20"/>
    </row>
    <row r="5" spans="1:20" x14ac:dyDescent="0.3">
      <c r="A5" s="20"/>
      <c r="B5" s="21"/>
      <c r="C5" s="22"/>
      <c r="D5" s="20"/>
      <c r="E5" s="23"/>
      <c r="F5" s="20"/>
      <c r="G5" s="20"/>
      <c r="H5" s="20"/>
      <c r="I5" s="20"/>
      <c r="J5" s="20"/>
      <c r="K5" s="20"/>
      <c r="L5" s="20"/>
      <c r="M5" s="20"/>
      <c r="N5" s="20"/>
      <c r="O5" s="20"/>
      <c r="P5" s="20"/>
      <c r="Q5" s="20"/>
      <c r="R5" s="20"/>
      <c r="S5" s="20"/>
      <c r="T5" s="20"/>
    </row>
    <row r="12" spans="1:20" ht="12.6" customHeight="1" x14ac:dyDescent="0.3"/>
    <row r="15" spans="1:20" x14ac:dyDescent="0.3">
      <c r="Q15" s="31" t="s">
        <v>104</v>
      </c>
      <c r="R15" s="32"/>
      <c r="S15" s="13"/>
    </row>
    <row r="16" spans="1:20" ht="16.2" thickBot="1" x14ac:dyDescent="0.35">
      <c r="N16" s="27"/>
      <c r="Q16" s="18" t="s">
        <v>92</v>
      </c>
      <c r="R16" s="19">
        <f>_xlfn.IFNA(INDEX('Geo Name by Ave. Price'!A17:E17,MATCH(Dashboard!$Q16,'Geo Name by Ave. Price'!$A$16:$E$16,0)),"")</f>
        <v>2599849</v>
      </c>
    </row>
    <row r="17" spans="10:19" ht="15" thickBot="1" x14ac:dyDescent="0.35">
      <c r="Q17" s="14"/>
      <c r="R17" s="15"/>
    </row>
    <row r="18" spans="10:19" ht="16.2" thickBot="1" x14ac:dyDescent="0.35">
      <c r="J18" s="33" t="s">
        <v>115</v>
      </c>
      <c r="K18" s="34"/>
      <c r="L18" s="34"/>
      <c r="M18" s="34"/>
      <c r="N18" s="35"/>
      <c r="Q18" s="31" t="s">
        <v>103</v>
      </c>
      <c r="R18" s="32"/>
      <c r="S18" s="6"/>
    </row>
    <row r="19" spans="10:19" ht="38.4" customHeight="1" x14ac:dyDescent="0.3">
      <c r="J19" s="24" t="s">
        <v>116</v>
      </c>
      <c r="K19" s="25" t="str">
        <f>'Yearly Shares by Geo Name'!B4</f>
        <v>2018</v>
      </c>
      <c r="L19" s="25" t="str">
        <f>'Yearly Shares by Geo Name'!C4</f>
        <v>2019</v>
      </c>
      <c r="M19" s="26" t="str">
        <f>"Yearly % of "&amp;K19</f>
        <v>Yearly % of 2018</v>
      </c>
      <c r="N19" s="26" t="str">
        <f>"Yearly % of "&amp;L19</f>
        <v>Yearly % of 2019</v>
      </c>
      <c r="Q19" s="16" t="s">
        <v>98</v>
      </c>
      <c r="R19" s="17">
        <f>_xlfn.IFNA(INDEX('Geo Name by Ave. Price'!A20:E20,MATCH(Dashboard!$Q19,'Geo Name by Ave. Price'!$A$19:$E$19,0)),"")</f>
        <v>1862269</v>
      </c>
    </row>
    <row r="20" spans="10:19" ht="15" thickBot="1" x14ac:dyDescent="0.35">
      <c r="J20" s="7" t="str">
        <f>_xlfn.IFNA(IF('Yearly Shares by Geo Name'!A5=0,"",'Yearly Shares by Geo Name'!A5),"")</f>
        <v>Boston</v>
      </c>
      <c r="K20" s="8" cm="1">
        <f t="array" ref="K20:K27">_xlfn.IFNA(VLOOKUP($J$20:$J$27,'Yearly Shares by Geo Name'!$A$5:$C$12,2,0),"")</f>
        <v>307722</v>
      </c>
      <c r="L20" s="8" cm="1">
        <f t="array" ref="L20:L27">_xlfn.IFNA(VLOOKUP($J$20:$J$27,'Yearly Shares by Geo Name'!$A$5:$C$12,3,0),"")</f>
        <v>1554547</v>
      </c>
      <c r="M20" s="9">
        <f t="shared" ref="M20:M27" si="0">IFERROR($K20/SUM($K$20:$K$27),"")</f>
        <v>0.10590966004638078</v>
      </c>
      <c r="N20" s="9">
        <f t="shared" ref="N20:N27" si="1">IFERROR($L20/SUM($L$20:$L$27),"")</f>
        <v>0.10634487204728314</v>
      </c>
    </row>
    <row r="21" spans="10:19" ht="15" thickBot="1" x14ac:dyDescent="0.35">
      <c r="J21" s="10" t="str">
        <f>_xlfn.IFNA(IF('Yearly Shares by Geo Name'!A6=0,"",'Yearly Shares by Geo Name'!A6),"")</f>
        <v>East Lindsey</v>
      </c>
      <c r="K21" s="11">
        <v>351014</v>
      </c>
      <c r="L21" s="11">
        <v>1790193</v>
      </c>
      <c r="M21" s="12">
        <f t="shared" si="0"/>
        <v>0.12080960546051404</v>
      </c>
      <c r="N21" s="12">
        <f t="shared" si="1"/>
        <v>0.1224651589980502</v>
      </c>
    </row>
    <row r="22" spans="10:19" ht="15" thickBot="1" x14ac:dyDescent="0.35">
      <c r="J22" s="10" t="str">
        <f>_xlfn.IFNA(IF('Yearly Shares by Geo Name'!A7=0,"",'Yearly Shares by Geo Name'!A7),"")</f>
        <v>Lincoln</v>
      </c>
      <c r="K22" s="11">
        <v>306906</v>
      </c>
      <c r="L22" s="11">
        <v>1559606</v>
      </c>
      <c r="M22" s="12">
        <f t="shared" si="0"/>
        <v>0.10562881472951086</v>
      </c>
      <c r="N22" s="12">
        <f t="shared" si="1"/>
        <v>0.10669095274325902</v>
      </c>
    </row>
    <row r="23" spans="10:19" ht="15" thickBot="1" x14ac:dyDescent="0.35">
      <c r="J23" s="10" t="str">
        <f>_xlfn.IFNA(IF('Yearly Shares by Geo Name'!A8=0,"",'Yearly Shares by Geo Name'!A8),"")</f>
        <v>Lincolnshire</v>
      </c>
      <c r="K23" s="11">
        <v>369213</v>
      </c>
      <c r="L23" s="11">
        <v>1858266</v>
      </c>
      <c r="M23" s="12">
        <f t="shared" si="0"/>
        <v>0.1270732132077147</v>
      </c>
      <c r="N23" s="12">
        <f t="shared" si="1"/>
        <v>0.1271219590014433</v>
      </c>
    </row>
    <row r="24" spans="10:19" ht="15" thickBot="1" x14ac:dyDescent="0.35">
      <c r="J24" s="10" t="str">
        <f>_xlfn.IFNA(IF('Yearly Shares by Geo Name'!A9=0,"",'Yearly Shares by Geo Name'!A9),"")</f>
        <v>North Kesteven</v>
      </c>
      <c r="K24" s="11">
        <v>422911</v>
      </c>
      <c r="L24" s="11">
        <v>2097588</v>
      </c>
      <c r="M24" s="12">
        <f t="shared" si="0"/>
        <v>0.14555462475830439</v>
      </c>
      <c r="N24" s="12">
        <f t="shared" si="1"/>
        <v>0.14349371712011058</v>
      </c>
    </row>
    <row r="25" spans="10:19" ht="15" thickBot="1" x14ac:dyDescent="0.35">
      <c r="J25" s="10" t="str">
        <f>_xlfn.IFNA(IF('Yearly Shares by Geo Name'!A10=0,"",'Yearly Shares by Geo Name'!A10),"")</f>
        <v>South Holland</v>
      </c>
      <c r="K25" s="11">
        <v>381215</v>
      </c>
      <c r="L25" s="11">
        <v>1892033</v>
      </c>
      <c r="M25" s="12">
        <f t="shared" si="0"/>
        <v>0.13120397974334316</v>
      </c>
      <c r="N25" s="12">
        <f t="shared" si="1"/>
        <v>0.12943192280081417</v>
      </c>
    </row>
    <row r="26" spans="10:19" ht="15" thickBot="1" x14ac:dyDescent="0.35">
      <c r="J26" s="10" t="str">
        <f>_xlfn.IFNA(IF('Yearly Shares by Geo Name'!A11=0,"",'Yearly Shares by Geo Name'!A11),"")</f>
        <v>South Kesteven</v>
      </c>
      <c r="K26" s="11">
        <v>432549</v>
      </c>
      <c r="L26" s="11">
        <v>2167300</v>
      </c>
      <c r="M26" s="12">
        <f t="shared" si="0"/>
        <v>0.14887176589064793</v>
      </c>
      <c r="N26" s="12">
        <f t="shared" si="1"/>
        <v>0.14826263933356584</v>
      </c>
    </row>
    <row r="27" spans="10:19" ht="15" thickBot="1" x14ac:dyDescent="0.35">
      <c r="J27" s="10" t="str">
        <f>_xlfn.IFNA(IF('Yearly Shares by Geo Name'!A12=0,"",'Yearly Shares by Geo Name'!A12),"")</f>
        <v>West Lindsey</v>
      </c>
      <c r="K27" s="11">
        <v>333984</v>
      </c>
      <c r="L27" s="11">
        <v>1698445</v>
      </c>
      <c r="M27" s="12">
        <f t="shared" si="0"/>
        <v>0.11494833616358413</v>
      </c>
      <c r="N27" s="12">
        <f t="shared" si="1"/>
        <v>0.11618877795547373</v>
      </c>
    </row>
  </sheetData>
  <sheetProtection formatCells="0" formatColumns="0" formatRows="0" insertColumns="0" insertRows="0" insertHyperlinks="0" deleteColumns="0" deleteRows="0" sort="0" autoFilter="0" pivotTables="0"/>
  <mergeCells count="8">
    <mergeCell ref="Q18:R18"/>
    <mergeCell ref="J18:N18"/>
    <mergeCell ref="F1:S2"/>
    <mergeCell ref="A1:A2"/>
    <mergeCell ref="B1:B2"/>
    <mergeCell ref="D1:D2"/>
    <mergeCell ref="E1:E2"/>
    <mergeCell ref="Q15:R15"/>
  </mergeCells>
  <conditionalFormatting sqref="M20:M27">
    <cfRule type="iconSet" priority="4">
      <iconSet iconSet="3Arrows">
        <cfvo type="percent" val="0"/>
        <cfvo type="percent" val="33"/>
        <cfvo type="percent" val="67"/>
      </iconSet>
    </cfRule>
  </conditionalFormatting>
  <conditionalFormatting sqref="N20:N27">
    <cfRule type="iconSet" priority="3">
      <iconSet iconSet="3Arrows">
        <cfvo type="percent" val="0"/>
        <cfvo type="percent" val="33"/>
        <cfvo type="percent" val="67"/>
      </iconSet>
    </cfRule>
  </conditionalFormatting>
  <conditionalFormatting sqref="K20:K27">
    <cfRule type="colorScale" priority="2">
      <colorScale>
        <cfvo type="min"/>
        <cfvo type="percentile" val="50"/>
        <cfvo type="max"/>
        <color rgb="FFF8696B"/>
        <color rgb="FFFFEB84"/>
        <color rgb="FF63BE7B"/>
      </colorScale>
    </cfRule>
  </conditionalFormatting>
  <conditionalFormatting sqref="L20:L2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E101F7F-4E09-478E-B1DA-DCC58AD10677}">
          <x14:formula1>
            <xm:f>'Geo Name by Ave. Price'!$A$16:$E$16</xm:f>
          </x14:formula1>
          <xm:sqref>Q16</xm:sqref>
        </x14:dataValidation>
        <x14:dataValidation type="list" allowBlank="1" showInputMessage="1" showErrorMessage="1" xr:uid="{F14F7330-6AED-49DB-9A5B-4E95DD71572E}">
          <x14:formula1>
            <xm:f>'Geo Name by Ave. Price'!$A$19:$E$19</xm:f>
          </x14:formula1>
          <xm:sqref>Q19</xm:sqref>
        </x14:dataValidation>
      </x14:dataValidation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AFD9-4C30-435F-9C1C-883B7F3CBDE2}">
  <dimension ref="A2:F23"/>
  <sheetViews>
    <sheetView workbookViewId="0"/>
  </sheetViews>
  <sheetFormatPr defaultRowHeight="14.4" x14ac:dyDescent="0.3"/>
  <cols>
    <col min="1" max="1" width="14" bestFit="1" customWidth="1"/>
    <col min="2" max="2" width="18.6640625" bestFit="1" customWidth="1"/>
    <col min="3" max="3" width="26.88671875" bestFit="1" customWidth="1"/>
    <col min="4" max="4" width="31.109375" bestFit="1" customWidth="1"/>
    <col min="5" max="5" width="26.21875" bestFit="1" customWidth="1"/>
    <col min="6" max="11" width="33.6640625" bestFit="1" customWidth="1"/>
    <col min="12" max="12" width="23.44140625" bestFit="1" customWidth="1"/>
    <col min="13" max="13" width="31.6640625" bestFit="1" customWidth="1"/>
    <col min="14" max="14" width="35.88671875" bestFit="1" customWidth="1"/>
    <col min="15" max="15" width="31" bestFit="1" customWidth="1"/>
    <col min="16" max="16" width="38.44140625" bestFit="1" customWidth="1"/>
    <col min="17" max="61" width="33.6640625" bestFit="1" customWidth="1"/>
    <col min="62" max="62" width="23.44140625" bestFit="1" customWidth="1"/>
    <col min="63" max="63" width="31.6640625" bestFit="1" customWidth="1"/>
    <col min="64" max="64" width="35.88671875" bestFit="1" customWidth="1"/>
    <col min="65" max="65" width="31" bestFit="1" customWidth="1"/>
    <col min="66" max="66" width="38.44140625" bestFit="1" customWidth="1"/>
  </cols>
  <sheetData>
    <row r="2" spans="1:6" x14ac:dyDescent="0.3">
      <c r="A2" s="2" t="s">
        <v>8</v>
      </c>
      <c r="B2" t="s">
        <v>117</v>
      </c>
    </row>
    <row r="4" spans="1:6" x14ac:dyDescent="0.3">
      <c r="A4" s="2" t="s">
        <v>10</v>
      </c>
      <c r="B4" t="s">
        <v>87</v>
      </c>
      <c r="C4" t="s">
        <v>88</v>
      </c>
      <c r="D4" t="s">
        <v>89</v>
      </c>
      <c r="E4" t="s">
        <v>90</v>
      </c>
      <c r="F4" t="s">
        <v>91</v>
      </c>
    </row>
    <row r="5" spans="1:6" x14ac:dyDescent="0.3">
      <c r="A5" t="s">
        <v>28</v>
      </c>
      <c r="B5" s="46">
        <v>1862269</v>
      </c>
      <c r="C5" s="46">
        <v>2562008</v>
      </c>
      <c r="D5" s="46">
        <v>1597508</v>
      </c>
      <c r="E5" s="46">
        <v>1277734</v>
      </c>
      <c r="F5" s="46">
        <v>981016</v>
      </c>
    </row>
    <row r="6" spans="1:6" x14ac:dyDescent="0.3">
      <c r="A6" t="s">
        <v>31</v>
      </c>
      <c r="B6" s="46">
        <v>2141207</v>
      </c>
      <c r="C6" s="46">
        <v>2647689</v>
      </c>
      <c r="D6" s="46">
        <v>1818459</v>
      </c>
      <c r="E6" s="46">
        <v>1440680</v>
      </c>
      <c r="F6" s="46">
        <v>1074697</v>
      </c>
    </row>
    <row r="7" spans="1:6" x14ac:dyDescent="0.3">
      <c r="A7" t="s">
        <v>34</v>
      </c>
      <c r="B7" s="46">
        <v>1866512</v>
      </c>
      <c r="C7" s="46">
        <v>2997774</v>
      </c>
      <c r="D7" s="46">
        <v>2018758</v>
      </c>
      <c r="E7" s="46">
        <v>1551973</v>
      </c>
      <c r="F7" s="46">
        <v>1254657</v>
      </c>
    </row>
    <row r="8" spans="1:6" x14ac:dyDescent="0.3">
      <c r="A8" t="s">
        <v>17</v>
      </c>
      <c r="B8" s="46">
        <v>2227479</v>
      </c>
      <c r="C8" s="46">
        <v>2937973</v>
      </c>
      <c r="D8" s="46">
        <v>1968873</v>
      </c>
      <c r="E8" s="46">
        <v>1588296</v>
      </c>
      <c r="F8" s="46">
        <v>1193343</v>
      </c>
    </row>
    <row r="9" spans="1:6" x14ac:dyDescent="0.3">
      <c r="A9" t="s">
        <v>37</v>
      </c>
      <c r="B9" s="46">
        <v>2520499</v>
      </c>
      <c r="C9" s="46">
        <v>3059541</v>
      </c>
      <c r="D9" s="46">
        <v>2074895</v>
      </c>
      <c r="E9" s="46">
        <v>1717015</v>
      </c>
      <c r="F9" s="46">
        <v>1230401</v>
      </c>
    </row>
    <row r="10" spans="1:6" x14ac:dyDescent="0.3">
      <c r="A10" t="s">
        <v>40</v>
      </c>
      <c r="B10" s="46">
        <v>2273248</v>
      </c>
      <c r="C10" s="46">
        <v>2822285</v>
      </c>
      <c r="D10" s="46">
        <v>1924961</v>
      </c>
      <c r="E10" s="46">
        <v>1565259</v>
      </c>
      <c r="F10" s="46">
        <v>1034825</v>
      </c>
    </row>
    <row r="11" spans="1:6" x14ac:dyDescent="0.3">
      <c r="A11" t="s">
        <v>43</v>
      </c>
      <c r="B11" s="46">
        <v>2599849</v>
      </c>
      <c r="C11" s="46">
        <v>3655882</v>
      </c>
      <c r="D11" s="46">
        <v>2357764</v>
      </c>
      <c r="E11" s="46">
        <v>1895080</v>
      </c>
      <c r="F11" s="46">
        <v>1324372</v>
      </c>
    </row>
    <row r="12" spans="1:6" x14ac:dyDescent="0.3">
      <c r="A12" t="s">
        <v>46</v>
      </c>
      <c r="B12" s="46">
        <v>2032429</v>
      </c>
      <c r="C12" s="46">
        <v>2679158</v>
      </c>
      <c r="D12" s="46">
        <v>1734555</v>
      </c>
      <c r="E12" s="46">
        <v>1408434</v>
      </c>
      <c r="F12" s="46">
        <v>1108684</v>
      </c>
    </row>
    <row r="16" spans="1:6" x14ac:dyDescent="0.3">
      <c r="A16" t="s">
        <v>92</v>
      </c>
      <c r="B16" t="s">
        <v>94</v>
      </c>
      <c r="C16" t="s">
        <v>95</v>
      </c>
      <c r="D16" t="s">
        <v>96</v>
      </c>
      <c r="E16" t="s">
        <v>97</v>
      </c>
    </row>
    <row r="17" spans="1:6" ht="72" x14ac:dyDescent="0.3">
      <c r="A17">
        <f>MAX(B5:B12)</f>
        <v>2599849</v>
      </c>
      <c r="B17">
        <f t="shared" ref="B17:E17" si="0">MAX(C5:C12)</f>
        <v>3655882</v>
      </c>
      <c r="C17">
        <f t="shared" si="0"/>
        <v>2357764</v>
      </c>
      <c r="D17">
        <f t="shared" si="0"/>
        <v>1895080</v>
      </c>
      <c r="E17">
        <f t="shared" si="0"/>
        <v>1324372</v>
      </c>
      <c r="F17" s="3" t="str">
        <f>_xlfn.CONCAT(INDEX(A5:A12,MATCH($A17,B5:B12,0))," Geo Name is the ",A16,", ",B16,", ",C16,", ",D16," and ",E16)</f>
        <v>South Kesteven Geo Name is the Highest Ave. Price, Highest Ave. Price Detached, Highest Ave. Price Semi Detached, Highest Ave. Price Terraced and Highest Ave. Price Flat/Maisonette</v>
      </c>
    </row>
    <row r="19" spans="1:6" x14ac:dyDescent="0.3">
      <c r="A19" t="s">
        <v>98</v>
      </c>
      <c r="B19" t="s">
        <v>99</v>
      </c>
      <c r="C19" t="s">
        <v>100</v>
      </c>
      <c r="D19" t="s">
        <v>101</v>
      </c>
      <c r="E19" t="s">
        <v>102</v>
      </c>
    </row>
    <row r="20" spans="1:6" x14ac:dyDescent="0.3">
      <c r="A20">
        <f>MIN(B5:B12)</f>
        <v>1862269</v>
      </c>
      <c r="B20">
        <f t="shared" ref="B20:E20" si="1">MIN(C5:C12)</f>
        <v>2562008</v>
      </c>
      <c r="C20">
        <f t="shared" si="1"/>
        <v>1597508</v>
      </c>
      <c r="D20">
        <f t="shared" si="1"/>
        <v>1277734</v>
      </c>
      <c r="E20">
        <f t="shared" si="1"/>
        <v>981016</v>
      </c>
    </row>
    <row r="22" spans="1:6" x14ac:dyDescent="0.3">
      <c r="A22" t="s">
        <v>93</v>
      </c>
      <c r="B22" t="s">
        <v>105</v>
      </c>
      <c r="C22" t="s">
        <v>106</v>
      </c>
      <c r="D22" t="s">
        <v>107</v>
      </c>
      <c r="E22" t="s">
        <v>108</v>
      </c>
    </row>
    <row r="23" spans="1:6" x14ac:dyDescent="0.3">
      <c r="A23">
        <f>SUM(B$5:B$12)</f>
        <v>17523492</v>
      </c>
      <c r="B23">
        <f t="shared" ref="B23:E23" si="2">SUM(C$5:C$12)</f>
        <v>23362310</v>
      </c>
      <c r="C23">
        <f t="shared" si="2"/>
        <v>15495773</v>
      </c>
      <c r="D23">
        <f t="shared" si="2"/>
        <v>12444471</v>
      </c>
      <c r="E23">
        <f t="shared" si="2"/>
        <v>9201995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739E-A3B4-4D57-A460-5D478C03A25B}">
  <dimension ref="A2:K12"/>
  <sheetViews>
    <sheetView workbookViewId="0">
      <selection activeCell="F22" sqref="F22"/>
    </sheetView>
  </sheetViews>
  <sheetFormatPr defaultRowHeight="14.4" x14ac:dyDescent="0.3"/>
  <cols>
    <col min="1" max="1" width="18.6640625" bestFit="1" customWidth="1"/>
    <col min="2" max="2" width="15.77734375" bestFit="1" customWidth="1"/>
    <col min="3" max="3" width="8" bestFit="1" customWidth="1"/>
    <col min="4" max="4" width="10.77734375" bestFit="1" customWidth="1"/>
    <col min="10" max="10" width="16.5546875" bestFit="1" customWidth="1"/>
    <col min="11" max="11" width="0" hidden="1" customWidth="1"/>
  </cols>
  <sheetData>
    <row r="2" spans="1:11" x14ac:dyDescent="0.3">
      <c r="J2" t="s">
        <v>114</v>
      </c>
    </row>
    <row r="3" spans="1:11" x14ac:dyDescent="0.3">
      <c r="A3" s="2" t="s">
        <v>87</v>
      </c>
      <c r="B3" s="2" t="s">
        <v>81</v>
      </c>
      <c r="J3" s="46">
        <v>96</v>
      </c>
      <c r="K3">
        <f>GETPIVOTDATA("GeoCode",$J$2)</f>
        <v>96</v>
      </c>
    </row>
    <row r="4" spans="1:11" x14ac:dyDescent="0.3">
      <c r="A4" s="2" t="s">
        <v>10</v>
      </c>
      <c r="B4" t="s">
        <v>112</v>
      </c>
      <c r="C4" t="s">
        <v>113</v>
      </c>
    </row>
    <row r="5" spans="1:11" x14ac:dyDescent="0.3">
      <c r="A5" t="s">
        <v>28</v>
      </c>
      <c r="B5" s="46">
        <v>307722</v>
      </c>
      <c r="C5" s="46">
        <v>1554547</v>
      </c>
    </row>
    <row r="6" spans="1:11" x14ac:dyDescent="0.3">
      <c r="A6" t="s">
        <v>31</v>
      </c>
      <c r="B6" s="46">
        <v>351014</v>
      </c>
      <c r="C6" s="46">
        <v>1790193</v>
      </c>
    </row>
    <row r="7" spans="1:11" x14ac:dyDescent="0.3">
      <c r="A7" t="s">
        <v>34</v>
      </c>
      <c r="B7" s="46">
        <v>306906</v>
      </c>
      <c r="C7" s="46">
        <v>1559606</v>
      </c>
    </row>
    <row r="8" spans="1:11" x14ac:dyDescent="0.3">
      <c r="A8" t="s">
        <v>17</v>
      </c>
      <c r="B8" s="46">
        <v>369213</v>
      </c>
      <c r="C8" s="46">
        <v>1858266</v>
      </c>
    </row>
    <row r="9" spans="1:11" x14ac:dyDescent="0.3">
      <c r="A9" t="s">
        <v>37</v>
      </c>
      <c r="B9" s="46">
        <v>422911</v>
      </c>
      <c r="C9" s="46">
        <v>2097588</v>
      </c>
    </row>
    <row r="10" spans="1:11" x14ac:dyDescent="0.3">
      <c r="A10" t="s">
        <v>40</v>
      </c>
      <c r="B10" s="46">
        <v>381215</v>
      </c>
      <c r="C10" s="46">
        <v>1892033</v>
      </c>
    </row>
    <row r="11" spans="1:11" x14ac:dyDescent="0.3">
      <c r="A11" t="s">
        <v>43</v>
      </c>
      <c r="B11" s="46">
        <v>432549</v>
      </c>
      <c r="C11" s="46">
        <v>2167300</v>
      </c>
    </row>
    <row r="12" spans="1:11" x14ac:dyDescent="0.3">
      <c r="A12" t="s">
        <v>46</v>
      </c>
      <c r="B12" s="46">
        <v>333984</v>
      </c>
      <c r="C12" s="46">
        <v>1698445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7"/>
  <sheetViews>
    <sheetView zoomScale="90" zoomScaleNormal="90" workbookViewId="0"/>
  </sheetViews>
  <sheetFormatPr defaultRowHeight="14.4" x14ac:dyDescent="0.3"/>
  <cols>
    <col min="10" max="10" width="17.21875" bestFit="1" customWidth="1"/>
    <col min="11" max="11" width="11.33203125" bestFit="1" customWidth="1"/>
    <col min="14" max="14" width="11.5546875" bestFit="1" customWidth="1"/>
    <col min="15" max="15" width="19.5546875" bestFit="1" customWidth="1"/>
    <col min="16" max="16" width="23.5546875" bestFit="1" customWidth="1"/>
    <col min="17" max="17" width="19" bestFit="1" customWidth="1"/>
    <col min="18" max="18" width="26.33203125" bestFit="1" customWidth="1"/>
  </cols>
  <sheetData>
    <row r="1" spans="1:23" x14ac:dyDescent="0.3">
      <c r="A1" t="s">
        <v>0</v>
      </c>
      <c r="B1" t="s">
        <v>1</v>
      </c>
      <c r="C1" t="s">
        <v>2</v>
      </c>
      <c r="D1" t="s">
        <v>3</v>
      </c>
      <c r="E1" t="s">
        <v>4</v>
      </c>
      <c r="F1" t="s">
        <v>5</v>
      </c>
      <c r="G1" t="s">
        <v>6</v>
      </c>
      <c r="H1" t="s">
        <v>7</v>
      </c>
      <c r="I1" t="s">
        <v>81</v>
      </c>
      <c r="J1" t="s">
        <v>8</v>
      </c>
      <c r="K1" t="s">
        <v>9</v>
      </c>
      <c r="L1" t="s">
        <v>10</v>
      </c>
      <c r="M1" t="s">
        <v>11</v>
      </c>
      <c r="N1" t="s">
        <v>12</v>
      </c>
      <c r="O1" t="s">
        <v>13</v>
      </c>
      <c r="P1" t="s">
        <v>14</v>
      </c>
      <c r="Q1" t="s">
        <v>15</v>
      </c>
      <c r="R1" t="s">
        <v>16</v>
      </c>
    </row>
    <row r="2" spans="1:23" x14ac:dyDescent="0.3">
      <c r="A2" t="s">
        <v>17</v>
      </c>
      <c r="B2" t="s">
        <v>18</v>
      </c>
      <c r="C2" t="s">
        <v>19</v>
      </c>
      <c r="D2" t="b">
        <v>1</v>
      </c>
      <c r="E2" t="s">
        <v>20</v>
      </c>
      <c r="F2" t="s">
        <v>21</v>
      </c>
      <c r="H2" t="s">
        <v>22</v>
      </c>
      <c r="I2" t="str">
        <f>LEFT(H2,4)</f>
        <v>2019</v>
      </c>
      <c r="J2" t="s">
        <v>23</v>
      </c>
      <c r="K2" t="s">
        <v>24</v>
      </c>
      <c r="L2" t="s">
        <v>17</v>
      </c>
      <c r="M2" t="s">
        <v>25</v>
      </c>
      <c r="N2">
        <v>190317</v>
      </c>
      <c r="O2">
        <v>251377</v>
      </c>
      <c r="P2">
        <v>168595</v>
      </c>
      <c r="Q2">
        <v>135769</v>
      </c>
      <c r="R2">
        <v>99165</v>
      </c>
      <c r="T2" t="s">
        <v>82</v>
      </c>
      <c r="U2">
        <f>_xlfn.MAXIFS(R:R,J:J,"District Council")</f>
        <v>113158</v>
      </c>
      <c r="W2" t="str">
        <f>IF(J2="District Council",MAX(R:R),"")</f>
        <v/>
      </c>
    </row>
    <row r="3" spans="1:23" x14ac:dyDescent="0.3">
      <c r="A3" t="s">
        <v>17</v>
      </c>
      <c r="B3" t="s">
        <v>18</v>
      </c>
      <c r="C3" t="s">
        <v>19</v>
      </c>
      <c r="D3" t="b">
        <v>1</v>
      </c>
      <c r="E3" t="s">
        <v>20</v>
      </c>
      <c r="F3" t="s">
        <v>21</v>
      </c>
      <c r="H3" t="s">
        <v>22</v>
      </c>
      <c r="I3" t="str">
        <f t="shared" ref="I3:I66" si="0">LEFT(H3,4)</f>
        <v>2019</v>
      </c>
      <c r="J3" t="s">
        <v>26</v>
      </c>
      <c r="K3" t="s">
        <v>27</v>
      </c>
      <c r="L3" t="s">
        <v>28</v>
      </c>
      <c r="M3" t="s">
        <v>29</v>
      </c>
      <c r="N3">
        <v>148645</v>
      </c>
      <c r="O3">
        <v>204639</v>
      </c>
      <c r="P3">
        <v>127749</v>
      </c>
      <c r="Q3">
        <v>102068</v>
      </c>
      <c r="R3">
        <v>76677</v>
      </c>
      <c r="T3" t="s">
        <v>83</v>
      </c>
      <c r="U3">
        <f>_xlfn.MINIFS(P:P,J:J,"District Council",I:I,"2019")</f>
        <v>127749</v>
      </c>
    </row>
    <row r="4" spans="1:23" x14ac:dyDescent="0.3">
      <c r="A4" t="s">
        <v>17</v>
      </c>
      <c r="B4" t="s">
        <v>18</v>
      </c>
      <c r="C4" t="s">
        <v>19</v>
      </c>
      <c r="D4" t="b">
        <v>1</v>
      </c>
      <c r="E4" t="s">
        <v>20</v>
      </c>
      <c r="F4" t="s">
        <v>21</v>
      </c>
      <c r="H4" t="s">
        <v>22</v>
      </c>
      <c r="I4" t="str">
        <f t="shared" si="0"/>
        <v>2019</v>
      </c>
      <c r="J4" t="s">
        <v>26</v>
      </c>
      <c r="K4" t="s">
        <v>30</v>
      </c>
      <c r="L4" t="s">
        <v>31</v>
      </c>
      <c r="M4" t="s">
        <v>32</v>
      </c>
      <c r="N4">
        <v>183746</v>
      </c>
      <c r="O4">
        <v>227343</v>
      </c>
      <c r="P4">
        <v>156344</v>
      </c>
      <c r="Q4">
        <v>123702</v>
      </c>
      <c r="R4">
        <v>90088</v>
      </c>
      <c r="T4" t="s">
        <v>84</v>
      </c>
      <c r="U4">
        <f>_xlfn.MAXIFS(N:N,J:J,"District Council")</f>
        <v>225459</v>
      </c>
    </row>
    <row r="5" spans="1:23" x14ac:dyDescent="0.3">
      <c r="A5" t="s">
        <v>17</v>
      </c>
      <c r="B5" t="s">
        <v>18</v>
      </c>
      <c r="C5" t="s">
        <v>19</v>
      </c>
      <c r="D5" t="b">
        <v>1</v>
      </c>
      <c r="E5" t="s">
        <v>20</v>
      </c>
      <c r="F5" t="s">
        <v>21</v>
      </c>
      <c r="H5" t="s">
        <v>22</v>
      </c>
      <c r="I5" t="str">
        <f t="shared" si="0"/>
        <v>2019</v>
      </c>
      <c r="J5" t="s">
        <v>26</v>
      </c>
      <c r="K5" t="s">
        <v>33</v>
      </c>
      <c r="L5" t="s">
        <v>34</v>
      </c>
      <c r="M5" t="s">
        <v>35</v>
      </c>
      <c r="N5">
        <v>156762</v>
      </c>
      <c r="O5">
        <v>251991</v>
      </c>
      <c r="P5">
        <v>170338</v>
      </c>
      <c r="Q5">
        <v>130887</v>
      </c>
      <c r="R5">
        <v>103079</v>
      </c>
      <c r="T5" t="s">
        <v>85</v>
      </c>
      <c r="U5" s="1" t="s">
        <v>86</v>
      </c>
    </row>
    <row r="6" spans="1:23" x14ac:dyDescent="0.3">
      <c r="A6" t="s">
        <v>17</v>
      </c>
      <c r="B6" t="s">
        <v>18</v>
      </c>
      <c r="C6" t="s">
        <v>19</v>
      </c>
      <c r="D6" t="b">
        <v>1</v>
      </c>
      <c r="E6" t="s">
        <v>20</v>
      </c>
      <c r="F6" t="s">
        <v>21</v>
      </c>
      <c r="H6" t="s">
        <v>22</v>
      </c>
      <c r="I6" t="str">
        <f t="shared" si="0"/>
        <v>2019</v>
      </c>
      <c r="J6" t="s">
        <v>26</v>
      </c>
      <c r="K6" t="s">
        <v>36</v>
      </c>
      <c r="L6" t="s">
        <v>37</v>
      </c>
      <c r="M6" t="s">
        <v>38</v>
      </c>
      <c r="N6">
        <v>217448</v>
      </c>
      <c r="O6">
        <v>263722</v>
      </c>
      <c r="P6">
        <v>179488</v>
      </c>
      <c r="Q6">
        <v>148310</v>
      </c>
      <c r="R6">
        <v>104026</v>
      </c>
    </row>
    <row r="7" spans="1:23" x14ac:dyDescent="0.3">
      <c r="A7" t="s">
        <v>17</v>
      </c>
      <c r="B7" t="s">
        <v>18</v>
      </c>
      <c r="C7" t="s">
        <v>19</v>
      </c>
      <c r="D7" t="b">
        <v>1</v>
      </c>
      <c r="E7" t="s">
        <v>20</v>
      </c>
      <c r="F7" t="s">
        <v>21</v>
      </c>
      <c r="H7" t="s">
        <v>22</v>
      </c>
      <c r="I7" t="str">
        <f t="shared" si="0"/>
        <v>2019</v>
      </c>
      <c r="J7" t="s">
        <v>26</v>
      </c>
      <c r="K7" t="s">
        <v>39</v>
      </c>
      <c r="L7" t="s">
        <v>40</v>
      </c>
      <c r="M7" t="s">
        <v>41</v>
      </c>
      <c r="N7">
        <v>193038</v>
      </c>
      <c r="O7">
        <v>239726</v>
      </c>
      <c r="P7">
        <v>163823</v>
      </c>
      <c r="Q7">
        <v>132916</v>
      </c>
      <c r="R7">
        <v>85788</v>
      </c>
    </row>
    <row r="8" spans="1:23" x14ac:dyDescent="0.3">
      <c r="A8" t="s">
        <v>17</v>
      </c>
      <c r="B8" t="s">
        <v>18</v>
      </c>
      <c r="C8" t="s">
        <v>19</v>
      </c>
      <c r="D8" t="b">
        <v>1</v>
      </c>
      <c r="E8" t="s">
        <v>20</v>
      </c>
      <c r="F8" t="s">
        <v>21</v>
      </c>
      <c r="H8" t="s">
        <v>22</v>
      </c>
      <c r="I8" t="str">
        <f t="shared" si="0"/>
        <v>2019</v>
      </c>
      <c r="J8" t="s">
        <v>26</v>
      </c>
      <c r="K8" t="s">
        <v>42</v>
      </c>
      <c r="L8" t="s">
        <v>43</v>
      </c>
      <c r="M8" t="s">
        <v>44</v>
      </c>
      <c r="N8">
        <v>225459</v>
      </c>
      <c r="O8">
        <v>317157</v>
      </c>
      <c r="P8">
        <v>204871</v>
      </c>
      <c r="Q8">
        <v>164583</v>
      </c>
      <c r="R8">
        <v>112596</v>
      </c>
    </row>
    <row r="9" spans="1:23" x14ac:dyDescent="0.3">
      <c r="A9" t="s">
        <v>17</v>
      </c>
      <c r="B9" t="s">
        <v>18</v>
      </c>
      <c r="C9" t="s">
        <v>19</v>
      </c>
      <c r="D9" t="b">
        <v>1</v>
      </c>
      <c r="E9" t="s">
        <v>20</v>
      </c>
      <c r="F9" t="s">
        <v>21</v>
      </c>
      <c r="H9" t="s">
        <v>22</v>
      </c>
      <c r="I9" t="str">
        <f t="shared" si="0"/>
        <v>2019</v>
      </c>
      <c r="J9" t="s">
        <v>26</v>
      </c>
      <c r="K9" t="s">
        <v>45</v>
      </c>
      <c r="L9" t="s">
        <v>46</v>
      </c>
      <c r="M9" t="s">
        <v>47</v>
      </c>
      <c r="N9">
        <v>177666</v>
      </c>
      <c r="O9">
        <v>234278</v>
      </c>
      <c r="P9">
        <v>151866</v>
      </c>
      <c r="Q9">
        <v>123096</v>
      </c>
      <c r="R9">
        <v>94936</v>
      </c>
    </row>
    <row r="10" spans="1:23" x14ac:dyDescent="0.3">
      <c r="A10" t="s">
        <v>17</v>
      </c>
      <c r="B10" t="s">
        <v>18</v>
      </c>
      <c r="C10" t="s">
        <v>19</v>
      </c>
      <c r="E10" t="s">
        <v>48</v>
      </c>
      <c r="F10" t="s">
        <v>49</v>
      </c>
      <c r="G10" t="s">
        <v>7</v>
      </c>
      <c r="H10" t="s">
        <v>50</v>
      </c>
      <c r="I10" t="str">
        <f t="shared" si="0"/>
        <v>2019</v>
      </c>
      <c r="J10" t="s">
        <v>23</v>
      </c>
      <c r="K10" t="s">
        <v>24</v>
      </c>
      <c r="L10" t="s">
        <v>17</v>
      </c>
      <c r="M10" t="s">
        <v>25</v>
      </c>
      <c r="N10">
        <v>187606</v>
      </c>
      <c r="O10">
        <v>247212</v>
      </c>
      <c r="P10">
        <v>165771</v>
      </c>
      <c r="Q10">
        <v>134437</v>
      </c>
      <c r="R10">
        <v>99378</v>
      </c>
    </row>
    <row r="11" spans="1:23" x14ac:dyDescent="0.3">
      <c r="A11" t="s">
        <v>17</v>
      </c>
      <c r="B11" t="s">
        <v>18</v>
      </c>
      <c r="C11" t="s">
        <v>19</v>
      </c>
      <c r="E11" t="s">
        <v>48</v>
      </c>
      <c r="F11" t="s">
        <v>49</v>
      </c>
      <c r="G11" t="s">
        <v>7</v>
      </c>
      <c r="H11" t="s">
        <v>50</v>
      </c>
      <c r="I11" t="str">
        <f t="shared" si="0"/>
        <v>2019</v>
      </c>
      <c r="J11" t="s">
        <v>26</v>
      </c>
      <c r="K11" t="s">
        <v>27</v>
      </c>
      <c r="L11" t="s">
        <v>28</v>
      </c>
      <c r="M11" t="s">
        <v>29</v>
      </c>
      <c r="N11">
        <v>152057</v>
      </c>
      <c r="O11">
        <v>208911</v>
      </c>
      <c r="P11">
        <v>130407</v>
      </c>
      <c r="Q11">
        <v>104823</v>
      </c>
      <c r="R11">
        <v>79814</v>
      </c>
    </row>
    <row r="12" spans="1:23" x14ac:dyDescent="0.3">
      <c r="A12" t="s">
        <v>17</v>
      </c>
      <c r="B12" t="s">
        <v>18</v>
      </c>
      <c r="C12" t="s">
        <v>19</v>
      </c>
      <c r="E12" t="s">
        <v>48</v>
      </c>
      <c r="F12" t="s">
        <v>49</v>
      </c>
      <c r="G12" t="s">
        <v>7</v>
      </c>
      <c r="H12" t="s">
        <v>50</v>
      </c>
      <c r="I12" t="str">
        <f t="shared" si="0"/>
        <v>2019</v>
      </c>
      <c r="J12" t="s">
        <v>26</v>
      </c>
      <c r="K12" t="s">
        <v>30</v>
      </c>
      <c r="L12" t="s">
        <v>31</v>
      </c>
      <c r="M12" t="s">
        <v>32</v>
      </c>
      <c r="N12">
        <v>179884</v>
      </c>
      <c r="O12">
        <v>222265</v>
      </c>
      <c r="P12">
        <v>152846</v>
      </c>
      <c r="Q12">
        <v>121562</v>
      </c>
      <c r="R12">
        <v>89425</v>
      </c>
    </row>
    <row r="13" spans="1:23" x14ac:dyDescent="0.3">
      <c r="A13" t="s">
        <v>17</v>
      </c>
      <c r="B13" t="s">
        <v>18</v>
      </c>
      <c r="C13" t="s">
        <v>19</v>
      </c>
      <c r="E13" t="s">
        <v>48</v>
      </c>
      <c r="F13" t="s">
        <v>49</v>
      </c>
      <c r="G13" t="s">
        <v>7</v>
      </c>
      <c r="H13" t="s">
        <v>50</v>
      </c>
      <c r="I13" t="str">
        <f t="shared" si="0"/>
        <v>2019</v>
      </c>
      <c r="J13" t="s">
        <v>26</v>
      </c>
      <c r="K13" t="s">
        <v>33</v>
      </c>
      <c r="L13" t="s">
        <v>34</v>
      </c>
      <c r="M13" t="s">
        <v>35</v>
      </c>
      <c r="N13">
        <v>155403</v>
      </c>
      <c r="O13">
        <v>248942</v>
      </c>
      <c r="P13">
        <v>167867</v>
      </c>
      <c r="Q13">
        <v>129763</v>
      </c>
      <c r="R13">
        <v>103813</v>
      </c>
    </row>
    <row r="14" spans="1:23" x14ac:dyDescent="0.3">
      <c r="A14" t="s">
        <v>17</v>
      </c>
      <c r="B14" t="s">
        <v>18</v>
      </c>
      <c r="C14" t="s">
        <v>19</v>
      </c>
      <c r="E14" t="s">
        <v>48</v>
      </c>
      <c r="F14" t="s">
        <v>49</v>
      </c>
      <c r="G14" t="s">
        <v>7</v>
      </c>
      <c r="H14" t="s">
        <v>50</v>
      </c>
      <c r="I14" t="str">
        <f t="shared" si="0"/>
        <v>2019</v>
      </c>
      <c r="J14" t="s">
        <v>26</v>
      </c>
      <c r="K14" t="s">
        <v>36</v>
      </c>
      <c r="L14" t="s">
        <v>37</v>
      </c>
      <c r="M14" t="s">
        <v>38</v>
      </c>
      <c r="N14">
        <v>211486</v>
      </c>
      <c r="O14">
        <v>256451</v>
      </c>
      <c r="P14">
        <v>174149</v>
      </c>
      <c r="Q14">
        <v>144661</v>
      </c>
      <c r="R14">
        <v>102284</v>
      </c>
    </row>
    <row r="15" spans="1:23" x14ac:dyDescent="0.3">
      <c r="A15" t="s">
        <v>17</v>
      </c>
      <c r="B15" t="s">
        <v>18</v>
      </c>
      <c r="C15" t="s">
        <v>19</v>
      </c>
      <c r="E15" t="s">
        <v>48</v>
      </c>
      <c r="F15" t="s">
        <v>49</v>
      </c>
      <c r="G15" t="s">
        <v>7</v>
      </c>
      <c r="H15" t="s">
        <v>50</v>
      </c>
      <c r="I15" t="str">
        <f t="shared" si="0"/>
        <v>2019</v>
      </c>
      <c r="J15" t="s">
        <v>26</v>
      </c>
      <c r="K15" t="s">
        <v>39</v>
      </c>
      <c r="L15" t="s">
        <v>40</v>
      </c>
      <c r="M15" t="s">
        <v>41</v>
      </c>
      <c r="N15">
        <v>188314</v>
      </c>
      <c r="O15">
        <v>233515</v>
      </c>
      <c r="P15">
        <v>159604</v>
      </c>
      <c r="Q15">
        <v>130298</v>
      </c>
      <c r="R15">
        <v>84893</v>
      </c>
    </row>
    <row r="16" spans="1:23" x14ac:dyDescent="0.3">
      <c r="A16" t="s">
        <v>17</v>
      </c>
      <c r="B16" t="s">
        <v>18</v>
      </c>
      <c r="C16" t="s">
        <v>19</v>
      </c>
      <c r="E16" t="s">
        <v>48</v>
      </c>
      <c r="F16" t="s">
        <v>49</v>
      </c>
      <c r="G16" t="s">
        <v>7</v>
      </c>
      <c r="H16" t="s">
        <v>50</v>
      </c>
      <c r="I16" t="str">
        <f t="shared" si="0"/>
        <v>2019</v>
      </c>
      <c r="J16" t="s">
        <v>26</v>
      </c>
      <c r="K16" t="s">
        <v>42</v>
      </c>
      <c r="L16" t="s">
        <v>43</v>
      </c>
      <c r="M16" t="s">
        <v>44</v>
      </c>
      <c r="N16">
        <v>223522</v>
      </c>
      <c r="O16">
        <v>314172</v>
      </c>
      <c r="P16">
        <v>202533</v>
      </c>
      <c r="Q16">
        <v>163567</v>
      </c>
      <c r="R16">
        <v>112851</v>
      </c>
    </row>
    <row r="17" spans="1:18" x14ac:dyDescent="0.3">
      <c r="A17" t="s">
        <v>17</v>
      </c>
      <c r="B17" t="s">
        <v>18</v>
      </c>
      <c r="C17" t="s">
        <v>19</v>
      </c>
      <c r="E17" t="s">
        <v>48</v>
      </c>
      <c r="F17" t="s">
        <v>49</v>
      </c>
      <c r="G17" t="s">
        <v>7</v>
      </c>
      <c r="H17" t="s">
        <v>50</v>
      </c>
      <c r="I17" t="str">
        <f t="shared" si="0"/>
        <v>2019</v>
      </c>
      <c r="J17" t="s">
        <v>26</v>
      </c>
      <c r="K17" t="s">
        <v>45</v>
      </c>
      <c r="L17" t="s">
        <v>46</v>
      </c>
      <c r="M17" t="s">
        <v>47</v>
      </c>
      <c r="N17">
        <v>175429</v>
      </c>
      <c r="O17">
        <v>231071</v>
      </c>
      <c r="P17">
        <v>149558</v>
      </c>
      <c r="Q17">
        <v>122020</v>
      </c>
      <c r="R17">
        <v>94781</v>
      </c>
    </row>
    <row r="18" spans="1:18" x14ac:dyDescent="0.3">
      <c r="A18" t="s">
        <v>17</v>
      </c>
      <c r="B18" t="s">
        <v>18</v>
      </c>
      <c r="C18" t="s">
        <v>19</v>
      </c>
      <c r="E18" t="s">
        <v>51</v>
      </c>
      <c r="F18" t="s">
        <v>52</v>
      </c>
      <c r="G18" t="s">
        <v>7</v>
      </c>
      <c r="H18" t="s">
        <v>53</v>
      </c>
      <c r="I18" t="str">
        <f t="shared" si="0"/>
        <v>2019</v>
      </c>
      <c r="J18" t="s">
        <v>23</v>
      </c>
      <c r="K18" t="s">
        <v>24</v>
      </c>
      <c r="L18" t="s">
        <v>17</v>
      </c>
      <c r="M18" t="s">
        <v>25</v>
      </c>
      <c r="N18">
        <v>186696</v>
      </c>
      <c r="O18">
        <v>245728</v>
      </c>
      <c r="P18">
        <v>165145</v>
      </c>
      <c r="Q18">
        <v>133739</v>
      </c>
      <c r="R18">
        <v>99527</v>
      </c>
    </row>
    <row r="19" spans="1:18" x14ac:dyDescent="0.3">
      <c r="A19" t="s">
        <v>17</v>
      </c>
      <c r="B19" t="s">
        <v>18</v>
      </c>
      <c r="C19" t="s">
        <v>19</v>
      </c>
      <c r="E19" t="s">
        <v>51</v>
      </c>
      <c r="F19" t="s">
        <v>52</v>
      </c>
      <c r="G19" t="s">
        <v>7</v>
      </c>
      <c r="H19" t="s">
        <v>53</v>
      </c>
      <c r="I19" t="str">
        <f t="shared" si="0"/>
        <v>2019</v>
      </c>
      <c r="J19" t="s">
        <v>26</v>
      </c>
      <c r="K19" t="s">
        <v>27</v>
      </c>
      <c r="L19" t="s">
        <v>28</v>
      </c>
      <c r="M19" t="s">
        <v>29</v>
      </c>
      <c r="N19">
        <v>157508</v>
      </c>
      <c r="O19">
        <v>216322</v>
      </c>
      <c r="P19">
        <v>135228</v>
      </c>
      <c r="Q19">
        <v>108464</v>
      </c>
      <c r="R19">
        <v>82827</v>
      </c>
    </row>
    <row r="20" spans="1:18" x14ac:dyDescent="0.3">
      <c r="A20" t="s">
        <v>17</v>
      </c>
      <c r="B20" t="s">
        <v>18</v>
      </c>
      <c r="C20" t="s">
        <v>19</v>
      </c>
      <c r="E20" t="s">
        <v>51</v>
      </c>
      <c r="F20" t="s">
        <v>52</v>
      </c>
      <c r="G20" t="s">
        <v>7</v>
      </c>
      <c r="H20" t="s">
        <v>53</v>
      </c>
      <c r="I20" t="str">
        <f t="shared" si="0"/>
        <v>2019</v>
      </c>
      <c r="J20" t="s">
        <v>26</v>
      </c>
      <c r="K20" t="s">
        <v>30</v>
      </c>
      <c r="L20" t="s">
        <v>31</v>
      </c>
      <c r="M20" t="s">
        <v>32</v>
      </c>
      <c r="N20">
        <v>178854</v>
      </c>
      <c r="O20">
        <v>220910</v>
      </c>
      <c r="P20">
        <v>152059</v>
      </c>
      <c r="Q20">
        <v>120767</v>
      </c>
      <c r="R20">
        <v>89351</v>
      </c>
    </row>
    <row r="21" spans="1:18" x14ac:dyDescent="0.3">
      <c r="A21" t="s">
        <v>17</v>
      </c>
      <c r="B21" t="s">
        <v>18</v>
      </c>
      <c r="C21" t="s">
        <v>19</v>
      </c>
      <c r="E21" t="s">
        <v>51</v>
      </c>
      <c r="F21" t="s">
        <v>52</v>
      </c>
      <c r="G21" t="s">
        <v>7</v>
      </c>
      <c r="H21" t="s">
        <v>53</v>
      </c>
      <c r="I21" t="str">
        <f t="shared" si="0"/>
        <v>2019</v>
      </c>
      <c r="J21" t="s">
        <v>26</v>
      </c>
      <c r="K21" t="s">
        <v>33</v>
      </c>
      <c r="L21" t="s">
        <v>34</v>
      </c>
      <c r="M21" t="s">
        <v>35</v>
      </c>
      <c r="N21">
        <v>155817</v>
      </c>
      <c r="O21">
        <v>249527</v>
      </c>
      <c r="P21">
        <v>168544</v>
      </c>
      <c r="Q21">
        <v>129991</v>
      </c>
      <c r="R21">
        <v>104122</v>
      </c>
    </row>
    <row r="22" spans="1:18" x14ac:dyDescent="0.3">
      <c r="A22" t="s">
        <v>17</v>
      </c>
      <c r="B22" t="s">
        <v>18</v>
      </c>
      <c r="C22" t="s">
        <v>19</v>
      </c>
      <c r="E22" t="s">
        <v>51</v>
      </c>
      <c r="F22" t="s">
        <v>52</v>
      </c>
      <c r="G22" t="s">
        <v>7</v>
      </c>
      <c r="H22" t="s">
        <v>53</v>
      </c>
      <c r="I22" t="str">
        <f t="shared" si="0"/>
        <v>2019</v>
      </c>
      <c r="J22" t="s">
        <v>26</v>
      </c>
      <c r="K22" t="s">
        <v>36</v>
      </c>
      <c r="L22" t="s">
        <v>37</v>
      </c>
      <c r="M22" t="s">
        <v>38</v>
      </c>
      <c r="N22">
        <v>208343</v>
      </c>
      <c r="O22">
        <v>252598</v>
      </c>
      <c r="P22">
        <v>171619</v>
      </c>
      <c r="Q22">
        <v>142419</v>
      </c>
      <c r="R22">
        <v>101092</v>
      </c>
    </row>
    <row r="23" spans="1:18" x14ac:dyDescent="0.3">
      <c r="A23" t="s">
        <v>17</v>
      </c>
      <c r="B23" t="s">
        <v>18</v>
      </c>
      <c r="C23" t="s">
        <v>19</v>
      </c>
      <c r="E23" t="s">
        <v>51</v>
      </c>
      <c r="F23" t="s">
        <v>52</v>
      </c>
      <c r="G23" t="s">
        <v>7</v>
      </c>
      <c r="H23" t="s">
        <v>53</v>
      </c>
      <c r="I23" t="str">
        <f t="shared" si="0"/>
        <v>2019</v>
      </c>
      <c r="J23" t="s">
        <v>26</v>
      </c>
      <c r="K23" t="s">
        <v>39</v>
      </c>
      <c r="L23" t="s">
        <v>40</v>
      </c>
      <c r="M23" t="s">
        <v>41</v>
      </c>
      <c r="N23">
        <v>188544</v>
      </c>
      <c r="O23">
        <v>233767</v>
      </c>
      <c r="P23">
        <v>159850</v>
      </c>
      <c r="Q23">
        <v>130292</v>
      </c>
      <c r="R23">
        <v>85488</v>
      </c>
    </row>
    <row r="24" spans="1:18" x14ac:dyDescent="0.3">
      <c r="A24" t="s">
        <v>17</v>
      </c>
      <c r="B24" t="s">
        <v>18</v>
      </c>
      <c r="C24" t="s">
        <v>19</v>
      </c>
      <c r="E24" t="s">
        <v>51</v>
      </c>
      <c r="F24" t="s">
        <v>52</v>
      </c>
      <c r="G24" t="s">
        <v>7</v>
      </c>
      <c r="H24" t="s">
        <v>53</v>
      </c>
      <c r="I24" t="str">
        <f t="shared" si="0"/>
        <v>2019</v>
      </c>
      <c r="J24" t="s">
        <v>26</v>
      </c>
      <c r="K24" t="s">
        <v>42</v>
      </c>
      <c r="L24" t="s">
        <v>43</v>
      </c>
      <c r="M24" t="s">
        <v>44</v>
      </c>
      <c r="N24">
        <v>223463</v>
      </c>
      <c r="O24">
        <v>313936</v>
      </c>
      <c r="P24">
        <v>202640</v>
      </c>
      <c r="Q24">
        <v>163400</v>
      </c>
      <c r="R24">
        <v>113158</v>
      </c>
    </row>
    <row r="25" spans="1:18" x14ac:dyDescent="0.3">
      <c r="A25" t="s">
        <v>17</v>
      </c>
      <c r="B25" t="s">
        <v>18</v>
      </c>
      <c r="C25" t="s">
        <v>19</v>
      </c>
      <c r="E25" t="s">
        <v>51</v>
      </c>
      <c r="F25" t="s">
        <v>52</v>
      </c>
      <c r="G25" t="s">
        <v>7</v>
      </c>
      <c r="H25" t="s">
        <v>53</v>
      </c>
      <c r="I25" t="str">
        <f t="shared" si="0"/>
        <v>2019</v>
      </c>
      <c r="J25" t="s">
        <v>26</v>
      </c>
      <c r="K25" t="s">
        <v>45</v>
      </c>
      <c r="L25" t="s">
        <v>46</v>
      </c>
      <c r="M25" t="s">
        <v>47</v>
      </c>
      <c r="N25">
        <v>169400</v>
      </c>
      <c r="O25">
        <v>223032</v>
      </c>
      <c r="P25">
        <v>144554</v>
      </c>
      <c r="Q25">
        <v>117758</v>
      </c>
      <c r="R25">
        <v>91925</v>
      </c>
    </row>
    <row r="26" spans="1:18" x14ac:dyDescent="0.3">
      <c r="A26" t="s">
        <v>17</v>
      </c>
      <c r="B26" t="s">
        <v>18</v>
      </c>
      <c r="C26" t="s">
        <v>19</v>
      </c>
      <c r="E26" t="s">
        <v>54</v>
      </c>
      <c r="F26" t="s">
        <v>55</v>
      </c>
      <c r="G26" t="s">
        <v>7</v>
      </c>
      <c r="H26" t="s">
        <v>56</v>
      </c>
      <c r="I26" t="str">
        <f t="shared" si="0"/>
        <v>2019</v>
      </c>
      <c r="J26" t="s">
        <v>23</v>
      </c>
      <c r="K26" t="s">
        <v>24</v>
      </c>
      <c r="L26" t="s">
        <v>17</v>
      </c>
      <c r="M26" t="s">
        <v>25</v>
      </c>
      <c r="N26">
        <v>184700</v>
      </c>
      <c r="O26">
        <v>242779</v>
      </c>
      <c r="P26">
        <v>163555</v>
      </c>
      <c r="Q26">
        <v>132333</v>
      </c>
      <c r="R26">
        <v>99027</v>
      </c>
    </row>
    <row r="27" spans="1:18" x14ac:dyDescent="0.3">
      <c r="A27" t="s">
        <v>17</v>
      </c>
      <c r="B27" t="s">
        <v>18</v>
      </c>
      <c r="C27" t="s">
        <v>19</v>
      </c>
      <c r="E27" t="s">
        <v>54</v>
      </c>
      <c r="F27" t="s">
        <v>55</v>
      </c>
      <c r="G27" t="s">
        <v>7</v>
      </c>
      <c r="H27" t="s">
        <v>56</v>
      </c>
      <c r="I27" t="str">
        <f t="shared" si="0"/>
        <v>2019</v>
      </c>
      <c r="J27" t="s">
        <v>26</v>
      </c>
      <c r="K27" t="s">
        <v>27</v>
      </c>
      <c r="L27" t="s">
        <v>28</v>
      </c>
      <c r="M27" t="s">
        <v>29</v>
      </c>
      <c r="N27">
        <v>162284</v>
      </c>
      <c r="O27">
        <v>222638</v>
      </c>
      <c r="P27">
        <v>139462</v>
      </c>
      <c r="Q27">
        <v>111800</v>
      </c>
      <c r="R27">
        <v>85684</v>
      </c>
    </row>
    <row r="28" spans="1:18" x14ac:dyDescent="0.3">
      <c r="A28" t="s">
        <v>17</v>
      </c>
      <c r="B28" t="s">
        <v>18</v>
      </c>
      <c r="C28" t="s">
        <v>19</v>
      </c>
      <c r="E28" t="s">
        <v>54</v>
      </c>
      <c r="F28" t="s">
        <v>55</v>
      </c>
      <c r="G28" t="s">
        <v>7</v>
      </c>
      <c r="H28" t="s">
        <v>56</v>
      </c>
      <c r="I28" t="str">
        <f t="shared" si="0"/>
        <v>2019</v>
      </c>
      <c r="J28" t="s">
        <v>26</v>
      </c>
      <c r="K28" t="s">
        <v>30</v>
      </c>
      <c r="L28" t="s">
        <v>31</v>
      </c>
      <c r="M28" t="s">
        <v>32</v>
      </c>
      <c r="N28">
        <v>175398</v>
      </c>
      <c r="O28">
        <v>216397</v>
      </c>
      <c r="P28">
        <v>149289</v>
      </c>
      <c r="Q28">
        <v>118532</v>
      </c>
      <c r="R28">
        <v>88170</v>
      </c>
    </row>
    <row r="29" spans="1:18" x14ac:dyDescent="0.3">
      <c r="A29" t="s">
        <v>17</v>
      </c>
      <c r="B29" t="s">
        <v>18</v>
      </c>
      <c r="C29" t="s">
        <v>19</v>
      </c>
      <c r="E29" t="s">
        <v>54</v>
      </c>
      <c r="F29" t="s">
        <v>55</v>
      </c>
      <c r="G29" t="s">
        <v>7</v>
      </c>
      <c r="H29" t="s">
        <v>56</v>
      </c>
      <c r="I29" t="str">
        <f t="shared" si="0"/>
        <v>2019</v>
      </c>
      <c r="J29" t="s">
        <v>26</v>
      </c>
      <c r="K29" t="s">
        <v>33</v>
      </c>
      <c r="L29" t="s">
        <v>34</v>
      </c>
      <c r="M29" t="s">
        <v>35</v>
      </c>
      <c r="N29">
        <v>156179</v>
      </c>
      <c r="O29">
        <v>250145</v>
      </c>
      <c r="P29">
        <v>169015</v>
      </c>
      <c r="Q29">
        <v>130282</v>
      </c>
      <c r="R29">
        <v>104270</v>
      </c>
    </row>
    <row r="30" spans="1:18" x14ac:dyDescent="0.3">
      <c r="A30" t="s">
        <v>17</v>
      </c>
      <c r="B30" t="s">
        <v>18</v>
      </c>
      <c r="C30" t="s">
        <v>19</v>
      </c>
      <c r="E30" t="s">
        <v>54</v>
      </c>
      <c r="F30" t="s">
        <v>55</v>
      </c>
      <c r="G30" t="s">
        <v>7</v>
      </c>
      <c r="H30" t="s">
        <v>56</v>
      </c>
      <c r="I30" t="str">
        <f t="shared" si="0"/>
        <v>2019</v>
      </c>
      <c r="J30" t="s">
        <v>26</v>
      </c>
      <c r="K30" t="s">
        <v>36</v>
      </c>
      <c r="L30" t="s">
        <v>37</v>
      </c>
      <c r="M30" t="s">
        <v>38</v>
      </c>
      <c r="N30">
        <v>208140</v>
      </c>
      <c r="O30">
        <v>252123</v>
      </c>
      <c r="P30">
        <v>171562</v>
      </c>
      <c r="Q30">
        <v>142345</v>
      </c>
      <c r="R30">
        <v>101798</v>
      </c>
    </row>
    <row r="31" spans="1:18" x14ac:dyDescent="0.3">
      <c r="A31" t="s">
        <v>17</v>
      </c>
      <c r="B31" t="s">
        <v>18</v>
      </c>
      <c r="C31" t="s">
        <v>19</v>
      </c>
      <c r="E31" t="s">
        <v>54</v>
      </c>
      <c r="F31" t="s">
        <v>55</v>
      </c>
      <c r="G31" t="s">
        <v>7</v>
      </c>
      <c r="H31" t="s">
        <v>56</v>
      </c>
      <c r="I31" t="str">
        <f t="shared" si="0"/>
        <v>2019</v>
      </c>
      <c r="J31" t="s">
        <v>26</v>
      </c>
      <c r="K31" t="s">
        <v>39</v>
      </c>
      <c r="L31" t="s">
        <v>40</v>
      </c>
      <c r="M31" t="s">
        <v>41</v>
      </c>
      <c r="N31">
        <v>190175</v>
      </c>
      <c r="O31">
        <v>235580</v>
      </c>
      <c r="P31">
        <v>161403</v>
      </c>
      <c r="Q31">
        <v>131570</v>
      </c>
      <c r="R31">
        <v>86329</v>
      </c>
    </row>
    <row r="32" spans="1:18" x14ac:dyDescent="0.3">
      <c r="A32" t="s">
        <v>17</v>
      </c>
      <c r="B32" t="s">
        <v>18</v>
      </c>
      <c r="C32" t="s">
        <v>19</v>
      </c>
      <c r="E32" t="s">
        <v>54</v>
      </c>
      <c r="F32" t="s">
        <v>55</v>
      </c>
      <c r="G32" t="s">
        <v>7</v>
      </c>
      <c r="H32" t="s">
        <v>56</v>
      </c>
      <c r="I32" t="str">
        <f t="shared" si="0"/>
        <v>2019</v>
      </c>
      <c r="J32" t="s">
        <v>26</v>
      </c>
      <c r="K32" t="s">
        <v>42</v>
      </c>
      <c r="L32" t="s">
        <v>43</v>
      </c>
      <c r="M32" t="s">
        <v>44</v>
      </c>
      <c r="N32">
        <v>215416</v>
      </c>
      <c r="O32">
        <v>302241</v>
      </c>
      <c r="P32">
        <v>195461</v>
      </c>
      <c r="Q32">
        <v>157513</v>
      </c>
      <c r="R32">
        <v>109848</v>
      </c>
    </row>
    <row r="33" spans="1:18" x14ac:dyDescent="0.3">
      <c r="A33" t="s">
        <v>17</v>
      </c>
      <c r="B33" t="s">
        <v>18</v>
      </c>
      <c r="C33" t="s">
        <v>19</v>
      </c>
      <c r="E33" t="s">
        <v>54</v>
      </c>
      <c r="F33" t="s">
        <v>55</v>
      </c>
      <c r="G33" t="s">
        <v>7</v>
      </c>
      <c r="H33" t="s">
        <v>56</v>
      </c>
      <c r="I33" t="str">
        <f t="shared" si="0"/>
        <v>2019</v>
      </c>
      <c r="J33" t="s">
        <v>26</v>
      </c>
      <c r="K33" t="s">
        <v>45</v>
      </c>
      <c r="L33" t="s">
        <v>46</v>
      </c>
      <c r="M33" t="s">
        <v>47</v>
      </c>
      <c r="N33">
        <v>164472</v>
      </c>
      <c r="O33">
        <v>216210</v>
      </c>
      <c r="P33">
        <v>140514</v>
      </c>
      <c r="Q33">
        <v>114482</v>
      </c>
      <c r="R33">
        <v>89782</v>
      </c>
    </row>
    <row r="34" spans="1:18" x14ac:dyDescent="0.3">
      <c r="A34" t="s">
        <v>17</v>
      </c>
      <c r="B34" t="s">
        <v>18</v>
      </c>
      <c r="C34" t="s">
        <v>19</v>
      </c>
      <c r="E34" t="s">
        <v>57</v>
      </c>
      <c r="F34" t="s">
        <v>58</v>
      </c>
      <c r="G34" t="s">
        <v>7</v>
      </c>
      <c r="H34" t="s">
        <v>59</v>
      </c>
      <c r="I34" t="str">
        <f t="shared" si="0"/>
        <v>2019</v>
      </c>
      <c r="J34" t="s">
        <v>23</v>
      </c>
      <c r="K34" t="s">
        <v>24</v>
      </c>
      <c r="L34" t="s">
        <v>17</v>
      </c>
      <c r="M34" t="s">
        <v>25</v>
      </c>
      <c r="N34">
        <v>183845</v>
      </c>
      <c r="O34">
        <v>242116</v>
      </c>
      <c r="P34">
        <v>162764</v>
      </c>
      <c r="Q34">
        <v>131317</v>
      </c>
      <c r="R34">
        <v>98194</v>
      </c>
    </row>
    <row r="35" spans="1:18" x14ac:dyDescent="0.3">
      <c r="A35" t="s">
        <v>17</v>
      </c>
      <c r="B35" t="s">
        <v>18</v>
      </c>
      <c r="C35" t="s">
        <v>19</v>
      </c>
      <c r="E35" t="s">
        <v>57</v>
      </c>
      <c r="F35" t="s">
        <v>58</v>
      </c>
      <c r="G35" t="s">
        <v>7</v>
      </c>
      <c r="H35" t="s">
        <v>59</v>
      </c>
      <c r="I35" t="str">
        <f t="shared" si="0"/>
        <v>2019</v>
      </c>
      <c r="J35" t="s">
        <v>26</v>
      </c>
      <c r="K35" t="s">
        <v>27</v>
      </c>
      <c r="L35" t="s">
        <v>28</v>
      </c>
      <c r="M35" t="s">
        <v>29</v>
      </c>
      <c r="N35">
        <v>160487</v>
      </c>
      <c r="O35">
        <v>220619</v>
      </c>
      <c r="P35">
        <v>137852</v>
      </c>
      <c r="Q35">
        <v>110207</v>
      </c>
      <c r="R35">
        <v>84306</v>
      </c>
    </row>
    <row r="36" spans="1:18" x14ac:dyDescent="0.3">
      <c r="A36" t="s">
        <v>17</v>
      </c>
      <c r="B36" t="s">
        <v>18</v>
      </c>
      <c r="C36" t="s">
        <v>19</v>
      </c>
      <c r="E36" t="s">
        <v>57</v>
      </c>
      <c r="F36" t="s">
        <v>58</v>
      </c>
      <c r="G36" t="s">
        <v>7</v>
      </c>
      <c r="H36" t="s">
        <v>59</v>
      </c>
      <c r="I36" t="str">
        <f t="shared" si="0"/>
        <v>2019</v>
      </c>
      <c r="J36" t="s">
        <v>26</v>
      </c>
      <c r="K36" t="s">
        <v>30</v>
      </c>
      <c r="L36" t="s">
        <v>31</v>
      </c>
      <c r="M36" t="s">
        <v>32</v>
      </c>
      <c r="N36">
        <v>174250</v>
      </c>
      <c r="O36">
        <v>215267</v>
      </c>
      <c r="P36">
        <v>148158</v>
      </c>
      <c r="Q36">
        <v>117417</v>
      </c>
      <c r="R36">
        <v>87437</v>
      </c>
    </row>
    <row r="37" spans="1:18" x14ac:dyDescent="0.3">
      <c r="A37" t="s">
        <v>17</v>
      </c>
      <c r="B37" t="s">
        <v>18</v>
      </c>
      <c r="C37" t="s">
        <v>19</v>
      </c>
      <c r="E37" t="s">
        <v>57</v>
      </c>
      <c r="F37" t="s">
        <v>58</v>
      </c>
      <c r="G37" t="s">
        <v>7</v>
      </c>
      <c r="H37" t="s">
        <v>59</v>
      </c>
      <c r="I37" t="str">
        <f t="shared" si="0"/>
        <v>2019</v>
      </c>
      <c r="J37" t="s">
        <v>26</v>
      </c>
      <c r="K37" t="s">
        <v>33</v>
      </c>
      <c r="L37" t="s">
        <v>34</v>
      </c>
      <c r="M37" t="s">
        <v>35</v>
      </c>
      <c r="N37">
        <v>154886</v>
      </c>
      <c r="O37">
        <v>248573</v>
      </c>
      <c r="P37">
        <v>167868</v>
      </c>
      <c r="Q37">
        <v>129069</v>
      </c>
      <c r="R37">
        <v>103113</v>
      </c>
    </row>
    <row r="38" spans="1:18" x14ac:dyDescent="0.3">
      <c r="A38" t="s">
        <v>17</v>
      </c>
      <c r="B38" t="s">
        <v>18</v>
      </c>
      <c r="C38" t="s">
        <v>19</v>
      </c>
      <c r="E38" t="s">
        <v>57</v>
      </c>
      <c r="F38" t="s">
        <v>58</v>
      </c>
      <c r="G38" t="s">
        <v>7</v>
      </c>
      <c r="H38" t="s">
        <v>59</v>
      </c>
      <c r="I38" t="str">
        <f t="shared" si="0"/>
        <v>2019</v>
      </c>
      <c r="J38" t="s">
        <v>26</v>
      </c>
      <c r="K38" t="s">
        <v>36</v>
      </c>
      <c r="L38" t="s">
        <v>37</v>
      </c>
      <c r="M38" t="s">
        <v>38</v>
      </c>
      <c r="N38">
        <v>208637</v>
      </c>
      <c r="O38">
        <v>252895</v>
      </c>
      <c r="P38">
        <v>171883</v>
      </c>
      <c r="Q38">
        <v>142500</v>
      </c>
      <c r="R38">
        <v>102004</v>
      </c>
    </row>
    <row r="39" spans="1:18" x14ac:dyDescent="0.3">
      <c r="A39" t="s">
        <v>17</v>
      </c>
      <c r="B39" t="s">
        <v>18</v>
      </c>
      <c r="C39" t="s">
        <v>19</v>
      </c>
      <c r="E39" t="s">
        <v>57</v>
      </c>
      <c r="F39" t="s">
        <v>58</v>
      </c>
      <c r="G39" t="s">
        <v>7</v>
      </c>
      <c r="H39" t="s">
        <v>59</v>
      </c>
      <c r="I39" t="str">
        <f t="shared" si="0"/>
        <v>2019</v>
      </c>
      <c r="J39" t="s">
        <v>26</v>
      </c>
      <c r="K39" t="s">
        <v>39</v>
      </c>
      <c r="L39" t="s">
        <v>40</v>
      </c>
      <c r="M39" t="s">
        <v>41</v>
      </c>
      <c r="N39">
        <v>191449</v>
      </c>
      <c r="O39">
        <v>237519</v>
      </c>
      <c r="P39">
        <v>162260</v>
      </c>
      <c r="Q39">
        <v>132027</v>
      </c>
      <c r="R39">
        <v>86914</v>
      </c>
    </row>
    <row r="40" spans="1:18" x14ac:dyDescent="0.3">
      <c r="A40" t="s">
        <v>17</v>
      </c>
      <c r="B40" t="s">
        <v>18</v>
      </c>
      <c r="C40" t="s">
        <v>19</v>
      </c>
      <c r="E40" t="s">
        <v>57</v>
      </c>
      <c r="F40" t="s">
        <v>58</v>
      </c>
      <c r="G40" t="s">
        <v>7</v>
      </c>
      <c r="H40" t="s">
        <v>59</v>
      </c>
      <c r="I40" t="str">
        <f t="shared" si="0"/>
        <v>2019</v>
      </c>
      <c r="J40" t="s">
        <v>26</v>
      </c>
      <c r="K40" t="s">
        <v>42</v>
      </c>
      <c r="L40" t="s">
        <v>43</v>
      </c>
      <c r="M40" t="s">
        <v>44</v>
      </c>
      <c r="N40">
        <v>212657</v>
      </c>
      <c r="O40">
        <v>298566</v>
      </c>
      <c r="P40">
        <v>193027</v>
      </c>
      <c r="Q40">
        <v>155263</v>
      </c>
      <c r="R40">
        <v>108374</v>
      </c>
    </row>
    <row r="41" spans="1:18" x14ac:dyDescent="0.3">
      <c r="A41" t="s">
        <v>17</v>
      </c>
      <c r="B41" t="s">
        <v>18</v>
      </c>
      <c r="C41" t="s">
        <v>19</v>
      </c>
      <c r="E41" t="s">
        <v>57</v>
      </c>
      <c r="F41" t="s">
        <v>58</v>
      </c>
      <c r="G41" t="s">
        <v>7</v>
      </c>
      <c r="H41" t="s">
        <v>59</v>
      </c>
      <c r="I41" t="str">
        <f t="shared" si="0"/>
        <v>2019</v>
      </c>
      <c r="J41" t="s">
        <v>26</v>
      </c>
      <c r="K41" t="s">
        <v>45</v>
      </c>
      <c r="L41" t="s">
        <v>46</v>
      </c>
      <c r="M41" t="s">
        <v>47</v>
      </c>
      <c r="N41">
        <v>164155</v>
      </c>
      <c r="O41">
        <v>216029</v>
      </c>
      <c r="P41">
        <v>140283</v>
      </c>
      <c r="Q41">
        <v>113974</v>
      </c>
      <c r="R41">
        <v>89563</v>
      </c>
    </row>
    <row r="42" spans="1:18" x14ac:dyDescent="0.3">
      <c r="A42" t="s">
        <v>17</v>
      </c>
      <c r="B42" t="s">
        <v>18</v>
      </c>
      <c r="C42" t="s">
        <v>19</v>
      </c>
      <c r="E42" t="s">
        <v>60</v>
      </c>
      <c r="F42" t="s">
        <v>61</v>
      </c>
      <c r="G42" t="s">
        <v>7</v>
      </c>
      <c r="H42" t="s">
        <v>62</v>
      </c>
      <c r="I42" t="str">
        <f t="shared" si="0"/>
        <v>2019</v>
      </c>
      <c r="J42" t="s">
        <v>23</v>
      </c>
      <c r="K42" t="s">
        <v>24</v>
      </c>
      <c r="L42" t="s">
        <v>17</v>
      </c>
      <c r="M42" t="s">
        <v>25</v>
      </c>
      <c r="N42">
        <v>184529</v>
      </c>
      <c r="O42">
        <v>242776</v>
      </c>
      <c r="P42">
        <v>163334</v>
      </c>
      <c r="Q42">
        <v>132066</v>
      </c>
      <c r="R42">
        <v>98765</v>
      </c>
    </row>
    <row r="43" spans="1:18" x14ac:dyDescent="0.3">
      <c r="A43" t="s">
        <v>17</v>
      </c>
      <c r="B43" t="s">
        <v>18</v>
      </c>
      <c r="C43" t="s">
        <v>19</v>
      </c>
      <c r="E43" t="s">
        <v>60</v>
      </c>
      <c r="F43" t="s">
        <v>61</v>
      </c>
      <c r="G43" t="s">
        <v>7</v>
      </c>
      <c r="H43" t="s">
        <v>62</v>
      </c>
      <c r="I43" t="str">
        <f t="shared" si="0"/>
        <v>2019</v>
      </c>
      <c r="J43" t="s">
        <v>26</v>
      </c>
      <c r="K43" t="s">
        <v>27</v>
      </c>
      <c r="L43" t="s">
        <v>28</v>
      </c>
      <c r="M43" t="s">
        <v>29</v>
      </c>
      <c r="N43">
        <v>157535</v>
      </c>
      <c r="O43">
        <v>216631</v>
      </c>
      <c r="P43">
        <v>135330</v>
      </c>
      <c r="Q43">
        <v>108113</v>
      </c>
      <c r="R43">
        <v>82629</v>
      </c>
    </row>
    <row r="44" spans="1:18" x14ac:dyDescent="0.3">
      <c r="A44" t="s">
        <v>17</v>
      </c>
      <c r="B44" t="s">
        <v>18</v>
      </c>
      <c r="C44" t="s">
        <v>19</v>
      </c>
      <c r="E44" t="s">
        <v>60</v>
      </c>
      <c r="F44" t="s">
        <v>61</v>
      </c>
      <c r="G44" t="s">
        <v>7</v>
      </c>
      <c r="H44" t="s">
        <v>62</v>
      </c>
      <c r="I44" t="str">
        <f t="shared" si="0"/>
        <v>2019</v>
      </c>
      <c r="J44" t="s">
        <v>26</v>
      </c>
      <c r="K44" t="s">
        <v>30</v>
      </c>
      <c r="L44" t="s">
        <v>31</v>
      </c>
      <c r="M44" t="s">
        <v>32</v>
      </c>
      <c r="N44">
        <v>175387</v>
      </c>
      <c r="O44">
        <v>216733</v>
      </c>
      <c r="P44">
        <v>149135</v>
      </c>
      <c r="Q44">
        <v>118100</v>
      </c>
      <c r="R44">
        <v>87845</v>
      </c>
    </row>
    <row r="45" spans="1:18" x14ac:dyDescent="0.3">
      <c r="A45" t="s">
        <v>17</v>
      </c>
      <c r="B45" t="s">
        <v>18</v>
      </c>
      <c r="C45" t="s">
        <v>19</v>
      </c>
      <c r="E45" t="s">
        <v>60</v>
      </c>
      <c r="F45" t="s">
        <v>61</v>
      </c>
      <c r="G45" t="s">
        <v>7</v>
      </c>
      <c r="H45" t="s">
        <v>62</v>
      </c>
      <c r="I45" t="str">
        <f t="shared" si="0"/>
        <v>2019</v>
      </c>
      <c r="J45" t="s">
        <v>26</v>
      </c>
      <c r="K45" t="s">
        <v>33</v>
      </c>
      <c r="L45" t="s">
        <v>34</v>
      </c>
      <c r="M45" t="s">
        <v>35</v>
      </c>
      <c r="N45">
        <v>157237</v>
      </c>
      <c r="O45">
        <v>252527</v>
      </c>
      <c r="P45">
        <v>170502</v>
      </c>
      <c r="Q45">
        <v>130863</v>
      </c>
      <c r="R45">
        <v>104832</v>
      </c>
    </row>
    <row r="46" spans="1:18" x14ac:dyDescent="0.3">
      <c r="A46" t="s">
        <v>17</v>
      </c>
      <c r="B46" t="s">
        <v>18</v>
      </c>
      <c r="C46" t="s">
        <v>19</v>
      </c>
      <c r="E46" t="s">
        <v>60</v>
      </c>
      <c r="F46" t="s">
        <v>61</v>
      </c>
      <c r="G46" t="s">
        <v>7</v>
      </c>
      <c r="H46" t="s">
        <v>62</v>
      </c>
      <c r="I46" t="str">
        <f t="shared" si="0"/>
        <v>2019</v>
      </c>
      <c r="J46" t="s">
        <v>26</v>
      </c>
      <c r="K46" t="s">
        <v>36</v>
      </c>
      <c r="L46" t="s">
        <v>37</v>
      </c>
      <c r="M46" t="s">
        <v>38</v>
      </c>
      <c r="N46">
        <v>207408</v>
      </c>
      <c r="O46">
        <v>251470</v>
      </c>
      <c r="P46">
        <v>170935</v>
      </c>
      <c r="Q46">
        <v>141484</v>
      </c>
      <c r="R46">
        <v>101252</v>
      </c>
    </row>
    <row r="47" spans="1:18" x14ac:dyDescent="0.3">
      <c r="A47" t="s">
        <v>17</v>
      </c>
      <c r="B47" t="s">
        <v>18</v>
      </c>
      <c r="C47" t="s">
        <v>19</v>
      </c>
      <c r="E47" t="s">
        <v>60</v>
      </c>
      <c r="F47" t="s">
        <v>61</v>
      </c>
      <c r="G47" t="s">
        <v>7</v>
      </c>
      <c r="H47" t="s">
        <v>62</v>
      </c>
      <c r="I47" t="str">
        <f t="shared" si="0"/>
        <v>2019</v>
      </c>
      <c r="J47" t="s">
        <v>26</v>
      </c>
      <c r="K47" t="s">
        <v>39</v>
      </c>
      <c r="L47" t="s">
        <v>40</v>
      </c>
      <c r="M47" t="s">
        <v>41</v>
      </c>
      <c r="N47">
        <v>187912</v>
      </c>
      <c r="O47">
        <v>233096</v>
      </c>
      <c r="P47">
        <v>159335</v>
      </c>
      <c r="Q47">
        <v>129575</v>
      </c>
      <c r="R47">
        <v>85236</v>
      </c>
    </row>
    <row r="48" spans="1:18" x14ac:dyDescent="0.3">
      <c r="A48" t="s">
        <v>17</v>
      </c>
      <c r="B48" t="s">
        <v>18</v>
      </c>
      <c r="C48" t="s">
        <v>19</v>
      </c>
      <c r="E48" t="s">
        <v>60</v>
      </c>
      <c r="F48" t="s">
        <v>61</v>
      </c>
      <c r="G48" t="s">
        <v>7</v>
      </c>
      <c r="H48" t="s">
        <v>62</v>
      </c>
      <c r="I48" t="str">
        <f t="shared" si="0"/>
        <v>2019</v>
      </c>
      <c r="J48" t="s">
        <v>26</v>
      </c>
      <c r="K48" t="s">
        <v>42</v>
      </c>
      <c r="L48" t="s">
        <v>43</v>
      </c>
      <c r="M48" t="s">
        <v>44</v>
      </c>
      <c r="N48">
        <v>213228</v>
      </c>
      <c r="O48">
        <v>299482</v>
      </c>
      <c r="P48">
        <v>193608</v>
      </c>
      <c r="Q48">
        <v>155526</v>
      </c>
      <c r="R48">
        <v>108623</v>
      </c>
    </row>
    <row r="49" spans="1:18" x14ac:dyDescent="0.3">
      <c r="A49" t="s">
        <v>17</v>
      </c>
      <c r="B49" t="s">
        <v>18</v>
      </c>
      <c r="C49" t="s">
        <v>19</v>
      </c>
      <c r="E49" t="s">
        <v>60</v>
      </c>
      <c r="F49" t="s">
        <v>61</v>
      </c>
      <c r="G49" t="s">
        <v>7</v>
      </c>
      <c r="H49" t="s">
        <v>62</v>
      </c>
      <c r="I49" t="str">
        <f t="shared" si="0"/>
        <v>2019</v>
      </c>
      <c r="J49" t="s">
        <v>26</v>
      </c>
      <c r="K49" t="s">
        <v>45</v>
      </c>
      <c r="L49" t="s">
        <v>46</v>
      </c>
      <c r="M49" t="s">
        <v>47</v>
      </c>
      <c r="N49">
        <v>170619</v>
      </c>
      <c r="O49">
        <v>224639</v>
      </c>
      <c r="P49">
        <v>145831</v>
      </c>
      <c r="Q49">
        <v>118337</v>
      </c>
      <c r="R49">
        <v>93016</v>
      </c>
    </row>
    <row r="50" spans="1:18" x14ac:dyDescent="0.3">
      <c r="A50" t="s">
        <v>17</v>
      </c>
      <c r="B50" t="s">
        <v>18</v>
      </c>
      <c r="C50" t="s">
        <v>19</v>
      </c>
      <c r="E50" t="s">
        <v>63</v>
      </c>
      <c r="F50" t="s">
        <v>64</v>
      </c>
      <c r="G50" t="s">
        <v>7</v>
      </c>
      <c r="H50" t="s">
        <v>65</v>
      </c>
      <c r="I50" t="str">
        <f t="shared" si="0"/>
        <v>2019</v>
      </c>
      <c r="J50" t="s">
        <v>23</v>
      </c>
      <c r="K50" t="s">
        <v>24</v>
      </c>
      <c r="L50" t="s">
        <v>17</v>
      </c>
      <c r="M50" t="s">
        <v>25</v>
      </c>
      <c r="N50">
        <v>185266</v>
      </c>
      <c r="O50">
        <v>244000</v>
      </c>
      <c r="P50">
        <v>163774</v>
      </c>
      <c r="Q50">
        <v>132314</v>
      </c>
      <c r="R50">
        <v>99747</v>
      </c>
    </row>
    <row r="51" spans="1:18" x14ac:dyDescent="0.3">
      <c r="A51" t="s">
        <v>17</v>
      </c>
      <c r="B51" t="s">
        <v>18</v>
      </c>
      <c r="C51" t="s">
        <v>19</v>
      </c>
      <c r="E51" t="s">
        <v>63</v>
      </c>
      <c r="F51" t="s">
        <v>64</v>
      </c>
      <c r="G51" t="s">
        <v>7</v>
      </c>
      <c r="H51" t="s">
        <v>65</v>
      </c>
      <c r="I51" t="str">
        <f t="shared" si="0"/>
        <v>2019</v>
      </c>
      <c r="J51" t="s">
        <v>26</v>
      </c>
      <c r="K51" t="s">
        <v>27</v>
      </c>
      <c r="L51" t="s">
        <v>28</v>
      </c>
      <c r="M51" t="s">
        <v>29</v>
      </c>
      <c r="N51">
        <v>157967</v>
      </c>
      <c r="O51">
        <v>217475</v>
      </c>
      <c r="P51">
        <v>135460</v>
      </c>
      <c r="Q51">
        <v>108207</v>
      </c>
      <c r="R51">
        <v>83381</v>
      </c>
    </row>
    <row r="52" spans="1:18" x14ac:dyDescent="0.3">
      <c r="A52" t="s">
        <v>17</v>
      </c>
      <c r="B52" t="s">
        <v>18</v>
      </c>
      <c r="C52" t="s">
        <v>19</v>
      </c>
      <c r="E52" t="s">
        <v>63</v>
      </c>
      <c r="F52" t="s">
        <v>64</v>
      </c>
      <c r="G52" t="s">
        <v>7</v>
      </c>
      <c r="H52" t="s">
        <v>65</v>
      </c>
      <c r="I52" t="str">
        <f t="shared" si="0"/>
        <v>2019</v>
      </c>
      <c r="J52" t="s">
        <v>26</v>
      </c>
      <c r="K52" t="s">
        <v>30</v>
      </c>
      <c r="L52" t="s">
        <v>31</v>
      </c>
      <c r="M52" t="s">
        <v>32</v>
      </c>
      <c r="N52">
        <v>177840</v>
      </c>
      <c r="O52">
        <v>220063</v>
      </c>
      <c r="P52">
        <v>150995</v>
      </c>
      <c r="Q52">
        <v>119395</v>
      </c>
      <c r="R52">
        <v>89160</v>
      </c>
    </row>
    <row r="53" spans="1:18" x14ac:dyDescent="0.3">
      <c r="A53" t="s">
        <v>17</v>
      </c>
      <c r="B53" t="s">
        <v>18</v>
      </c>
      <c r="C53" t="s">
        <v>19</v>
      </c>
      <c r="E53" t="s">
        <v>63</v>
      </c>
      <c r="F53" t="s">
        <v>64</v>
      </c>
      <c r="G53" t="s">
        <v>7</v>
      </c>
      <c r="H53" t="s">
        <v>65</v>
      </c>
      <c r="I53" t="str">
        <f t="shared" si="0"/>
        <v>2019</v>
      </c>
      <c r="J53" t="s">
        <v>26</v>
      </c>
      <c r="K53" t="s">
        <v>33</v>
      </c>
      <c r="L53" t="s">
        <v>34</v>
      </c>
      <c r="M53" t="s">
        <v>35</v>
      </c>
      <c r="N53">
        <v>158496</v>
      </c>
      <c r="O53">
        <v>254829</v>
      </c>
      <c r="P53">
        <v>171580</v>
      </c>
      <c r="Q53">
        <v>131515</v>
      </c>
      <c r="R53">
        <v>106730</v>
      </c>
    </row>
    <row r="54" spans="1:18" x14ac:dyDescent="0.3">
      <c r="A54" t="s">
        <v>17</v>
      </c>
      <c r="B54" t="s">
        <v>18</v>
      </c>
      <c r="C54" t="s">
        <v>19</v>
      </c>
      <c r="E54" t="s">
        <v>63</v>
      </c>
      <c r="F54" t="s">
        <v>64</v>
      </c>
      <c r="G54" t="s">
        <v>7</v>
      </c>
      <c r="H54" t="s">
        <v>65</v>
      </c>
      <c r="I54" t="str">
        <f t="shared" si="0"/>
        <v>2019</v>
      </c>
      <c r="J54" t="s">
        <v>26</v>
      </c>
      <c r="K54" t="s">
        <v>36</v>
      </c>
      <c r="L54" t="s">
        <v>37</v>
      </c>
      <c r="M54" t="s">
        <v>38</v>
      </c>
      <c r="N54">
        <v>207367</v>
      </c>
      <c r="O54">
        <v>251717</v>
      </c>
      <c r="P54">
        <v>170863</v>
      </c>
      <c r="Q54">
        <v>140988</v>
      </c>
      <c r="R54">
        <v>101059</v>
      </c>
    </row>
    <row r="55" spans="1:18" x14ac:dyDescent="0.3">
      <c r="A55" t="s">
        <v>17</v>
      </c>
      <c r="B55" t="s">
        <v>18</v>
      </c>
      <c r="C55" t="s">
        <v>19</v>
      </c>
      <c r="E55" t="s">
        <v>63</v>
      </c>
      <c r="F55" t="s">
        <v>64</v>
      </c>
      <c r="G55" t="s">
        <v>7</v>
      </c>
      <c r="H55" t="s">
        <v>65</v>
      </c>
      <c r="I55" t="str">
        <f t="shared" si="0"/>
        <v>2019</v>
      </c>
      <c r="J55" t="s">
        <v>26</v>
      </c>
      <c r="K55" t="s">
        <v>39</v>
      </c>
      <c r="L55" t="s">
        <v>40</v>
      </c>
      <c r="M55" t="s">
        <v>41</v>
      </c>
      <c r="N55">
        <v>186723</v>
      </c>
      <c r="O55">
        <v>231832</v>
      </c>
      <c r="P55">
        <v>158146</v>
      </c>
      <c r="Q55">
        <v>128441</v>
      </c>
      <c r="R55">
        <v>85134</v>
      </c>
    </row>
    <row r="56" spans="1:18" x14ac:dyDescent="0.3">
      <c r="A56" t="s">
        <v>17</v>
      </c>
      <c r="B56" t="s">
        <v>18</v>
      </c>
      <c r="C56" t="s">
        <v>19</v>
      </c>
      <c r="E56" t="s">
        <v>63</v>
      </c>
      <c r="F56" t="s">
        <v>64</v>
      </c>
      <c r="G56" t="s">
        <v>7</v>
      </c>
      <c r="H56" t="s">
        <v>65</v>
      </c>
      <c r="I56" t="str">
        <f t="shared" si="0"/>
        <v>2019</v>
      </c>
      <c r="J56" t="s">
        <v>26</v>
      </c>
      <c r="K56" t="s">
        <v>42</v>
      </c>
      <c r="L56" t="s">
        <v>43</v>
      </c>
      <c r="M56" t="s">
        <v>44</v>
      </c>
      <c r="N56">
        <v>213672</v>
      </c>
      <c r="O56">
        <v>300522</v>
      </c>
      <c r="P56">
        <v>193885</v>
      </c>
      <c r="Q56">
        <v>155538</v>
      </c>
      <c r="R56">
        <v>108956</v>
      </c>
    </row>
    <row r="57" spans="1:18" x14ac:dyDescent="0.3">
      <c r="A57" t="s">
        <v>17</v>
      </c>
      <c r="B57" t="s">
        <v>18</v>
      </c>
      <c r="C57" t="s">
        <v>19</v>
      </c>
      <c r="E57" t="s">
        <v>63</v>
      </c>
      <c r="F57" t="s">
        <v>64</v>
      </c>
      <c r="G57" t="s">
        <v>7</v>
      </c>
      <c r="H57" t="s">
        <v>65</v>
      </c>
      <c r="I57" t="str">
        <f t="shared" si="0"/>
        <v>2019</v>
      </c>
      <c r="J57" t="s">
        <v>26</v>
      </c>
      <c r="K57" t="s">
        <v>45</v>
      </c>
      <c r="L57" t="s">
        <v>46</v>
      </c>
      <c r="M57" t="s">
        <v>47</v>
      </c>
      <c r="N57">
        <v>171232</v>
      </c>
      <c r="O57">
        <v>225725</v>
      </c>
      <c r="P57">
        <v>146184</v>
      </c>
      <c r="Q57">
        <v>118572</v>
      </c>
      <c r="R57">
        <v>93565</v>
      </c>
    </row>
    <row r="58" spans="1:18" x14ac:dyDescent="0.3">
      <c r="A58" t="s">
        <v>17</v>
      </c>
      <c r="B58" t="s">
        <v>18</v>
      </c>
      <c r="C58" t="s">
        <v>19</v>
      </c>
      <c r="E58" t="s">
        <v>66</v>
      </c>
      <c r="F58" t="s">
        <v>67</v>
      </c>
      <c r="G58" t="s">
        <v>7</v>
      </c>
      <c r="H58" t="s">
        <v>68</v>
      </c>
      <c r="I58" t="str">
        <f t="shared" si="0"/>
        <v>2019</v>
      </c>
      <c r="J58" t="s">
        <v>23</v>
      </c>
      <c r="K58" t="s">
        <v>24</v>
      </c>
      <c r="L58" t="s">
        <v>17</v>
      </c>
      <c r="M58" t="s">
        <v>25</v>
      </c>
      <c r="N58">
        <v>185875</v>
      </c>
      <c r="O58">
        <v>245497</v>
      </c>
      <c r="P58">
        <v>164073</v>
      </c>
      <c r="Q58">
        <v>132125</v>
      </c>
      <c r="R58">
        <v>100200</v>
      </c>
    </row>
    <row r="59" spans="1:18" x14ac:dyDescent="0.3">
      <c r="A59" t="s">
        <v>17</v>
      </c>
      <c r="B59" t="s">
        <v>18</v>
      </c>
      <c r="C59" t="s">
        <v>19</v>
      </c>
      <c r="E59" t="s">
        <v>66</v>
      </c>
      <c r="F59" t="s">
        <v>67</v>
      </c>
      <c r="G59" t="s">
        <v>7</v>
      </c>
      <c r="H59" t="s">
        <v>68</v>
      </c>
      <c r="I59" t="str">
        <f t="shared" si="0"/>
        <v>2019</v>
      </c>
      <c r="J59" t="s">
        <v>26</v>
      </c>
      <c r="K59" t="s">
        <v>27</v>
      </c>
      <c r="L59" t="s">
        <v>28</v>
      </c>
      <c r="M59" t="s">
        <v>29</v>
      </c>
      <c r="N59">
        <v>155121</v>
      </c>
      <c r="O59">
        <v>213738</v>
      </c>
      <c r="P59">
        <v>132940</v>
      </c>
      <c r="Q59">
        <v>106045</v>
      </c>
      <c r="R59">
        <v>82127</v>
      </c>
    </row>
    <row r="60" spans="1:18" x14ac:dyDescent="0.3">
      <c r="A60" t="s">
        <v>17</v>
      </c>
      <c r="B60" t="s">
        <v>18</v>
      </c>
      <c r="C60" t="s">
        <v>19</v>
      </c>
      <c r="E60" t="s">
        <v>66</v>
      </c>
      <c r="F60" t="s">
        <v>67</v>
      </c>
      <c r="G60" t="s">
        <v>7</v>
      </c>
      <c r="H60" t="s">
        <v>68</v>
      </c>
      <c r="I60" t="str">
        <f t="shared" si="0"/>
        <v>2019</v>
      </c>
      <c r="J60" t="s">
        <v>26</v>
      </c>
      <c r="K60" t="s">
        <v>30</v>
      </c>
      <c r="L60" t="s">
        <v>31</v>
      </c>
      <c r="M60" t="s">
        <v>32</v>
      </c>
      <c r="N60">
        <v>183085</v>
      </c>
      <c r="O60">
        <v>226743</v>
      </c>
      <c r="P60">
        <v>155262</v>
      </c>
      <c r="Q60">
        <v>122678</v>
      </c>
      <c r="R60">
        <v>92056</v>
      </c>
    </row>
    <row r="61" spans="1:18" x14ac:dyDescent="0.3">
      <c r="A61" t="s">
        <v>17</v>
      </c>
      <c r="B61" t="s">
        <v>18</v>
      </c>
      <c r="C61" t="s">
        <v>19</v>
      </c>
      <c r="E61" t="s">
        <v>66</v>
      </c>
      <c r="F61" t="s">
        <v>67</v>
      </c>
      <c r="G61" t="s">
        <v>7</v>
      </c>
      <c r="H61" t="s">
        <v>68</v>
      </c>
      <c r="I61" t="str">
        <f t="shared" si="0"/>
        <v>2019</v>
      </c>
      <c r="J61" t="s">
        <v>26</v>
      </c>
      <c r="K61" t="s">
        <v>33</v>
      </c>
      <c r="L61" t="s">
        <v>34</v>
      </c>
      <c r="M61" t="s">
        <v>35</v>
      </c>
      <c r="N61">
        <v>157985</v>
      </c>
      <c r="O61">
        <v>254562</v>
      </c>
      <c r="P61">
        <v>170896</v>
      </c>
      <c r="Q61">
        <v>130772</v>
      </c>
      <c r="R61">
        <v>106928</v>
      </c>
    </row>
    <row r="62" spans="1:18" x14ac:dyDescent="0.3">
      <c r="A62" t="s">
        <v>17</v>
      </c>
      <c r="B62" t="s">
        <v>18</v>
      </c>
      <c r="C62" t="s">
        <v>19</v>
      </c>
      <c r="E62" t="s">
        <v>66</v>
      </c>
      <c r="F62" t="s">
        <v>67</v>
      </c>
      <c r="G62" t="s">
        <v>7</v>
      </c>
      <c r="H62" t="s">
        <v>68</v>
      </c>
      <c r="I62" t="str">
        <f t="shared" si="0"/>
        <v>2019</v>
      </c>
      <c r="J62" t="s">
        <v>26</v>
      </c>
      <c r="K62" t="s">
        <v>36</v>
      </c>
      <c r="L62" t="s">
        <v>37</v>
      </c>
      <c r="M62" t="s">
        <v>38</v>
      </c>
      <c r="N62">
        <v>208209</v>
      </c>
      <c r="O62">
        <v>253142</v>
      </c>
      <c r="P62">
        <v>171267</v>
      </c>
      <c r="Q62">
        <v>141179</v>
      </c>
      <c r="R62">
        <v>101672</v>
      </c>
    </row>
    <row r="63" spans="1:18" x14ac:dyDescent="0.3">
      <c r="A63" t="s">
        <v>17</v>
      </c>
      <c r="B63" t="s">
        <v>18</v>
      </c>
      <c r="C63" t="s">
        <v>19</v>
      </c>
      <c r="E63" t="s">
        <v>66</v>
      </c>
      <c r="F63" t="s">
        <v>67</v>
      </c>
      <c r="G63" t="s">
        <v>7</v>
      </c>
      <c r="H63" t="s">
        <v>68</v>
      </c>
      <c r="I63" t="str">
        <f t="shared" si="0"/>
        <v>2019</v>
      </c>
      <c r="J63" t="s">
        <v>26</v>
      </c>
      <c r="K63" t="s">
        <v>39</v>
      </c>
      <c r="L63" t="s">
        <v>40</v>
      </c>
      <c r="M63" t="s">
        <v>41</v>
      </c>
      <c r="N63">
        <v>187655</v>
      </c>
      <c r="O63">
        <v>233211</v>
      </c>
      <c r="P63">
        <v>158792</v>
      </c>
      <c r="Q63">
        <v>128853</v>
      </c>
      <c r="R63">
        <v>85514</v>
      </c>
    </row>
    <row r="64" spans="1:18" x14ac:dyDescent="0.3">
      <c r="A64" t="s">
        <v>17</v>
      </c>
      <c r="B64" t="s">
        <v>18</v>
      </c>
      <c r="C64" t="s">
        <v>19</v>
      </c>
      <c r="E64" t="s">
        <v>66</v>
      </c>
      <c r="F64" t="s">
        <v>67</v>
      </c>
      <c r="G64" t="s">
        <v>7</v>
      </c>
      <c r="H64" t="s">
        <v>68</v>
      </c>
      <c r="I64" t="str">
        <f t="shared" si="0"/>
        <v>2019</v>
      </c>
      <c r="J64" t="s">
        <v>26</v>
      </c>
      <c r="K64" t="s">
        <v>42</v>
      </c>
      <c r="L64" t="s">
        <v>43</v>
      </c>
      <c r="M64" t="s">
        <v>44</v>
      </c>
      <c r="N64">
        <v>213343</v>
      </c>
      <c r="O64">
        <v>300609</v>
      </c>
      <c r="P64">
        <v>193397</v>
      </c>
      <c r="Q64">
        <v>154888</v>
      </c>
      <c r="R64">
        <v>109013</v>
      </c>
    </row>
    <row r="65" spans="1:18" x14ac:dyDescent="0.3">
      <c r="A65" t="s">
        <v>17</v>
      </c>
      <c r="B65" t="s">
        <v>18</v>
      </c>
      <c r="C65" t="s">
        <v>19</v>
      </c>
      <c r="E65" t="s">
        <v>66</v>
      </c>
      <c r="F65" t="s">
        <v>67</v>
      </c>
      <c r="G65" t="s">
        <v>7</v>
      </c>
      <c r="H65" t="s">
        <v>68</v>
      </c>
      <c r="I65" t="str">
        <f t="shared" si="0"/>
        <v>2019</v>
      </c>
      <c r="J65" t="s">
        <v>26</v>
      </c>
      <c r="K65" t="s">
        <v>45</v>
      </c>
      <c r="L65" t="s">
        <v>46</v>
      </c>
      <c r="M65" t="s">
        <v>47</v>
      </c>
      <c r="N65">
        <v>169534</v>
      </c>
      <c r="O65">
        <v>223831</v>
      </c>
      <c r="P65">
        <v>144591</v>
      </c>
      <c r="Q65">
        <v>117113</v>
      </c>
      <c r="R65">
        <v>92832</v>
      </c>
    </row>
    <row r="66" spans="1:18" x14ac:dyDescent="0.3">
      <c r="A66" t="s">
        <v>17</v>
      </c>
      <c r="B66" t="s">
        <v>18</v>
      </c>
      <c r="C66" t="s">
        <v>19</v>
      </c>
      <c r="E66" t="s">
        <v>69</v>
      </c>
      <c r="F66" t="s">
        <v>70</v>
      </c>
      <c r="G66" t="s">
        <v>7</v>
      </c>
      <c r="H66" t="s">
        <v>71</v>
      </c>
      <c r="I66" t="str">
        <f t="shared" si="0"/>
        <v>2019</v>
      </c>
      <c r="J66" t="s">
        <v>23</v>
      </c>
      <c r="K66" t="s">
        <v>24</v>
      </c>
      <c r="L66" t="s">
        <v>17</v>
      </c>
      <c r="M66" t="s">
        <v>25</v>
      </c>
      <c r="N66">
        <v>184701</v>
      </c>
      <c r="O66">
        <v>244306</v>
      </c>
      <c r="P66">
        <v>162960</v>
      </c>
      <c r="Q66">
        <v>130936</v>
      </c>
      <c r="R66">
        <v>99739</v>
      </c>
    </row>
    <row r="67" spans="1:18" x14ac:dyDescent="0.3">
      <c r="A67" t="s">
        <v>17</v>
      </c>
      <c r="B67" t="s">
        <v>18</v>
      </c>
      <c r="C67" t="s">
        <v>19</v>
      </c>
      <c r="E67" t="s">
        <v>69</v>
      </c>
      <c r="F67" t="s">
        <v>70</v>
      </c>
      <c r="G67" t="s">
        <v>7</v>
      </c>
      <c r="H67" t="s">
        <v>71</v>
      </c>
      <c r="I67" t="str">
        <f t="shared" ref="I67:I97" si="1">LEFT(H67,4)</f>
        <v>2019</v>
      </c>
      <c r="J67" t="s">
        <v>26</v>
      </c>
      <c r="K67" t="s">
        <v>27</v>
      </c>
      <c r="L67" t="s">
        <v>28</v>
      </c>
      <c r="M67" t="s">
        <v>29</v>
      </c>
      <c r="N67">
        <v>152385</v>
      </c>
      <c r="O67">
        <v>209898</v>
      </c>
      <c r="P67">
        <v>130461</v>
      </c>
      <c r="Q67">
        <v>104211</v>
      </c>
      <c r="R67">
        <v>81121</v>
      </c>
    </row>
    <row r="68" spans="1:18" x14ac:dyDescent="0.3">
      <c r="A68" t="s">
        <v>17</v>
      </c>
      <c r="B68" t="s">
        <v>18</v>
      </c>
      <c r="C68" t="s">
        <v>19</v>
      </c>
      <c r="E68" t="s">
        <v>69</v>
      </c>
      <c r="F68" t="s">
        <v>70</v>
      </c>
      <c r="G68" t="s">
        <v>7</v>
      </c>
      <c r="H68" t="s">
        <v>71</v>
      </c>
      <c r="I68" t="str">
        <f t="shared" si="1"/>
        <v>2019</v>
      </c>
      <c r="J68" t="s">
        <v>26</v>
      </c>
      <c r="K68" t="s">
        <v>30</v>
      </c>
      <c r="L68" t="s">
        <v>31</v>
      </c>
      <c r="M68" t="s">
        <v>32</v>
      </c>
      <c r="N68">
        <v>181558</v>
      </c>
      <c r="O68">
        <v>224786</v>
      </c>
      <c r="P68">
        <v>153891</v>
      </c>
      <c r="Q68">
        <v>121706</v>
      </c>
      <c r="R68">
        <v>91941</v>
      </c>
    </row>
    <row r="69" spans="1:18" x14ac:dyDescent="0.3">
      <c r="A69" t="s">
        <v>17</v>
      </c>
      <c r="B69" t="s">
        <v>18</v>
      </c>
      <c r="C69" t="s">
        <v>19</v>
      </c>
      <c r="E69" t="s">
        <v>69</v>
      </c>
      <c r="F69" t="s">
        <v>70</v>
      </c>
      <c r="G69" t="s">
        <v>7</v>
      </c>
      <c r="H69" t="s">
        <v>71</v>
      </c>
      <c r="I69" t="str">
        <f t="shared" si="1"/>
        <v>2019</v>
      </c>
      <c r="J69" t="s">
        <v>26</v>
      </c>
      <c r="K69" t="s">
        <v>33</v>
      </c>
      <c r="L69" t="s">
        <v>34</v>
      </c>
      <c r="M69" t="s">
        <v>35</v>
      </c>
      <c r="N69">
        <v>154244</v>
      </c>
      <c r="O69">
        <v>248238</v>
      </c>
      <c r="P69">
        <v>166518</v>
      </c>
      <c r="Q69">
        <v>127663</v>
      </c>
      <c r="R69">
        <v>105141</v>
      </c>
    </row>
    <row r="70" spans="1:18" x14ac:dyDescent="0.3">
      <c r="A70" t="s">
        <v>17</v>
      </c>
      <c r="B70" t="s">
        <v>18</v>
      </c>
      <c r="C70" t="s">
        <v>19</v>
      </c>
      <c r="E70" t="s">
        <v>69</v>
      </c>
      <c r="F70" t="s">
        <v>70</v>
      </c>
      <c r="G70" t="s">
        <v>7</v>
      </c>
      <c r="H70" t="s">
        <v>71</v>
      </c>
      <c r="I70" t="str">
        <f t="shared" si="1"/>
        <v>2019</v>
      </c>
      <c r="J70" t="s">
        <v>26</v>
      </c>
      <c r="K70" t="s">
        <v>36</v>
      </c>
      <c r="L70" t="s">
        <v>37</v>
      </c>
      <c r="M70" t="s">
        <v>38</v>
      </c>
      <c r="N70">
        <v>209668</v>
      </c>
      <c r="O70">
        <v>254945</v>
      </c>
      <c r="P70">
        <v>172407</v>
      </c>
      <c r="Q70">
        <v>142174</v>
      </c>
      <c r="R70">
        <v>102958</v>
      </c>
    </row>
    <row r="71" spans="1:18" x14ac:dyDescent="0.3">
      <c r="A71" t="s">
        <v>17</v>
      </c>
      <c r="B71" t="s">
        <v>18</v>
      </c>
      <c r="C71" t="s">
        <v>19</v>
      </c>
      <c r="E71" t="s">
        <v>69</v>
      </c>
      <c r="F71" t="s">
        <v>70</v>
      </c>
      <c r="G71" t="s">
        <v>7</v>
      </c>
      <c r="H71" t="s">
        <v>71</v>
      </c>
      <c r="I71" t="str">
        <f t="shared" si="1"/>
        <v>2019</v>
      </c>
      <c r="J71" t="s">
        <v>26</v>
      </c>
      <c r="K71" t="s">
        <v>39</v>
      </c>
      <c r="L71" t="s">
        <v>40</v>
      </c>
      <c r="M71" t="s">
        <v>41</v>
      </c>
      <c r="N71">
        <v>188368</v>
      </c>
      <c r="O71">
        <v>234102</v>
      </c>
      <c r="P71">
        <v>159262</v>
      </c>
      <c r="Q71">
        <v>129296</v>
      </c>
      <c r="R71">
        <v>86638</v>
      </c>
    </row>
    <row r="72" spans="1:18" x14ac:dyDescent="0.3">
      <c r="A72" t="s">
        <v>17</v>
      </c>
      <c r="B72" t="s">
        <v>18</v>
      </c>
      <c r="C72" t="s">
        <v>19</v>
      </c>
      <c r="E72" t="s">
        <v>69</v>
      </c>
      <c r="F72" t="s">
        <v>70</v>
      </c>
      <c r="G72" t="s">
        <v>7</v>
      </c>
      <c r="H72" t="s">
        <v>71</v>
      </c>
      <c r="I72" t="str">
        <f t="shared" si="1"/>
        <v>2019</v>
      </c>
      <c r="J72" t="s">
        <v>26</v>
      </c>
      <c r="K72" t="s">
        <v>42</v>
      </c>
      <c r="L72" t="s">
        <v>43</v>
      </c>
      <c r="M72" t="s">
        <v>44</v>
      </c>
      <c r="N72">
        <v>211998</v>
      </c>
      <c r="O72">
        <v>298559</v>
      </c>
      <c r="P72">
        <v>192088</v>
      </c>
      <c r="Q72">
        <v>153998</v>
      </c>
      <c r="R72">
        <v>108788</v>
      </c>
    </row>
    <row r="73" spans="1:18" x14ac:dyDescent="0.3">
      <c r="A73" t="s">
        <v>17</v>
      </c>
      <c r="B73" t="s">
        <v>18</v>
      </c>
      <c r="C73" t="s">
        <v>19</v>
      </c>
      <c r="E73" t="s">
        <v>69</v>
      </c>
      <c r="F73" t="s">
        <v>70</v>
      </c>
      <c r="G73" t="s">
        <v>7</v>
      </c>
      <c r="H73" t="s">
        <v>71</v>
      </c>
      <c r="I73" t="str">
        <f t="shared" si="1"/>
        <v>2019</v>
      </c>
      <c r="J73" t="s">
        <v>26</v>
      </c>
      <c r="K73" t="s">
        <v>45</v>
      </c>
      <c r="L73" t="s">
        <v>46</v>
      </c>
      <c r="M73" t="s">
        <v>47</v>
      </c>
      <c r="N73">
        <v>168273</v>
      </c>
      <c r="O73">
        <v>222119</v>
      </c>
      <c r="P73">
        <v>143463</v>
      </c>
      <c r="Q73">
        <v>116304</v>
      </c>
      <c r="R73">
        <v>92637</v>
      </c>
    </row>
    <row r="74" spans="1:18" x14ac:dyDescent="0.3">
      <c r="A74" t="s">
        <v>17</v>
      </c>
      <c r="B74" t="s">
        <v>18</v>
      </c>
      <c r="C74" t="s">
        <v>19</v>
      </c>
      <c r="E74" t="s">
        <v>72</v>
      </c>
      <c r="F74" t="s">
        <v>73</v>
      </c>
      <c r="G74" t="s">
        <v>7</v>
      </c>
      <c r="H74" t="s">
        <v>74</v>
      </c>
      <c r="I74" t="str">
        <f t="shared" si="1"/>
        <v>2019</v>
      </c>
      <c r="J74" t="s">
        <v>23</v>
      </c>
      <c r="K74" t="s">
        <v>24</v>
      </c>
      <c r="L74" t="s">
        <v>17</v>
      </c>
      <c r="M74" t="s">
        <v>25</v>
      </c>
      <c r="N74">
        <v>184731</v>
      </c>
      <c r="O74">
        <v>244582</v>
      </c>
      <c r="P74">
        <v>162972</v>
      </c>
      <c r="Q74">
        <v>130789</v>
      </c>
      <c r="R74">
        <v>99578</v>
      </c>
    </row>
    <row r="75" spans="1:18" x14ac:dyDescent="0.3">
      <c r="A75" t="s">
        <v>17</v>
      </c>
      <c r="B75" t="s">
        <v>18</v>
      </c>
      <c r="C75" t="s">
        <v>19</v>
      </c>
      <c r="E75" t="s">
        <v>72</v>
      </c>
      <c r="F75" t="s">
        <v>73</v>
      </c>
      <c r="G75" t="s">
        <v>7</v>
      </c>
      <c r="H75" t="s">
        <v>74</v>
      </c>
      <c r="I75" t="str">
        <f t="shared" si="1"/>
        <v>2019</v>
      </c>
      <c r="J75" t="s">
        <v>26</v>
      </c>
      <c r="K75" t="s">
        <v>27</v>
      </c>
      <c r="L75" t="s">
        <v>28</v>
      </c>
      <c r="M75" t="s">
        <v>29</v>
      </c>
      <c r="N75">
        <v>150558</v>
      </c>
      <c r="O75">
        <v>207537</v>
      </c>
      <c r="P75">
        <v>128996</v>
      </c>
      <c r="Q75">
        <v>102892</v>
      </c>
      <c r="R75">
        <v>79523</v>
      </c>
    </row>
    <row r="76" spans="1:18" x14ac:dyDescent="0.3">
      <c r="A76" t="s">
        <v>17</v>
      </c>
      <c r="B76" t="s">
        <v>18</v>
      </c>
      <c r="C76" t="s">
        <v>19</v>
      </c>
      <c r="E76" t="s">
        <v>72</v>
      </c>
      <c r="F76" t="s">
        <v>73</v>
      </c>
      <c r="G76" t="s">
        <v>7</v>
      </c>
      <c r="H76" t="s">
        <v>74</v>
      </c>
      <c r="I76" t="str">
        <f t="shared" si="1"/>
        <v>2019</v>
      </c>
      <c r="J76" t="s">
        <v>26</v>
      </c>
      <c r="K76" t="s">
        <v>30</v>
      </c>
      <c r="L76" t="s">
        <v>31</v>
      </c>
      <c r="M76" t="s">
        <v>32</v>
      </c>
      <c r="N76">
        <v>180191</v>
      </c>
      <c r="O76">
        <v>223089</v>
      </c>
      <c r="P76">
        <v>152700</v>
      </c>
      <c r="Q76">
        <v>120847</v>
      </c>
      <c r="R76">
        <v>91261</v>
      </c>
    </row>
    <row r="77" spans="1:18" x14ac:dyDescent="0.3">
      <c r="A77" t="s">
        <v>17</v>
      </c>
      <c r="B77" t="s">
        <v>18</v>
      </c>
      <c r="C77" t="s">
        <v>19</v>
      </c>
      <c r="E77" t="s">
        <v>72</v>
      </c>
      <c r="F77" t="s">
        <v>73</v>
      </c>
      <c r="G77" t="s">
        <v>7</v>
      </c>
      <c r="H77" t="s">
        <v>74</v>
      </c>
      <c r="I77" t="str">
        <f t="shared" si="1"/>
        <v>2019</v>
      </c>
      <c r="J77" t="s">
        <v>26</v>
      </c>
      <c r="K77" t="s">
        <v>33</v>
      </c>
      <c r="L77" t="s">
        <v>34</v>
      </c>
      <c r="M77" t="s">
        <v>35</v>
      </c>
      <c r="N77">
        <v>152597</v>
      </c>
      <c r="O77">
        <v>245755</v>
      </c>
      <c r="P77">
        <v>164764</v>
      </c>
      <c r="Q77">
        <v>126363</v>
      </c>
      <c r="R77">
        <v>103767</v>
      </c>
    </row>
    <row r="78" spans="1:18" x14ac:dyDescent="0.3">
      <c r="A78" t="s">
        <v>17</v>
      </c>
      <c r="B78" t="s">
        <v>18</v>
      </c>
      <c r="C78" t="s">
        <v>19</v>
      </c>
      <c r="E78" t="s">
        <v>72</v>
      </c>
      <c r="F78" t="s">
        <v>73</v>
      </c>
      <c r="G78" t="s">
        <v>7</v>
      </c>
      <c r="H78" t="s">
        <v>74</v>
      </c>
      <c r="I78" t="str">
        <f t="shared" si="1"/>
        <v>2019</v>
      </c>
      <c r="J78" t="s">
        <v>26</v>
      </c>
      <c r="K78" t="s">
        <v>36</v>
      </c>
      <c r="L78" t="s">
        <v>37</v>
      </c>
      <c r="M78" t="s">
        <v>38</v>
      </c>
      <c r="N78">
        <v>210882</v>
      </c>
      <c r="O78">
        <v>256529</v>
      </c>
      <c r="P78">
        <v>173166</v>
      </c>
      <c r="Q78">
        <v>143160</v>
      </c>
      <c r="R78">
        <v>103827</v>
      </c>
    </row>
    <row r="79" spans="1:18" x14ac:dyDescent="0.3">
      <c r="A79" t="s">
        <v>17</v>
      </c>
      <c r="B79" t="s">
        <v>18</v>
      </c>
      <c r="C79" t="s">
        <v>19</v>
      </c>
      <c r="E79" t="s">
        <v>72</v>
      </c>
      <c r="F79" t="s">
        <v>73</v>
      </c>
      <c r="G79" t="s">
        <v>7</v>
      </c>
      <c r="H79" t="s">
        <v>74</v>
      </c>
      <c r="I79" t="str">
        <f t="shared" si="1"/>
        <v>2019</v>
      </c>
      <c r="J79" t="s">
        <v>26</v>
      </c>
      <c r="K79" t="s">
        <v>39</v>
      </c>
      <c r="L79" t="s">
        <v>40</v>
      </c>
      <c r="M79" t="s">
        <v>41</v>
      </c>
      <c r="N79">
        <v>189855</v>
      </c>
      <c r="O79">
        <v>236165</v>
      </c>
      <c r="P79">
        <v>160379</v>
      </c>
      <c r="Q79">
        <v>130127</v>
      </c>
      <c r="R79">
        <v>87227</v>
      </c>
    </row>
    <row r="80" spans="1:18" x14ac:dyDescent="0.3">
      <c r="A80" t="s">
        <v>17</v>
      </c>
      <c r="B80" t="s">
        <v>18</v>
      </c>
      <c r="C80" t="s">
        <v>19</v>
      </c>
      <c r="E80" t="s">
        <v>72</v>
      </c>
      <c r="F80" t="s">
        <v>73</v>
      </c>
      <c r="G80" t="s">
        <v>7</v>
      </c>
      <c r="H80" t="s">
        <v>74</v>
      </c>
      <c r="I80" t="str">
        <f t="shared" si="1"/>
        <v>2019</v>
      </c>
      <c r="J80" t="s">
        <v>26</v>
      </c>
      <c r="K80" t="s">
        <v>42</v>
      </c>
      <c r="L80" t="s">
        <v>43</v>
      </c>
      <c r="M80" t="s">
        <v>44</v>
      </c>
      <c r="N80">
        <v>214542</v>
      </c>
      <c r="O80">
        <v>302151</v>
      </c>
      <c r="P80">
        <v>194417</v>
      </c>
      <c r="Q80">
        <v>155852</v>
      </c>
      <c r="R80">
        <v>110035</v>
      </c>
    </row>
    <row r="81" spans="1:18" x14ac:dyDescent="0.3">
      <c r="A81" t="s">
        <v>17</v>
      </c>
      <c r="B81" t="s">
        <v>18</v>
      </c>
      <c r="C81" t="s">
        <v>19</v>
      </c>
      <c r="E81" t="s">
        <v>72</v>
      </c>
      <c r="F81" t="s">
        <v>73</v>
      </c>
      <c r="G81" t="s">
        <v>7</v>
      </c>
      <c r="H81" t="s">
        <v>74</v>
      </c>
      <c r="I81" t="str">
        <f t="shared" si="1"/>
        <v>2019</v>
      </c>
      <c r="J81" t="s">
        <v>26</v>
      </c>
      <c r="K81" t="s">
        <v>45</v>
      </c>
      <c r="L81" t="s">
        <v>46</v>
      </c>
      <c r="M81" t="s">
        <v>47</v>
      </c>
      <c r="N81">
        <v>167665</v>
      </c>
      <c r="O81">
        <v>221499</v>
      </c>
      <c r="P81">
        <v>142939</v>
      </c>
      <c r="Q81">
        <v>115726</v>
      </c>
      <c r="R81">
        <v>92113</v>
      </c>
    </row>
    <row r="82" spans="1:18" x14ac:dyDescent="0.3">
      <c r="A82" t="s">
        <v>17</v>
      </c>
      <c r="B82" t="s">
        <v>18</v>
      </c>
      <c r="C82" t="s">
        <v>19</v>
      </c>
      <c r="E82" t="s">
        <v>75</v>
      </c>
      <c r="F82" t="s">
        <v>76</v>
      </c>
      <c r="G82" t="s">
        <v>7</v>
      </c>
      <c r="H82" t="s">
        <v>77</v>
      </c>
      <c r="I82" t="str">
        <f t="shared" si="1"/>
        <v>2018</v>
      </c>
      <c r="J82" t="s">
        <v>23</v>
      </c>
      <c r="K82" t="s">
        <v>24</v>
      </c>
      <c r="L82" t="s">
        <v>17</v>
      </c>
      <c r="M82" t="s">
        <v>25</v>
      </c>
      <c r="N82">
        <v>183820</v>
      </c>
      <c r="O82">
        <v>242825</v>
      </c>
      <c r="P82">
        <v>162287</v>
      </c>
      <c r="Q82">
        <v>130563</v>
      </c>
      <c r="R82">
        <v>99628</v>
      </c>
    </row>
    <row r="83" spans="1:18" x14ac:dyDescent="0.3">
      <c r="A83" t="s">
        <v>17</v>
      </c>
      <c r="B83" t="s">
        <v>18</v>
      </c>
      <c r="C83" t="s">
        <v>19</v>
      </c>
      <c r="E83" t="s">
        <v>75</v>
      </c>
      <c r="F83" t="s">
        <v>76</v>
      </c>
      <c r="G83" t="s">
        <v>7</v>
      </c>
      <c r="H83" t="s">
        <v>77</v>
      </c>
      <c r="I83" t="str">
        <f t="shared" si="1"/>
        <v>2018</v>
      </c>
      <c r="J83" t="s">
        <v>26</v>
      </c>
      <c r="K83" t="s">
        <v>27</v>
      </c>
      <c r="L83" t="s">
        <v>28</v>
      </c>
      <c r="M83" t="s">
        <v>29</v>
      </c>
      <c r="N83">
        <v>152806</v>
      </c>
      <c r="O83">
        <v>210320</v>
      </c>
      <c r="P83">
        <v>130894</v>
      </c>
      <c r="Q83">
        <v>104691</v>
      </c>
      <c r="R83">
        <v>81075</v>
      </c>
    </row>
    <row r="84" spans="1:18" x14ac:dyDescent="0.3">
      <c r="A84" t="s">
        <v>17</v>
      </c>
      <c r="B84" t="s">
        <v>18</v>
      </c>
      <c r="C84" t="s">
        <v>19</v>
      </c>
      <c r="E84" t="s">
        <v>75</v>
      </c>
      <c r="F84" t="s">
        <v>76</v>
      </c>
      <c r="G84" t="s">
        <v>7</v>
      </c>
      <c r="H84" t="s">
        <v>77</v>
      </c>
      <c r="I84" t="str">
        <f t="shared" si="1"/>
        <v>2018</v>
      </c>
      <c r="J84" t="s">
        <v>26</v>
      </c>
      <c r="K84" t="s">
        <v>30</v>
      </c>
      <c r="L84" t="s">
        <v>31</v>
      </c>
      <c r="M84" t="s">
        <v>32</v>
      </c>
      <c r="N84">
        <v>174808</v>
      </c>
      <c r="O84">
        <v>216179</v>
      </c>
      <c r="P84">
        <v>148272</v>
      </c>
      <c r="Q84">
        <v>117492</v>
      </c>
      <c r="R84">
        <v>88838</v>
      </c>
    </row>
    <row r="85" spans="1:18" x14ac:dyDescent="0.3">
      <c r="A85" t="s">
        <v>17</v>
      </c>
      <c r="B85" t="s">
        <v>18</v>
      </c>
      <c r="C85" t="s">
        <v>19</v>
      </c>
      <c r="E85" t="s">
        <v>75</v>
      </c>
      <c r="F85" t="s">
        <v>76</v>
      </c>
      <c r="G85" t="s">
        <v>7</v>
      </c>
      <c r="H85" t="s">
        <v>77</v>
      </c>
      <c r="I85" t="str">
        <f t="shared" si="1"/>
        <v>2018</v>
      </c>
      <c r="J85" t="s">
        <v>26</v>
      </c>
      <c r="K85" t="s">
        <v>33</v>
      </c>
      <c r="L85" t="s">
        <v>34</v>
      </c>
      <c r="M85" t="s">
        <v>35</v>
      </c>
      <c r="N85">
        <v>152836</v>
      </c>
      <c r="O85">
        <v>245345</v>
      </c>
      <c r="P85">
        <v>164859</v>
      </c>
      <c r="Q85">
        <v>126813</v>
      </c>
      <c r="R85">
        <v>104115</v>
      </c>
    </row>
    <row r="86" spans="1:18" x14ac:dyDescent="0.3">
      <c r="A86" t="s">
        <v>17</v>
      </c>
      <c r="B86" t="s">
        <v>18</v>
      </c>
      <c r="C86" t="s">
        <v>19</v>
      </c>
      <c r="E86" t="s">
        <v>75</v>
      </c>
      <c r="F86" t="s">
        <v>76</v>
      </c>
      <c r="G86" t="s">
        <v>7</v>
      </c>
      <c r="H86" t="s">
        <v>77</v>
      </c>
      <c r="I86" t="str">
        <f t="shared" si="1"/>
        <v>2018</v>
      </c>
      <c r="J86" t="s">
        <v>26</v>
      </c>
      <c r="K86" t="s">
        <v>36</v>
      </c>
      <c r="L86" t="s">
        <v>37</v>
      </c>
      <c r="M86" t="s">
        <v>38</v>
      </c>
      <c r="N86">
        <v>211799</v>
      </c>
      <c r="O86">
        <v>257392</v>
      </c>
      <c r="P86">
        <v>174067</v>
      </c>
      <c r="Q86">
        <v>144058</v>
      </c>
      <c r="R86">
        <v>104608</v>
      </c>
    </row>
    <row r="87" spans="1:18" x14ac:dyDescent="0.3">
      <c r="A87" t="s">
        <v>17</v>
      </c>
      <c r="B87" t="s">
        <v>18</v>
      </c>
      <c r="C87" t="s">
        <v>19</v>
      </c>
      <c r="E87" t="s">
        <v>75</v>
      </c>
      <c r="F87" t="s">
        <v>76</v>
      </c>
      <c r="G87" t="s">
        <v>7</v>
      </c>
      <c r="H87" t="s">
        <v>77</v>
      </c>
      <c r="I87" t="str">
        <f t="shared" si="1"/>
        <v>2018</v>
      </c>
      <c r="J87" t="s">
        <v>26</v>
      </c>
      <c r="K87" t="s">
        <v>39</v>
      </c>
      <c r="L87" t="s">
        <v>40</v>
      </c>
      <c r="M87" t="s">
        <v>41</v>
      </c>
      <c r="N87">
        <v>190513</v>
      </c>
      <c r="O87">
        <v>236744</v>
      </c>
      <c r="P87">
        <v>160981</v>
      </c>
      <c r="Q87">
        <v>130853</v>
      </c>
      <c r="R87">
        <v>88002</v>
      </c>
    </row>
    <row r="88" spans="1:18" x14ac:dyDescent="0.3">
      <c r="A88" t="s">
        <v>17</v>
      </c>
      <c r="B88" t="s">
        <v>18</v>
      </c>
      <c r="C88" t="s">
        <v>19</v>
      </c>
      <c r="E88" t="s">
        <v>75</v>
      </c>
      <c r="F88" t="s">
        <v>76</v>
      </c>
      <c r="G88" t="s">
        <v>7</v>
      </c>
      <c r="H88" t="s">
        <v>77</v>
      </c>
      <c r="I88" t="str">
        <f t="shared" si="1"/>
        <v>2018</v>
      </c>
      <c r="J88" t="s">
        <v>26</v>
      </c>
      <c r="K88" t="s">
        <v>42</v>
      </c>
      <c r="L88" t="s">
        <v>43</v>
      </c>
      <c r="M88" t="s">
        <v>44</v>
      </c>
      <c r="N88">
        <v>213750</v>
      </c>
      <c r="O88">
        <v>300598</v>
      </c>
      <c r="P88">
        <v>193672</v>
      </c>
      <c r="Q88">
        <v>155600</v>
      </c>
      <c r="R88">
        <v>109991</v>
      </c>
    </row>
    <row r="89" spans="1:18" x14ac:dyDescent="0.3">
      <c r="A89" t="s">
        <v>17</v>
      </c>
      <c r="B89" t="s">
        <v>18</v>
      </c>
      <c r="C89" t="s">
        <v>19</v>
      </c>
      <c r="E89" t="s">
        <v>75</v>
      </c>
      <c r="F89" t="s">
        <v>76</v>
      </c>
      <c r="G89" t="s">
        <v>7</v>
      </c>
      <c r="H89" t="s">
        <v>77</v>
      </c>
      <c r="I89" t="str">
        <f t="shared" si="1"/>
        <v>2018</v>
      </c>
      <c r="J89" t="s">
        <v>26</v>
      </c>
      <c r="K89" t="s">
        <v>45</v>
      </c>
      <c r="L89" t="s">
        <v>46</v>
      </c>
      <c r="M89" t="s">
        <v>47</v>
      </c>
      <c r="N89">
        <v>166392</v>
      </c>
      <c r="O89">
        <v>219528</v>
      </c>
      <c r="P89">
        <v>141902</v>
      </c>
      <c r="Q89">
        <v>115110</v>
      </c>
      <c r="R89">
        <v>91685</v>
      </c>
    </row>
    <row r="90" spans="1:18" x14ac:dyDescent="0.3">
      <c r="A90" t="s">
        <v>17</v>
      </c>
      <c r="B90" t="s">
        <v>18</v>
      </c>
      <c r="C90" t="s">
        <v>19</v>
      </c>
      <c r="E90" t="s">
        <v>78</v>
      </c>
      <c r="F90" t="s">
        <v>79</v>
      </c>
      <c r="G90" t="s">
        <v>7</v>
      </c>
      <c r="H90" t="s">
        <v>80</v>
      </c>
      <c r="I90" t="str">
        <f t="shared" si="1"/>
        <v>2018</v>
      </c>
      <c r="J90" t="s">
        <v>23</v>
      </c>
      <c r="K90" t="s">
        <v>24</v>
      </c>
      <c r="L90" t="s">
        <v>17</v>
      </c>
      <c r="M90" t="s">
        <v>25</v>
      </c>
      <c r="N90">
        <v>185393</v>
      </c>
      <c r="O90">
        <v>244775</v>
      </c>
      <c r="P90">
        <v>163643</v>
      </c>
      <c r="Q90">
        <v>131908</v>
      </c>
      <c r="R90">
        <v>100395</v>
      </c>
    </row>
    <row r="91" spans="1:18" x14ac:dyDescent="0.3">
      <c r="A91" t="s">
        <v>17</v>
      </c>
      <c r="B91" t="s">
        <v>18</v>
      </c>
      <c r="C91" t="s">
        <v>19</v>
      </c>
      <c r="E91" t="s">
        <v>78</v>
      </c>
      <c r="F91" t="s">
        <v>79</v>
      </c>
      <c r="G91" t="s">
        <v>7</v>
      </c>
      <c r="H91" t="s">
        <v>80</v>
      </c>
      <c r="I91" t="str">
        <f t="shared" si="1"/>
        <v>2018</v>
      </c>
      <c r="J91" t="s">
        <v>26</v>
      </c>
      <c r="K91" t="s">
        <v>27</v>
      </c>
      <c r="L91" t="s">
        <v>28</v>
      </c>
      <c r="M91" t="s">
        <v>29</v>
      </c>
      <c r="N91">
        <v>154916</v>
      </c>
      <c r="O91">
        <v>213280</v>
      </c>
      <c r="P91">
        <v>132729</v>
      </c>
      <c r="Q91">
        <v>106213</v>
      </c>
      <c r="R91">
        <v>81852</v>
      </c>
    </row>
    <row r="92" spans="1:18" x14ac:dyDescent="0.3">
      <c r="A92" t="s">
        <v>17</v>
      </c>
      <c r="B92" t="s">
        <v>18</v>
      </c>
      <c r="C92" t="s">
        <v>19</v>
      </c>
      <c r="E92" t="s">
        <v>78</v>
      </c>
      <c r="F92" t="s">
        <v>79</v>
      </c>
      <c r="G92" t="s">
        <v>7</v>
      </c>
      <c r="H92" t="s">
        <v>80</v>
      </c>
      <c r="I92" t="str">
        <f t="shared" si="1"/>
        <v>2018</v>
      </c>
      <c r="J92" t="s">
        <v>26</v>
      </c>
      <c r="K92" t="s">
        <v>30</v>
      </c>
      <c r="L92" t="s">
        <v>31</v>
      </c>
      <c r="M92" t="s">
        <v>32</v>
      </c>
      <c r="N92">
        <v>176206</v>
      </c>
      <c r="O92">
        <v>217914</v>
      </c>
      <c r="P92">
        <v>149508</v>
      </c>
      <c r="Q92">
        <v>118482</v>
      </c>
      <c r="R92">
        <v>89125</v>
      </c>
    </row>
    <row r="93" spans="1:18" x14ac:dyDescent="0.3">
      <c r="A93" t="s">
        <v>17</v>
      </c>
      <c r="B93" t="s">
        <v>18</v>
      </c>
      <c r="C93" t="s">
        <v>19</v>
      </c>
      <c r="E93" t="s">
        <v>78</v>
      </c>
      <c r="F93" t="s">
        <v>79</v>
      </c>
      <c r="G93" t="s">
        <v>7</v>
      </c>
      <c r="H93" t="s">
        <v>80</v>
      </c>
      <c r="I93" t="str">
        <f t="shared" si="1"/>
        <v>2018</v>
      </c>
      <c r="J93" t="s">
        <v>26</v>
      </c>
      <c r="K93" t="s">
        <v>33</v>
      </c>
      <c r="L93" t="s">
        <v>34</v>
      </c>
      <c r="M93" t="s">
        <v>35</v>
      </c>
      <c r="N93">
        <v>154070</v>
      </c>
      <c r="O93">
        <v>247340</v>
      </c>
      <c r="P93">
        <v>166007</v>
      </c>
      <c r="Q93">
        <v>127992</v>
      </c>
      <c r="R93">
        <v>104747</v>
      </c>
    </row>
    <row r="94" spans="1:18" x14ac:dyDescent="0.3">
      <c r="A94" t="s">
        <v>17</v>
      </c>
      <c r="B94" t="s">
        <v>18</v>
      </c>
      <c r="C94" t="s">
        <v>19</v>
      </c>
      <c r="E94" t="s">
        <v>78</v>
      </c>
      <c r="F94" t="s">
        <v>79</v>
      </c>
      <c r="G94" t="s">
        <v>7</v>
      </c>
      <c r="H94" t="s">
        <v>80</v>
      </c>
      <c r="I94" t="str">
        <f t="shared" si="1"/>
        <v>2018</v>
      </c>
      <c r="J94" t="s">
        <v>26</v>
      </c>
      <c r="K94" t="s">
        <v>36</v>
      </c>
      <c r="L94" t="s">
        <v>37</v>
      </c>
      <c r="M94" t="s">
        <v>38</v>
      </c>
      <c r="N94">
        <v>211112</v>
      </c>
      <c r="O94">
        <v>256557</v>
      </c>
      <c r="P94">
        <v>173489</v>
      </c>
      <c r="Q94">
        <v>143737</v>
      </c>
      <c r="R94">
        <v>103821</v>
      </c>
    </row>
    <row r="95" spans="1:18" x14ac:dyDescent="0.3">
      <c r="A95" t="s">
        <v>17</v>
      </c>
      <c r="B95" t="s">
        <v>18</v>
      </c>
      <c r="C95" t="s">
        <v>19</v>
      </c>
      <c r="E95" t="s">
        <v>78</v>
      </c>
      <c r="F95" t="s">
        <v>79</v>
      </c>
      <c r="G95" t="s">
        <v>7</v>
      </c>
      <c r="H95" t="s">
        <v>80</v>
      </c>
      <c r="I95" t="str">
        <f t="shared" si="1"/>
        <v>2018</v>
      </c>
      <c r="J95" t="s">
        <v>26</v>
      </c>
      <c r="K95" t="s">
        <v>39</v>
      </c>
      <c r="L95" t="s">
        <v>40</v>
      </c>
      <c r="M95" t="s">
        <v>41</v>
      </c>
      <c r="N95">
        <v>190702</v>
      </c>
      <c r="O95">
        <v>237028</v>
      </c>
      <c r="P95">
        <v>161126</v>
      </c>
      <c r="Q95">
        <v>131011</v>
      </c>
      <c r="R95">
        <v>87662</v>
      </c>
    </row>
    <row r="96" spans="1:18" x14ac:dyDescent="0.3">
      <c r="A96" t="s">
        <v>17</v>
      </c>
      <c r="B96" t="s">
        <v>18</v>
      </c>
      <c r="C96" t="s">
        <v>19</v>
      </c>
      <c r="E96" t="s">
        <v>78</v>
      </c>
      <c r="F96" t="s">
        <v>79</v>
      </c>
      <c r="G96" t="s">
        <v>7</v>
      </c>
      <c r="H96" t="s">
        <v>80</v>
      </c>
      <c r="I96" t="str">
        <f t="shared" si="1"/>
        <v>2018</v>
      </c>
      <c r="J96" t="s">
        <v>26</v>
      </c>
      <c r="K96" t="s">
        <v>42</v>
      </c>
      <c r="L96" t="s">
        <v>43</v>
      </c>
      <c r="M96" t="s">
        <v>44</v>
      </c>
      <c r="N96">
        <v>218799</v>
      </c>
      <c r="O96">
        <v>307889</v>
      </c>
      <c r="P96">
        <v>198165</v>
      </c>
      <c r="Q96">
        <v>159352</v>
      </c>
      <c r="R96">
        <v>112139</v>
      </c>
    </row>
    <row r="97" spans="1:18" x14ac:dyDescent="0.3">
      <c r="A97" t="s">
        <v>17</v>
      </c>
      <c r="B97" t="s">
        <v>18</v>
      </c>
      <c r="C97" t="s">
        <v>19</v>
      </c>
      <c r="E97" t="s">
        <v>78</v>
      </c>
      <c r="F97" t="s">
        <v>79</v>
      </c>
      <c r="G97" t="s">
        <v>7</v>
      </c>
      <c r="H97" t="s">
        <v>80</v>
      </c>
      <c r="I97" t="str">
        <f t="shared" si="1"/>
        <v>2018</v>
      </c>
      <c r="J97" t="s">
        <v>26</v>
      </c>
      <c r="K97" t="s">
        <v>45</v>
      </c>
      <c r="L97" t="s">
        <v>46</v>
      </c>
      <c r="M97" t="s">
        <v>47</v>
      </c>
      <c r="N97">
        <v>167592</v>
      </c>
      <c r="O97">
        <v>221197</v>
      </c>
      <c r="P97">
        <v>142870</v>
      </c>
      <c r="Q97">
        <v>115942</v>
      </c>
      <c r="R97">
        <v>91849</v>
      </c>
    </row>
  </sheetData>
  <autoFilter ref="A1:R9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Geo Name by Ave. Price</vt:lpstr>
      <vt:lpstr>Yearly Shares by Geo Name</vt:lpstr>
      <vt:lpstr>house-prices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CHIBUZO</dc:creator>
  <cp:lastModifiedBy>ALERZO</cp:lastModifiedBy>
  <dcterms:created xsi:type="dcterms:W3CDTF">2022-10-21T15:45:54Z</dcterms:created>
  <dcterms:modified xsi:type="dcterms:W3CDTF">2022-12-19T14:41:53Z</dcterms:modified>
</cp:coreProperties>
</file>